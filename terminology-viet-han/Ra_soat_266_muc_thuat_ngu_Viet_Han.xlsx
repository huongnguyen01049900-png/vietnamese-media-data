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dbf8cc602f42d7" /></Relationships>
</file>

<file path=xl/workbook.xml><?xml version="1.0" encoding="utf-8"?>
<x:workbook xmlns:x="http://schemas.openxmlformats.org/spreadsheetml/2006/main">
  <x:sheets>
    <x:sheet xmlns:r="http://schemas.openxmlformats.org/officeDocument/2006/relationships" name="Thuật ngữ" sheetId="1" r:id="Ra880dd797fd64de2"/>
    <x:sheet xmlns:r="http://schemas.openxmlformats.org/officeDocument/2006/relationships" name="Rà soát" sheetId="2" r:id="R8b640373a8c64a69"/>
    <x:sheet xmlns:r="http://schemas.openxmlformats.org/officeDocument/2006/relationships" name="Khung và cách đọc" sheetId="3" r:id="Rc700b4a632374512"/>
    <x:sheet xmlns:r="http://schemas.openxmlformats.org/officeDocument/2006/relationships" name="Nguồn kiểm tra" sheetId="4" r:id="R5523eef0bc0f45dc"/>
    <x:sheet xmlns:r="http://schemas.openxmlformats.org/officeDocument/2006/relationships" name="Đối chiếu Anh" sheetId="5" r:id="R6b2f8990863645cc"/>
    <x:sheet xmlns:r="http://schemas.openxmlformats.org/officeDocument/2006/relationships" name="Nguồn gốc từ" sheetId="6" r:id="R4aeab2d17f88492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6">
    <x:font>
      <x:sz val="11"/>
      <x:name val="Carlito"/>
    </x:font>
    <x:font>
      <x:sz val="11"/>
      <x:color rgb="FF26384A"/>
      <x:name val="Noto Sans CJK KR"/>
    </x:font>
    <x:font>
      <x:b/>
      <x:sz val="11"/>
      <x:color rgb="FFFFFFFF"/>
      <x:name val="Noto Sans CJK KR"/>
    </x:font>
    <x:font>
      <x:b/>
      <x:sz val="17"/>
      <x:color rgb="FF213B58"/>
      <x:name val="Noto Sans CJK KR"/>
    </x:font>
    <x:font>
      <x:sz val="11"/>
      <x:color rgb="FF5D6C7C"/>
      <x:name val="Noto Sans CJK KR"/>
    </x:font>
    <x:font>
      <x:b/>
      <x:sz val="11"/>
      <x:color rgb="FF213B58"/>
      <x:name val="Noto Sans CJK KR"/>
    </x:font>
    <x:font>
      <x:sz val="11"/>
      <x:color rgb="FF845700"/>
      <x:name val="Noto Sans CJK KR"/>
    </x:font>
    <x:font>
      <x:sz val="11"/>
      <x:color rgb="FF8E302B"/>
      <x:name val="Noto Sans CJK KR"/>
    </x:font>
    <x:font>
      <x:b/>
      <x:sz val="14"/>
      <x:color rgb="FF213B58"/>
      <x:name val="Noto Sans CJK KR"/>
    </x:font>
    <x:font>
      <x:b/>
      <x:sz val="15"/>
      <x:color rgb="FF213B58"/>
      <x:name val="Noto Sans CJK KR"/>
    </x:font>
    <x:font>
      <x:sz val="10"/>
      <x:color rgb="FF255A93"/>
      <x:name val="Noto Sans CJK KR"/>
    </x:font>
    <x:font>
      <x:sz val="11"/>
      <x:color rgb="FF255A93"/>
      <x:name val="Noto Sans CJK KR"/>
    </x:font>
    <x:font>
      <x:b/>
      <x:sz val="11"/>
      <x:color rgb="FF285C48"/>
      <x:name val="Noto Sans CJK KR"/>
    </x:font>
    <x:font>
      <x:b/>
      <x:sz val="11"/>
      <x:color rgb="FF845700"/>
      <x:name val="Noto Sans CJK KR"/>
    </x:font>
    <x:font>
      <x:b/>
      <x:sz val="11"/>
      <x:color rgb="FF8E302B"/>
      <x:name val="Noto Sans CJK KR"/>
    </x:font>
    <x:font>
      <x:b/>
      <x:sz val="16"/>
      <x:color rgb="FF213B58"/>
      <x:name val="Noto Sans CJK KR"/>
    </x:font>
  </x:fonts>
  <x:fills count="15">
    <x:fill>
      <x:patternFill patternType="none"/>
    </x:fill>
    <x:fill>
      <x:patternFill patternType="gray125"/>
    </x:fill>
    <x:fill>
      <x:patternFill patternType="solid">
        <x:fgColor rgb="FF213B58"/>
      </x:patternFill>
    </x:fill>
    <x:fill>
      <x:patternFill patternType="solid">
        <x:fgColor rgb="FFFFF3D6"/>
      </x:patternFill>
    </x:fill>
    <x:fill>
      <x:patternFill patternType="solid">
        <x:fgColor rgb="FFE8F3EE"/>
      </x:patternFill>
    </x:fill>
    <x:fill>
      <x:patternFill patternType="solid">
        <x:fgColor rgb="FFFBE6E5"/>
      </x:patternFill>
    </x:fill>
    <x:fill>
      <x:patternFill patternType="solid">
        <x:fgColor rgb="FFF3F6FA"/>
      </x:patternFill>
    </x:fill>
    <x:fill>
      <x:patternFill patternType="solid">
        <x:fgColor rgb="FF213B58"/>
      </x:patternFill>
    </x:fill>
    <x:fill>
      <x:patternFill patternType="solid">
        <x:fgColor rgb="FFE8F3EE"/>
      </x:patternFill>
    </x:fill>
    <x:fill>
      <x:patternFill patternType="solid">
        <x:fgColor rgb="FFFFF3D6"/>
      </x:patternFill>
    </x:fill>
    <x:fill>
      <x:patternFill patternType="solid">
        <x:fgColor rgb="FFE9F0F9"/>
      </x:patternFill>
    </x:fill>
    <x:fill>
      <x:patternFill patternType="solid">
        <x:fgColor rgb="FFFBE6E5"/>
      </x:patternFill>
    </x:fill>
    <x:fill>
      <x:patternFill patternType="solid">
        <x:fgColor rgb="FFF3F6FA"/>
      </x:patternFill>
    </x:fill>
    <x:fill>
      <x:patternFill patternType="solid">
        <x:fgColor rgb="FF213B58"/>
      </x:patternFill>
    </x:fill>
    <x:fill>
      <x:patternFill patternType="solid">
        <x:fgColor rgb="FFF3F6FA"/>
      </x:patternFill>
    </x:fill>
  </x:fills>
  <x:borders count="5">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4DEE8"/>
      </x:bottom>
      <x:diagonal/>
    </x:border>
  </x:borders>
  <x:cellStyleXfs count="1">
    <x:xf numFmtId="0" fontId="0" fillId="0" borderId="0"/>
  </x:cellStyleXfs>
  <x:cellXfs count="6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3" fillId="0" borderId="0" xfId="0" applyNumberFormat="1" applyFont="1" applyFill="1" applyBorder="1" applyAlignment="1">
      <x:alignment vertical="top"/>
    </x:xf>
    <x:xf numFmtId="0" fontId="4"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200" fontId="8" fillId="0" borderId="0" xfId="0" applyNumberFormat="1" applyFont="1" applyFill="1" applyBorder="1" applyAlignment="1">
      <x:alignment horizontal="center" vertical="top" wrapText="1"/>
    </x:xf>
    <x:xf numFmtId="200" fontId="8" fillId="3"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200" fontId="8" fillId="6" borderId="0" xfId="0" applyNumberFormat="1" applyFont="1" applyFill="1" applyBorder="1" applyAlignment="1">
      <x:alignment horizontal="center" vertical="top" wrapText="1"/>
    </x:xf>
    <x:xf numFmtId="0" fontId="9" fillId="0" borderId="0" xfId="0" applyNumberFormat="1" applyFont="1" applyFill="1" applyBorder="1" applyAlignment="1">
      <x:alignment vertical="top"/>
    </x:xf>
    <x:xf numFmtId="0" fontId="5" fillId="0" borderId="4"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 fillId="0" borderId="0" xfId="0" applyNumberFormat="1" applyFont="1" applyFill="1" applyBorder="1" applyAlignment="1">
      <x:alignment wrapText="1"/>
    </x:xf>
    <x:xf numFmtId="0" fontId="1" fillId="7" borderId="0" xfId="0" applyNumberFormat="1" applyFont="1" applyFill="1" applyBorder="1" applyAlignment="1">
      <x:alignment vertical="top"/>
    </x:xf>
    <x:xf numFmtId="0" fontId="2" fillId="7" borderId="0" xfId="0" applyNumberFormat="1" applyFont="1" applyFill="1" applyBorder="1" applyAlignment="1">
      <x:alignment vertical="top"/>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center" wrapText="1"/>
    </x:xf>
    <x:xf numFmtId="0" fontId="11" fillId="0"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2"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3"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2"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4" fillId="11" borderId="0" xfId="0" applyNumberFormat="1" applyFont="1" applyFill="1" applyBorder="1" applyAlignment="1">
      <x:alignment vertical="top" wrapText="1"/>
    </x:xf>
    <x:xf numFmtId="200" fontId="9" fillId="0" borderId="0" xfId="0" applyNumberFormat="1" applyFont="1" applyFill="1" applyBorder="1" applyAlignment="1">
      <x:alignment horizontal="center" vertical="top" wrapText="1"/>
    </x:xf>
    <x:xf numFmtId="200" fontId="9" fillId="8" borderId="0" xfId="0" applyNumberFormat="1" applyFont="1" applyFill="1" applyBorder="1" applyAlignment="1">
      <x:alignment horizontal="center" vertical="top" wrapText="1"/>
    </x:xf>
    <x:xf numFmtId="200" fontId="9" fillId="10" borderId="0" xfId="0" applyNumberFormat="1" applyFont="1" applyFill="1" applyBorder="1" applyAlignment="1">
      <x:alignment horizontal="center" vertical="top" wrapText="1"/>
    </x:xf>
    <x:xf numFmtId="200" fontId="9" fillId="11" borderId="0" xfId="0" applyNumberFormat="1" applyFont="1" applyFill="1" applyBorder="1" applyAlignment="1">
      <x:alignment horizontal="center" vertical="top" wrapText="1"/>
    </x:xf>
    <x:xf numFmtId="0" fontId="1" fillId="12" borderId="0" xfId="0" applyNumberFormat="1" applyFont="1" applyFill="1" applyBorder="1" applyAlignment="1">
      <x:alignment vertical="top" wrapText="1"/>
    </x:xf>
    <x:xf numFmtId="200" fontId="9" fillId="12" borderId="0" xfId="0" applyNumberFormat="1" applyFont="1" applyFill="1" applyBorder="1" applyAlignment="1">
      <x:alignment horizontal="center" vertical="top"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1" fillId="13" borderId="0" xfId="0" applyNumberFormat="1" applyFont="1" applyFill="1" applyBorder="1" applyAlignment="1">
      <x:alignment vertical="top"/>
    </x:xf>
    <x:xf numFmtId="0" fontId="2" fillId="13" borderId="0" xfId="0" applyNumberFormat="1" applyFont="1" applyFill="1" applyBorder="1" applyAlignment="1">
      <x:alignment vertical="top"/>
    </x:xf>
    <x:xf numFmtId="0" fontId="2" fillId="13" borderId="0" xfId="0" applyNumberFormat="1" applyFont="1" applyFill="1" applyBorder="1" applyAlignment="1">
      <x:alignment vertical="top" wrapText="1"/>
    </x:xf>
    <x:xf numFmtId="0" fontId="2" fillId="13" borderId="0" xfId="0" applyNumberFormat="1" applyFont="1" applyFill="1" applyBorder="1" applyAlignment="1">
      <x:alignment horizontal="center" vertical="top" wrapText="1"/>
    </x:xf>
    <x:xf numFmtId="0" fontId="2" fillId="13"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x:xf>
    <x:xf numFmtId="0" fontId="15" fillId="0" borderId="0" xfId="0" applyNumberFormat="1" applyFont="1" applyFill="1" applyBorder="1"/>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1" fillId="14" borderId="0" xfId="0" applyNumberFormat="1" applyFont="1" applyFill="1" applyBorder="1" applyAlignment="1">
      <x:alignment vertical="top" wrapText="1"/>
    </x:xf>
    <x:xf numFmtId="200" fontId="8" fillId="14" borderId="0" xfId="0" applyNumberFormat="1" applyFont="1" applyFill="1" applyBorder="1" applyAlignment="1">
      <x:alignment horizontal="center" vertical="top" wrapText="1"/>
    </x:xf>
  </x:cellXfs>
  <x:cellStyles count="1">
    <x:cellStyle name="Normal" xfId="0"/>
  </x:cellStyles>
  <x:dxfs count="9">
    <x:dxf>
      <x:font>
        <x:b/>
        <x:color rgb="FF285C48"/>
      </x:font>
      <x:fill>
        <x:patternFill patternType="solid">
          <x:bgColor rgb="FFE8F3EE"/>
        </x:patternFill>
      </x:fill>
    </x:dxf>
    <x:dxf>
      <x:font>
        <x:b/>
        <x:color rgb="FF845700"/>
      </x:font>
      <x:fill>
        <x:patternFill patternType="solid">
          <x:bgColor rgb="FFFFF3D6"/>
        </x:patternFill>
      </x:fill>
    </x:dxf>
    <x:dxf>
      <x:font>
        <x:b/>
        <x:color rgb="FF8E302B"/>
      </x:font>
      <x:fill>
        <x:patternFill patternType="solid">
          <x:bgColor rgb="FFFBE6E5"/>
        </x:patternFill>
      </x:fill>
    </x:dxf>
    <x:dxf>
      <x:font>
        <x:b/>
        <x:color rgb="FF285C48"/>
      </x:font>
      <x:fill>
        <x:patternFill patternType="solid">
          <x:bgColor rgb="FFE8F3EE"/>
        </x:patternFill>
      </x:fill>
    </x:dxf>
    <x:dxf>
      <x:font>
        <x:b/>
        <x:color rgb="FF845700"/>
      </x:font>
      <x:fill>
        <x:patternFill patternType="solid">
          <x:bgColor rgb="FFFFF3D6"/>
        </x:patternFill>
      </x:fill>
    </x:dxf>
    <x:dxf>
      <x:font>
        <x:b/>
        <x:color rgb="FF8E302B"/>
      </x:font>
      <x:fill>
        <x:patternFill patternType="solid">
          <x:bgColor rgb="FFFBE6E5"/>
        </x:patternFill>
      </x:fill>
    </x:dxf>
    <x:dxf>
      <x:font>
        <x:b/>
        <x:color rgb="FF285C48"/>
      </x:font>
      <x:fill>
        <x:patternFill patternType="solid">
          <x:bgColor rgb="FFE8F3EE"/>
        </x:patternFill>
      </x:fill>
    </x:dxf>
    <x:dxf>
      <x:font>
        <x:b/>
        <x:color rgb="FF845700"/>
      </x:font>
      <x:fill>
        <x:patternFill patternType="solid">
          <x:bgColor rgb="FFFFF3D6"/>
        </x:patternFill>
      </x:fill>
    </x:dxf>
    <x:dxf>
      <x:font>
        <x:b/>
        <x:color rgb="FF8E302B"/>
      </x:font>
      <x:fill>
        <x:patternFill patternType="solid">
          <x:bgColor rgb="FFFBE6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fd2fa94b2184413" /><Relationship Type="http://schemas.openxmlformats.org/officeDocument/2006/relationships/theme" Target="/xl/theme/theme1.xml" Id="R81ceade3e2af4933" /><Relationship Type="http://schemas.openxmlformats.org/officeDocument/2006/relationships/sharedStrings" Target="/xl/sharedStrings.xml" Id="Re2f94cf38dba4fbe" /><Relationship Type="http://schemas.openxmlformats.org/officeDocument/2006/relationships/worksheet" Target="/xl/worksheets/sheet1.xml" Id="Ra880dd797fd64de2" /><Relationship Type="http://schemas.openxmlformats.org/officeDocument/2006/relationships/worksheet" Target="/xl/worksheets/sheet2.xml" Id="R8b640373a8c64a69" /><Relationship Type="http://schemas.openxmlformats.org/officeDocument/2006/relationships/worksheet" Target="/xl/worksheets/sheet3.xml" Id="Rc700b4a632374512" /><Relationship Type="http://schemas.openxmlformats.org/officeDocument/2006/relationships/worksheet" Target="/xl/worksheets/sheet4.xml" Id="R5523eef0bc0f45dc" /><Relationship Type="http://schemas.openxmlformats.org/officeDocument/2006/relationships/worksheet" Target="/xl/worksheets/sheet5.xml" Id="R6b2f8990863645cc" /><Relationship Type="http://schemas.openxmlformats.org/officeDocument/2006/relationships/worksheet" Target="/xl/worksheets/sheet6.xml" Id="R4aeab2d17f88492a" /></Relationships>
</file>

<file path=xl/tables/table1.xml><?xml version="1.0" encoding="utf-8"?>
<x:table xmlns:x="http://schemas.openxmlformats.org/spreadsheetml/2006/main" id="1" name="DanhMucThuatNgu" displayName="DanhMucThuatNgu" ref="A5:M271" headerRowCount="1" totalsRowCount="0" totalsRowShown="0">
  <x:autoFilter ref="A5:M271"/>
  <x:tableColumns count="13">
    <x:tableColumn id="1" name="STT"/>
    <x:tableColumn id="2" name="Thuật ngữ Việt"/>
    <x:tableColumn id="3" name="Định nghĩa / nghĩa Việt"/>
    <x:tableColumn id="4" name="Thuật ngữ Hàn"/>
    <x:tableColumn id="5" name="Nghĩa tiếng Hàn"/>
    <x:tableColumn id="6" name="Căn cứ nghĩa Việt"/>
    <x:tableColumn id="7" name="Căn cứ nghĩa Hàn"/>
    <x:tableColumn id="8" name="Kiểm tra từ điển Việt"/>
    <x:tableColumn id="9" name="Kiểm tra từ điển Hàn"/>
    <x:tableColumn id="10" name="Nhóm chính"/>
    <x:tableColumn id="11" name="Tiểu loại"/>
    <x:tableColumn id="12" name="Kết luận rà soát"/>
    <x:tableColumn id="13" name="Mã"/>
  </x:tableColumns>
  <x:tableStyleInfo name="TableStyleLight9" showFirstColumn="0" showLastColumn="0" showRowStripes="1" showColumnStripes="0"/>
</x:table>
</file>

<file path=xl/tables/table2.xml><?xml version="1.0" encoding="utf-8"?>
<x:table xmlns:x="http://schemas.openxmlformats.org/spreadsheetml/2006/main" id="2" name="BangRaSoat" displayName="BangRaSoat" ref="A5:Q271" headerRowCount="1" totalsRowCount="0" totalsRowShown="0">
  <x:autoFilter ref="A5:Q271"/>
  <x:tableColumns count="17">
    <x:tableColumn id="1" name="Mã"/>
    <x:tableColumn id="2" name="Thuật ngữ Việt"/>
    <x:tableColumn id="3" name="Biểu thức Hàn gốc"/>
    <x:tableColumn id="4" name="Nhóm"/>
    <x:tableColumn id="5" name="Trạng thái phân loại"/>
    <x:tableColumn id="6" name="Đối chiếu Việt–Hàn"/>
    <x:tableColumn id="7" name="Tư cách đơn vị"/>
    <x:tableColumn id="8" name="Phạm vi chuyên ngành"/>
    <x:tableColumn id="9" name="Mã liên kết khái niệm"/>
    <x:tableColumn id="10" name="Liên hệ / trùng / không gộp"/>
    <x:tableColumn id="11" name="Nhận xét và việc cần kiểm tra"/>
    <x:tableColumn id="12" name="Nguồn nghĩa Việt"/>
    <x:tableColumn id="13" name="Nguồn nghĩa Hàn"/>
    <x:tableColumn id="14" name="Nguồn đối chiếu khác"/>
    <x:tableColumn id="15" name="Bộ dữ liệu"/>
    <x:tableColumn id="16" name="Kết luận rà soát"/>
    <x:tableColumn id="17" name="Đề xuất chuẩn hóa / dạng tra cứu"/>
  </x:tableColumns>
  <x:tableStyleInfo name="TableStyleLight9" showFirstColumn="0" showLastColumn="0" showRowStripes="1" showColumnStripes="0"/>
</x:table>
</file>

<file path=xl/tables/table3.xml><?xml version="1.0" encoding="utf-8"?>
<x:table xmlns:x="http://schemas.openxmlformats.org/spreadsheetml/2006/main" id="3" name="BangChungNguon" displayName="BangChungNguon" ref="A5:K1190" headerRowCount="1" totalsRowCount="0" totalsRowShown="0">
  <x:autoFilter ref="A5:K1190"/>
  <x:tableColumns count="11">
    <x:tableColumn id="1" name="Mã thuật ngữ"/>
    <x:tableColumn id="2" name="Vế đối chiếu"/>
    <x:tableColumn id="3" name="Biểu thức kiểm tra"/>
    <x:tableColumn id="4" name="Kết quả tra từ điển"/>
    <x:tableColumn id="5" name="Loại căn cứ / giới hạn"/>
    <x:tableColumn id="6" name="Ngôn ngữ nguồn"/>
    <x:tableColumn id="7" name="Mã tài liệu"/>
    <x:tableColumn id="8" name="Tên tài liệu / đơn vị"/>
    <x:tableColumn id="9" name="URL nguồn"/>
    <x:tableColumn id="10" name="Nội dung dùng để kiểm tra"/>
    <x:tableColumn id="11" name="Ngày rà soát"/>
  </x:tableColumns>
  <x:tableStyleInfo name="TableStyleLight9" showFirstColumn="0" showLastColumn="0" showRowStripes="1" showColumnStripes="0"/>
</x:table>
</file>

<file path=xl/tables/table4.xml><?xml version="1.0" encoding="utf-8"?>
<x:table xmlns:x="http://schemas.openxmlformats.org/spreadsheetml/2006/main" id="4" name="DoiChieuTiengAnh" displayName="DoiChieuTiengAnh" ref="A5:T271" headerRowCount="1" totalsRowCount="0" totalsRowShown="0">
  <x:autoFilter ref="A5:T271"/>
  <x:tableColumns count="20">
    <x:tableColumn id="1" name="STT"/>
    <x:tableColumn id="2" name="Mã"/>
    <x:tableColumn id="3" name="Thuật ngữ Việt"/>
    <x:tableColumn id="4" name="Anh từ nhánh Việt"/>
    <x:tableColumn id="5" name="Thuật ngữ Hàn"/>
    <x:tableColumn id="6" name="Anh từ nhánh Hàn"/>
    <x:tableColumn id="7" name="So khớp tiếng Anh"/>
    <x:tableColumn id="8" name="Kết luận tương ứng"/>
    <x:tableColumn id="9" name="Điều kiện / nhận xét"/>
    <x:tableColumn id="10" name="Chứng cứ Việt–Anh"/>
    <x:tableColumn id="11" name="Nguồn Việt–Anh"/>
    <x:tableColumn id="12" name="Chứng cứ Hàn–Anh"/>
    <x:tableColumn id="13" name="Nguồn Hàn–Anh"/>
    <x:tableColumn id="14" name="Dạng Việt trong nguồn"/>
    <x:tableColumn id="15" name="Dạng Hàn trong nguồn"/>
    <x:tableColumn id="16" name="Nghĩa ở nhánh Việt–Anh"/>
    <x:tableColumn id="17" name="Nghĩa ở nhánh Hàn–Anh"/>
    <x:tableColumn id="18" name="Nhóm chính"/>
    <x:tableColumn id="19" name="Tư cách đơn vị"/>
    <x:tableColumn id="20" name="Mã liên kết khái niệm"/>
  </x:tableColumns>
  <x:tableStyleInfo name="TableStyleLight9" showFirstColumn="0" showLastColumn="0" showRowStripes="1" showColumnStripes="0"/>
</x:table>
</file>

<file path=xl/tables/table5.xml><?xml version="1.0" encoding="utf-8"?>
<x:table xmlns:x="http://schemas.openxmlformats.org/spreadsheetml/2006/main" id="5" name="NguonGocTu" displayName="NguonGocTu" ref="A5:U271" headerRowCount="1" totalsRowCount="0" totalsRowShown="0">
  <x:autoFilter ref="A5:U271"/>
  <x:tableColumns count="21">
    <x:tableColumn id="1" name="STT"/>
    <x:tableColumn id="2" name="Mã"/>
    <x:tableColumn id="3" name="Thuật ngữ Việt"/>
    <x:tableColumn id="4" name="Cấu tạo Việt"/>
    <x:tableColumn id="5" name="Chứng cứ Việt"/>
    <x:tableColumn id="6" name="Thuật ngữ Hàn"/>
    <x:tableColumn id="7" name="Cấu tạo Hàn"/>
    <x:tableColumn id="8" name="Chứng cứ Hàn"/>
    <x:tableColumn id="9" name="Chứng cứ cả cặp"/>
    <x:tableColumn id="10" name="Tra Hán Nôm"/>
    <x:tableColumn id="11" name="Tách thành tố Việt"/>
    <x:tableColumn id="12" name="Tách thành tố Hàn"/>
    <x:tableColumn id="13" name="Cơ sở và ghi chú Việt"/>
    <x:tableColumn id="14" name="Cơ sở và ghi chú Hàn"/>
    <x:tableColumn id="15" name="Lõi từ vựng Hàn"/>
    <x:tableColumn id="16" name="Tên riêng, viết tắt, số"/>
    <x:tableColumn id="17" name="Nguồn Việt"/>
    <x:tableColumn id="18" name="Nguồn Hàn"/>
    <x:tableColumn id="19" name="Dạng chỉnh để phân tích"/>
    <x:tableColumn id="20" name="Đối chiếu qua Anh"/>
    <x:tableColumn id="21" name="Nhóm nội dung"/>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826511a5be46dd" /></Relationships>
</file>

<file path=xl/worksheets/_rels/sheet2.xml.rels>&#65279;<?xml version="1.0" encoding="utf-8"?><Relationships xmlns="http://schemas.openxmlformats.org/package/2006/relationships"><Relationship Type="http://schemas.openxmlformats.org/officeDocument/2006/relationships/table" Target="/xl/tables/table2.xml" Id="R0f60c6e16c154ef1" /></Relationships>
</file>

<file path=xl/worksheets/_rels/sheet4.xml.rels>&#65279;<?xml version="1.0" encoding="utf-8"?><Relationships xmlns="http://schemas.openxmlformats.org/package/2006/relationships"><Relationship Type="http://schemas.openxmlformats.org/officeDocument/2006/relationships/table" Target="/xl/tables/table3.xml" Id="R305c7051bb684f69" /></Relationships>
</file>

<file path=xl/worksheets/_rels/sheet5.xml.rels>&#65279;<?xml version="1.0" encoding="utf-8"?><Relationships xmlns="http://schemas.openxmlformats.org/package/2006/relationships"><Relationship Type="http://schemas.openxmlformats.org/officeDocument/2006/relationships/table" Target="/xl/tables/table4.xml" Id="R320b423cc5e743f7" /></Relationships>
</file>

<file path=xl/worksheets/_rels/sheet6.xml.rels>&#65279;<?xml version="1.0" encoding="utf-8"?><Relationships xmlns="http://schemas.openxmlformats.org/package/2006/relationships"><Relationship Type="http://schemas.openxmlformats.org/officeDocument/2006/relationships/table" Target="/xl/tables/table5.xml" Id="R9c0dfd99e0db4bf4" /></Relationships>
</file>

<file path=xl/worksheets/sheet1.xml><?xml version="1.0" encoding="utf-8"?>
<x:worksheet xmlns:x="http://schemas.openxmlformats.org/spreadsheetml/2006/main">
  <x:sheetPr>
    <x:tabColor rgb="FF213B58"/>
  </x:sheetPr>
  <x:sheetViews>
    <x:sheetView showGridLines="0" workbookViewId="0">
      <x:pane xSplit="2" ySplit="5" topLeftCell="C6" activePane="bottomRight" state="frozen"/>
    </x:sheetView>
  </x:sheetViews>
  <x:sheetFormatPr defaultRowHeight="15"/>
  <x:cols>
    <x:col min="1" max="1" width="7" hidden="0" customWidth="1"/>
    <x:col min="2" max="2" width="31" hidden="0" customWidth="1"/>
    <x:col min="3" max="3" width="56" hidden="0" customWidth="1"/>
    <x:col min="4" max="4" width="31" hidden="0" customWidth="1"/>
    <x:col min="5" max="5" width="60" hidden="0" customWidth="1"/>
    <x:col min="6" max="6" width="34" hidden="0" customWidth="1"/>
    <x:col min="7" max="7" width="36" hidden="0" customWidth="1"/>
    <x:col min="8" max="8" width="28" hidden="0" customWidth="1"/>
    <x:col min="9" max="9" width="28" hidden="0" customWidth="1"/>
    <x:col min="10" max="10" width="25" hidden="0" customWidth="1"/>
    <x:col min="11" max="11" width="47" hidden="0" customWidth="1"/>
    <x:col min="12" max="12" width="37" hidden="0" customWidth="1"/>
    <x:col min="13" max="13" width="18" hidden="0" customWidth="1"/>
  </x:cols>
  <x:sheetData>
    <x:row r="1">
      <x:c r="A1" s="2"/>
      <x:c r="B1" s="2"/>
      <x:c r="C1" s="2"/>
      <x:c r="D1" s="2"/>
      <x:c r="E1" s="2"/>
      <x:c r="F1" s="2"/>
      <x:c r="G1" s="2"/>
      <x:c r="H1" s="2"/>
      <x:c r="I1" s="2"/>
      <x:c r="J1" s="2"/>
      <x:c r="K1" s="2"/>
      <x:c r="L1" s="2"/>
      <x:c r="M1" s="2"/>
    </x:row>
    <x:row r="2" ht="27.75" customHeight="1">
      <x:c r="A2" s="12" t="str">
        <x:v>Rà soát thuật ngữ chính trị và ngoại giao Việt–Hàn</x:v>
      </x:c>
      <x:c r="B2" s="2"/>
      <x:c r="C2" s="2"/>
      <x:c r="D2" s="2"/>
      <x:c r="E2" s="2"/>
      <x:c r="F2" s="2"/>
      <x:c r="G2" s="2"/>
      <x:c r="H2" s="2"/>
      <x:c r="I2" s="2"/>
      <x:c r="J2" s="2"/>
      <x:c r="K2" s="2"/>
      <x:c r="L2" s="2"/>
      <x:c r="M2" s="2"/>
    </x:row>
    <x:row r="3" ht="18.75" customHeight="1">
      <x:c r="A3" s="13" t="str">
        <x:v>266 dòng dữ liệu: 167 mục gốc + 99 mã C. Giữ nguyên nhãn đầu vào; có các mã trùng khái niệm hoặc đồng danh.</x:v>
      </x:c>
      <x:c r="B3" s="2"/>
      <x:c r="C3" s="2"/>
      <x:c r="D3" s="2"/>
      <x:c r="E3" s="2"/>
      <x:c r="F3" s="2"/>
      <x:c r="G3" s="2"/>
      <x:c r="H3" s="2"/>
      <x:c r="I3" s="2"/>
      <x:c r="J3" s="2"/>
      <x:c r="K3" s="2"/>
      <x:c r="L3" s="2"/>
      <x:c r="M3" s="2"/>
    </x:row>
    <x:row r="4" ht="18.75" customHeight="1">
      <x:c r="A4" s="13" t="str">
        <x:v>Dấu *: chưa có định nghĩa mục từ trực tiếp. Mở Đối chiếu Anh để xét tương ứng; mở Nguồn gốc từ để xét cấu tạo Hán Việt/Hán Hàn.</x:v>
      </x:c>
      <x:c r="B4" s="2"/>
      <x:c r="C4" s="2"/>
      <x:c r="D4" s="2"/>
      <x:c r="E4" s="2"/>
      <x:c r="F4" s="2"/>
      <x:c r="G4" s="2"/>
      <x:c r="H4" s="2"/>
      <x:c r="I4" s="2"/>
      <x:c r="J4" s="2"/>
      <x:c r="K4" s="2"/>
      <x:c r="L4" s="2"/>
      <x:c r="M4" s="2"/>
    </x:row>
    <x:row r="5" ht="36" customHeight="1">
      <x:c r="A5" s="8" t="str">
        <x:v>STT</x:v>
      </x:c>
      <x:c r="B5" s="9" t="str">
        <x:v>Thuật ngữ Việt</x:v>
      </x:c>
      <x:c r="C5" s="9" t="str">
        <x:v>Định nghĩa / nghĩa Việt</x:v>
      </x:c>
      <x:c r="D5" s="9" t="str">
        <x:v>Thuật ngữ Hàn</x:v>
      </x:c>
      <x:c r="E5" s="9" t="str">
        <x:v>Nghĩa tiếng Hàn</x:v>
      </x:c>
      <x:c r="F5" s="9" t="str">
        <x:v>Căn cứ nghĩa Việt</x:v>
      </x:c>
      <x:c r="G5" s="9" t="str">
        <x:v>Căn cứ nghĩa Hàn</x:v>
      </x:c>
      <x:c r="H5" s="9" t="str">
        <x:v>Kiểm tra từ điển Việt</x:v>
      </x:c>
      <x:c r="I5" s="9" t="str">
        <x:v>Kiểm tra từ điển Hàn</x:v>
      </x:c>
      <x:c r="J5" s="9" t="str">
        <x:v>Nhóm chính</x:v>
      </x:c>
      <x:c r="K5" s="9" t="str">
        <x:v>Tiểu loại</x:v>
      </x:c>
      <x:c r="L5" s="9" t="str">
        <x:v>Kết luận rà soát</x:v>
      </x:c>
      <x:c r="M5" s="10" t="str">
        <x:v>Mã</x:v>
      </x:c>
    </x:row>
    <x:row r="6" ht="57" customHeight="1">
      <x:c r="A6" s="14" t="n">
        <x:v>1</x:v>
      </x:c>
      <x:c r="B6" s="11" t="str">
        <x:v>Bí thư Trung ương Đảng</x:v>
      </x:c>
      <x:c r="C6" s="11" t="str">
        <x:v>Chức danh Bí thư ở Trung ương Đảng, tham gia Ban Bí thư theo cơ cấu tổ chức được dẫn.</x:v>
      </x:c>
      <x:c r="D6" s="11" t="str">
        <x:v>당 중앙위원회 서기</x:v>
      </x:c>
      <x:c r="E6" s="11" t="str">
        <x:v>당 중앙위원회의 서기 직책. 이 자료에서는 베트남 공산당 서기국에 참여하는 중앙당 간부를 가리킨다.</x:v>
      </x:c>
      <x:c r="F6" s="17" t="str">
        <x:v>* Nghĩa làm việc; cần nguồn định nghĩa</x:v>
      </x:c>
      <x:c r="G6" s="17" t="str">
        <x:v>* Nghĩa làm việc; cần nguồn định nghĩa</x:v>
      </x:c>
      <x:c r="H6" s="11" t="str">
        <x:v>CẦN TRA — chưa xác minh mục từ</x:v>
      </x:c>
      <x:c r="I6" s="11" t="str">
        <x:v>CẦN TRA — chưa xác minh mục từ</x:v>
      </x:c>
      <x:c r="J6" s="15" t="str">
        <x:v>N1 — 인물</x:v>
      </x:c>
      <x:c r="K6" s="15" t="str">
        <x:v>1.1 | 직위·직함 — Chức vụ, chức danh</x:v>
      </x:c>
      <x:c r="L6" s="11" t="str">
        <x:v>Cần ngữ cảnh song ngữ</x:v>
      </x:c>
      <x:c r="M6" s="11" t="str">
        <x:v>T085</x:v>
      </x:c>
    </x:row>
    <x:row r="7" ht="57" customHeight="1">
      <x:c r="A7" s="14" t="n">
        <x:v>2</x:v>
      </x:c>
      <x:c r="B7" s="11" t="str">
        <x:v>Bộ trưởng</x:v>
      </x:c>
      <x:c r="C7" s="11" t="str">
        <x:v>Người đứng đầu một bộ, phụ trách quản lý lĩnh vực được giao.</x:v>
      </x:c>
      <x:c r="D7" s="11" t="str">
        <x:v>장관</x:v>
      </x:c>
      <x:c r="E7" s="11" t="str">
        <x:v>정부의 한 부처를 지휘하며 담당 정책과 행정을 책임지는 사람.</x:v>
      </x:c>
      <x:c r="F7" s="11" t="str">
        <x:v>Định nghĩa chuyên ngành [VI]</x:v>
      </x:c>
      <x:c r="G7" s="17" t="str">
        <x:v>* Diễn giải mô tả VI</x:v>
      </x:c>
      <x:c r="H7" s="11" t="str">
        <x:v>CẦN TRA — chưa xác minh mục từ</x:v>
      </x:c>
      <x:c r="I7" s="11" t="str">
        <x:v>CẦN TRA — chưa xác minh mục từ</x:v>
      </x:c>
      <x:c r="J7" s="15" t="str">
        <x:v>N1 — 인물</x:v>
      </x:c>
      <x:c r="K7" s="15" t="str">
        <x:v>1.1 | 직위·직함 — Chức vụ, chức danh</x:v>
      </x:c>
      <x:c r="L7" s="18" t="str">
        <x:v>Ứng viên giữ — có căn cứ khái niệm</x:v>
      </x:c>
      <x:c r="M7" s="11" t="str">
        <x:v>T078</x:v>
      </x:c>
    </x:row>
    <x:row r="8" ht="57" customHeight="1">
      <x:c r="A8" s="14" t="n">
        <x:v>3</x:v>
      </x:c>
      <x:c r="B8" s="11" t="str">
        <x:v>Bộ trưởng Bộ Công an</x:v>
      </x:c>
      <x:c r="C8" s="11" t="str">
        <x:v>Chức danh người đứng đầu Bộ Công an.</x:v>
      </x:c>
      <x:c r="D8" s="11" t="str">
        <x:v>공안부 장관</x:v>
      </x:c>
      <x:c r="E8" s="11" t="str">
        <x:v>베트남 공안부를 지휘하고 해당 부처의 업무를 책임지는 장관.</x:v>
      </x:c>
      <x:c r="F8" s="17" t="str">
        <x:v>* Mô tả chính thức</x:v>
      </x:c>
      <x:c r="G8" s="17" t="str">
        <x:v>* Diễn giải mô tả VI</x:v>
      </x:c>
      <x:c r="H8" s="11" t="str">
        <x:v>CẦN TRA — chưa xác minh mục từ</x:v>
      </x:c>
      <x:c r="I8" s="11" t="str">
        <x:v>CẦN TRA — chưa xác minh mục từ</x:v>
      </x:c>
      <x:c r="J8" s="15" t="str">
        <x:v>N1 — 인물</x:v>
      </x:c>
      <x:c r="K8" s="15" t="str">
        <x:v>1.1 | 직위·직함 — Chức vụ, chức danh</x:v>
      </x:c>
      <x:c r="L8" s="18" t="str">
        <x:v>Ứng viên giữ — có căn cứ khái niệm</x:v>
      </x:c>
      <x:c r="M8" s="11" t="str">
        <x:v>T103</x:v>
      </x:c>
    </x:row>
    <x:row r="9" ht="57" customHeight="1">
      <x:c r="A9" s="14" t="n">
        <x:v>4</x:v>
      </x:c>
      <x:c r="B9" s="11" t="str">
        <x:v>Bộ trưởng Bộ Ngoại giao</x:v>
      </x:c>
      <x:c r="C9" s="11" t="str">
        <x:v>Chức danh người đứng đầu Bộ Ngoại giao.</x:v>
      </x:c>
      <x:c r="D9" s="11" t="str">
        <x:v>외교부 장관</x:v>
      </x:c>
      <x:c r="E9" s="11" t="str">
        <x:v>외교 업무를 담당하는 정부 부처의 최고 책임자.</x:v>
      </x:c>
      <x:c r="F9" s="17" t="str">
        <x:v>* Mô tả chính thức</x:v>
      </x:c>
      <x:c r="G9" s="17" t="str">
        <x:v>* Diễn giải mô tả VI</x:v>
      </x:c>
      <x:c r="H9" s="11" t="str">
        <x:v>CẦN TRA — chưa xác minh mục từ</x:v>
      </x:c>
      <x:c r="I9" s="11" t="str">
        <x:v>CẦN TRA — chưa xác minh mục từ</x:v>
      </x:c>
      <x:c r="J9" s="15" t="str">
        <x:v>N1 — 인물</x:v>
      </x:c>
      <x:c r="K9" s="15" t="str">
        <x:v>1.1 | 직위·직함 — Chức vụ, chức danh</x:v>
      </x:c>
      <x:c r="L9" s="18" t="str">
        <x:v>Ứng viên giữ — có căn cứ khái niệm</x:v>
      </x:c>
      <x:c r="M9" s="11" t="str">
        <x:v>T100</x:v>
      </x:c>
    </x:row>
    <x:row r="10" ht="57" customHeight="1">
      <x:c r="A10" s="14" t="n">
        <x:v>5</x:v>
      </x:c>
      <x:c r="B10" s="11" t="str">
        <x:v>Bộ trưởng Bộ Quốc phòng</x:v>
      </x:c>
      <x:c r="C10" s="11" t="str">
        <x:v>Chức danh người đứng đầu Bộ Quốc phòng.</x:v>
      </x:c>
      <x:c r="D10" s="11" t="str">
        <x:v>국방부 장관</x:v>
      </x:c>
      <x:c r="E10" s="11" t="str">
        <x:v>국방을 담당하는 정부 부처의 최고 책임자.</x:v>
      </x:c>
      <x:c r="F10" s="17" t="str">
        <x:v>* Mô tả chính thức</x:v>
      </x:c>
      <x:c r="G10" s="17" t="str">
        <x:v>* Diễn giải mô tả VI</x:v>
      </x:c>
      <x:c r="H10" s="11" t="str">
        <x:v>CẦN TRA — chưa xác minh mục từ</x:v>
      </x:c>
      <x:c r="I10" s="11" t="str">
        <x:v>CẦN TRA — chưa xác minh mục từ</x:v>
      </x:c>
      <x:c r="J10" s="15" t="str">
        <x:v>N1 — 인물</x:v>
      </x:c>
      <x:c r="K10" s="15" t="str">
        <x:v>1.1 | 직위·직함 — Chức vụ, chức danh</x:v>
      </x:c>
      <x:c r="L10" s="18" t="str">
        <x:v>Ứng viên giữ — có căn cứ khái niệm</x:v>
      </x:c>
      <x:c r="M10" s="11" t="str">
        <x:v>T101</x:v>
      </x:c>
    </x:row>
    <x:row r="11" ht="57" customHeight="1">
      <x:c r="A11" s="14" t="n">
        <x:v>6</x:v>
      </x:c>
      <x:c r="B11" s="11" t="str">
        <x:v>Chủ tịch nước</x:v>
      </x:c>
      <x:c r="C11" s="11" t="str">
        <x:v>Nguyên thủ Việt Nam, đại diện Nhà nước về đối nội và đối ngoại.</x:v>
      </x:c>
      <x:c r="D11" s="11" t="str">
        <x:v>국가주석</x:v>
      </x:c>
      <x:c r="E11" s="11" t="str">
        <x:v>베트남을 대내외적으로 대표하는 국가 원수.</x:v>
      </x:c>
      <x:c r="F11" s="11" t="str">
        <x:v>Định nghĩa chuyên ngành [VI]</x:v>
      </x:c>
      <x:c r="G11" s="17" t="str">
        <x:v>* Diễn giải mô tả VI</x:v>
      </x:c>
      <x:c r="H11" s="11" t="str">
        <x:v>CẦN TRA — chưa xác minh mục từ</x:v>
      </x:c>
      <x:c r="I11" s="11" t="str">
        <x:v>CẦN TRA — chưa xác minh mục từ</x:v>
      </x:c>
      <x:c r="J11" s="15" t="str">
        <x:v>N1 — 인물</x:v>
      </x:c>
      <x:c r="K11" s="15" t="str">
        <x:v>1.1 | 직위·직함 — Chức vụ, chức danh</x:v>
      </x:c>
      <x:c r="L11" s="11" t="str">
        <x:v>Cần ngữ cảnh song ngữ</x:v>
      </x:c>
      <x:c r="M11" s="11" t="str">
        <x:v>T076</x:v>
      </x:c>
    </x:row>
    <x:row r="12" ht="57" customHeight="1">
      <x:c r="A12" s="14" t="n">
        <x:v>7</x:v>
      </x:c>
      <x:c r="B12" s="11" t="str">
        <x:v>Chủ tịch Quốc hội</x:v>
      </x:c>
      <x:c r="C12" s="11" t="str">
        <x:v>Chức danh lãnh đạo Quốc hội, chủ trì phiên họp và các nhiệm vụ theo thẩm quyền.</x:v>
      </x:c>
      <x:c r="D12" s="11" t="str">
        <x:v>국회의장</x:v>
      </x:c>
      <x:c r="E12" s="11" t="str">
        <x:v>국회를 대표하며 의사 진행과 국회 운영을 이끄는 의장.</x:v>
      </x:c>
      <x:c r="F12" s="11" t="str">
        <x:v>Định nghĩa chuyên ngành [VI]</x:v>
      </x:c>
      <x:c r="G12" s="17" t="str">
        <x:v>* Diễn giải mô tả VI</x:v>
      </x:c>
      <x:c r="H12" s="11" t="str">
        <x:v>CẦN TRA — chưa xác minh mục từ</x:v>
      </x:c>
      <x:c r="I12" s="11" t="str">
        <x:v>CẦN TRA — chưa xác minh mục từ</x:v>
      </x:c>
      <x:c r="J12" s="15" t="str">
        <x:v>N1 — 인물</x:v>
      </x:c>
      <x:c r="K12" s="15" t="str">
        <x:v>1.1 | 직위·직함 — Chức vụ, chức danh</x:v>
      </x:c>
      <x:c r="L12" s="18" t="str">
        <x:v>Ứng viên giữ — có căn cứ khái niệm</x:v>
      </x:c>
      <x:c r="M12" s="11" t="str">
        <x:v>T077</x:v>
      </x:c>
    </x:row>
    <x:row r="13" ht="57" customHeight="1">
      <x:c r="A13" s="14" t="n">
        <x:v>8</x:v>
      </x:c>
      <x:c r="B13" s="11" t="str">
        <x:v>Chủ tịch Ủy ban nhân dân</x:v>
      </x:c>
      <x:c r="C13" s="11" t="str">
        <x:v>Chức danh người đứng đầu Ủy ban nhân dân của một cấp chính quyền địa phương.</x:v>
      </x:c>
      <x:c r="D13" s="11" t="str">
        <x:v>인민위원장</x:v>
      </x:c>
      <x:c r="E13" s="11" t="str">
        <x:v>인민위원회의 행정 업무를 이끄는 위원장. 여기서는 베트남 지방정부의 직책이다.</x:v>
      </x:c>
      <x:c r="F13" s="11" t="str">
        <x:v>Định nghĩa chuyên ngành [VI]</x:v>
      </x:c>
      <x:c r="G13" s="17" t="str">
        <x:v>* Diễn giải mô tả VI</x:v>
      </x:c>
      <x:c r="H13" s="11" t="str">
        <x:v>CẦN TRA — chưa xác minh mục từ</x:v>
      </x:c>
      <x:c r="I13" s="11" t="str">
        <x:v>CẦN TRA — chưa xác minh mục từ</x:v>
      </x:c>
      <x:c r="J13" s="15" t="str">
        <x:v>N1 — 인물</x:v>
      </x:c>
      <x:c r="K13" s="15" t="str">
        <x:v>1.1 | 직위·직함 — Chức vụ, chức danh</x:v>
      </x:c>
      <x:c r="L13" s="11" t="str">
        <x:v>Cần ngữ cảnh song ngữ</x:v>
      </x:c>
      <x:c r="M13" s="11" t="str">
        <x:v>T089</x:v>
      </x:c>
    </x:row>
    <x:row r="14" ht="57" customHeight="1">
      <x:c r="A14" s="14" t="n">
        <x:v>9</x:v>
      </x:c>
      <x:c r="B14" s="11" t="str">
        <x:v>cử tri</x:v>
      </x:c>
      <x:c r="C14" s="11" t="str">
        <x:v>Người đáp ứng điều kiện pháp luật để bỏ phiếu trong cuộc bầu cử.</x:v>
      </x:c>
      <x:c r="D14" s="11" t="str">
        <x:v>유권자</x:v>
      </x:c>
      <x:c r="E14" s="11" t="str">
        <x:v>선거에서 투표할 수 있는 법적 자격을 가진 사람.</x:v>
      </x:c>
      <x:c r="F14" s="17" t="str">
        <x:v>* Mô tả chính thức</x:v>
      </x:c>
      <x:c r="G14" s="17" t="str">
        <x:v>* Diễn giải mô tả VI</x:v>
      </x:c>
      <x:c r="H14" s="11" t="str">
        <x:v>CẦN TRA — chưa xác minh mục từ</x:v>
      </x:c>
      <x:c r="I14" s="11" t="str">
        <x:v>CẦN TRA — chưa xác minh mục từ</x:v>
      </x:c>
      <x:c r="J14" s="15" t="str">
        <x:v>N1 — 인물</x:v>
      </x:c>
      <x:c r="K14" s="15" t="str">
        <x:v>1.2 | 역할·신분 — Vai trò, tư cách</x:v>
      </x:c>
      <x:c r="L14" s="18" t="str">
        <x:v>Ứng viên giữ — có căn cứ khái niệm</x:v>
      </x:c>
      <x:c r="M14" s="11" t="str">
        <x:v>T003</x:v>
      </x:c>
    </x:row>
    <x:row r="15" ht="57" customHeight="1">
      <x:c r="A15" s="14" t="n">
        <x:v>10</x:v>
      </x:c>
      <x:c r="B15" s="11" t="str">
        <x:v>đại biểu Hội đồng nhân dân</x:v>
      </x:c>
      <x:c r="C15" s="11" t="str">
        <x:v>Người được bầu làm thành viên Hội đồng nhân dân, đại diện nhân dân địa phương.</x:v>
      </x:c>
      <x:c r="D15" s="11" t="str">
        <x:v>인민의회 의원</x:v>
      </x:c>
      <x:c r="E15" s="11" t="str">
        <x:v>지역 주민을 대표하도록 선출된 인민의회의 구성원. 이 자료에서는 베트남 제도를 말한다.</x:v>
      </x:c>
      <x:c r="F15" s="11" t="str">
        <x:v>Định nghĩa chuyên ngành [VI]</x:v>
      </x:c>
      <x:c r="G15" s="17" t="str">
        <x:v>* Diễn giải mô tả VI</x:v>
      </x:c>
      <x:c r="H15" s="11" t="str">
        <x:v>CẦN TRA — chưa xác minh mục từ</x:v>
      </x:c>
      <x:c r="I15" s="11" t="str">
        <x:v>CẦN TRA — chưa xác minh mục từ</x:v>
      </x:c>
      <x:c r="J15" s="15" t="str">
        <x:v>N1 — 인물</x:v>
      </x:c>
      <x:c r="K15" s="15" t="str">
        <x:v>1.2 | 역할·신분 — Vai trò, tư cách</x:v>
      </x:c>
      <x:c r="L15" s="11" t="str">
        <x:v>Cần ngữ cảnh song ngữ</x:v>
      </x:c>
      <x:c r="M15" s="11" t="str">
        <x:v>T090</x:v>
      </x:c>
    </x:row>
    <x:row r="16" ht="57" customHeight="1">
      <x:c r="A16" s="14" t="n">
        <x:v>11</x:v>
      </x:c>
      <x:c r="B16" s="11" t="str">
        <x:v>đại biểu Quốc hội</x:v>
      </x:c>
      <x:c r="C16" s="11" t="str">
        <x:v>Thành viên Quốc hội được bầu để đại diện nhân dân và thực hiện nhiệm vụ đại biểu.</x:v>
      </x:c>
      <x:c r="D16" s="11" t="str">
        <x:v>국회의원</x:v>
      </x:c>
      <x:c r="E16" s="11" t="str">
        <x:v>국민을 대표하여 입법과 국정 심의에 참여하는 국회의 구성원.</x:v>
      </x:c>
      <x:c r="F16" s="11" t="str">
        <x:v>Định nghĩa chuyên ngành [VI]</x:v>
      </x:c>
      <x:c r="G16" s="11" t="str">
        <x:v>Mục từ có nghĩa [KO]</x:v>
      </x:c>
      <x:c r="H16" s="11" t="str">
        <x:v>CẦN TRA — chưa xác minh mục từ</x:v>
      </x:c>
      <x:c r="I16" s="11" t="str">
        <x:v>Có mục từ và đã đọc nghĩa</x:v>
      </x:c>
      <x:c r="J16" s="15" t="str">
        <x:v>N1 — 인물</x:v>
      </x:c>
      <x:c r="K16" s="15" t="str">
        <x:v>1.2 | 역할·신분 — Vai trò, tư cách</x:v>
      </x:c>
      <x:c r="L16" s="18" t="str">
        <x:v>Ứng viên giữ — có căn cứ khái niệm</x:v>
      </x:c>
      <x:c r="M16" s="11" t="str">
        <x:v>T081</x:v>
      </x:c>
    </x:row>
    <x:row r="17" ht="57" customHeight="1">
      <x:c r="A17" s="14" t="n">
        <x:v>12</x:v>
      </x:c>
      <x:c r="B17" s="11" t="str">
        <x:v>Đại sứ</x:v>
      </x:c>
      <x:c r="C17" s="11" t="str">
        <x:v>Chức danh ngoại giao cấp đại sứ, đại diện quốc gia tại nước khác hoặc tổ chức quốc tế theo bổ nhiệm.</x:v>
      </x:c>
      <x:c r="D17" s="11" t="str">
        <x:v>대사</x:v>
      </x:c>
      <x:c r="E17" s="11" t="str">
        <x:v>국가를 대표하도록 임명되는 대사급 외교관. 주재국이나 국제기구에서 대표 임무를 수행한다.</x:v>
      </x:c>
      <x:c r="F17" s="17" t="str">
        <x:v>* Mô tả chính thức</x:v>
      </x:c>
      <x:c r="G17" s="17" t="str">
        <x:v>* Diễn giải mô tả VI</x:v>
      </x:c>
      <x:c r="H17" s="11" t="str">
        <x:v>CẦN TRA — chưa xác minh mục từ</x:v>
      </x:c>
      <x:c r="I17" s="11" t="str">
        <x:v>CẦN TRA — chưa xác minh mục từ</x:v>
      </x:c>
      <x:c r="J17" s="15" t="str">
        <x:v>N1 — 인물</x:v>
      </x:c>
      <x:c r="K17" s="15" t="str">
        <x:v>1.1 | 직위·직함 — Chức vụ, chức danh</x:v>
      </x:c>
      <x:c r="L17" s="18" t="str">
        <x:v>Ứng viên giữ — có căn cứ khái niệm</x:v>
      </x:c>
      <x:c r="M17" s="11" t="str">
        <x:v>T079</x:v>
      </x:c>
    </x:row>
    <x:row r="18" ht="57" customHeight="1">
      <x:c r="A18" s="14" t="n">
        <x:v>13</x:v>
      </x:c>
      <x:c r="B18" s="11" t="str">
        <x:v>đảng viên</x:v>
      </x:c>
      <x:c r="C18" s="11" t="str">
        <x:v>Người có tư cách thành viên chính đảng.</x:v>
      </x:c>
      <x:c r="D18" s="11" t="str">
        <x:v>당원</x:v>
      </x:c>
      <x:c r="E18" s="11" t="str">
        <x:v>정당 가입 절차에 따라 당의 구성원 자격을 얻은 사람.</x:v>
      </x:c>
      <x:c r="F18" s="17" t="str">
        <x:v>* Mô tả chính thức</x:v>
      </x:c>
      <x:c r="G18" s="11" t="str">
        <x:v>Định nghĩa chuyên ngành [KO]</x:v>
      </x:c>
      <x:c r="H18" s="11" t="str">
        <x:v>CẦN TRA — chưa xác minh mục từ</x:v>
      </x:c>
      <x:c r="I18" s="11" t="str">
        <x:v>CẦN TRA — chưa xác minh mục từ</x:v>
      </x:c>
      <x:c r="J18" s="15" t="str">
        <x:v>N1 — 인물</x:v>
      </x:c>
      <x:c r="K18" s="15" t="str">
        <x:v>1.2 | 역할·신분 — Vai trò, tư cách</x:v>
      </x:c>
      <x:c r="L18" s="18" t="str">
        <x:v>Ứng viên giữ — có căn cứ khái niệm</x:v>
      </x:c>
      <x:c r="M18" s="11" t="str">
        <x:v>T002</x:v>
      </x:c>
    </x:row>
    <x:row r="19" ht="57" customHeight="1">
      <x:c r="A19" s="14" t="n">
        <x:v>14</x:v>
      </x:c>
      <x:c r="B19" s="11" t="str">
        <x:v>nguyên thủ quốc gia</x:v>
      </x:c>
      <x:c r="C19" s="11" t="str">
        <x:v>Người giữ tư cách đứng đầu và đại diện Nhà nước theo thể chế của quốc gia.</x:v>
      </x:c>
      <x:c r="D19" s="11" t="str">
        <x:v>국가원수</x:v>
      </x:c>
      <x:c r="E19" s="11" t="str">
        <x:v>국가를 대표하는 최고 지위의 인물. 공화국의 대통령이나 군주국의 군주 등이 해당한다.</x:v>
      </x:c>
      <x:c r="F19" s="17" t="str">
        <x:v>* Mô tả chính thức</x:v>
      </x:c>
      <x:c r="G19" s="11" t="str">
        <x:v>Mục từ có nghĩa [KO]</x:v>
      </x:c>
      <x:c r="H19" s="11" t="str">
        <x:v>CẦN TRA — chưa xác minh mục từ</x:v>
      </x:c>
      <x:c r="I19" s="11" t="str">
        <x:v>Có mục từ và đã đọc nghĩa</x:v>
      </x:c>
      <x:c r="J19" s="15" t="str">
        <x:v>N1 — 인물</x:v>
      </x:c>
      <x:c r="K19" s="15" t="str">
        <x:v>1.2 | 역할·신분 — Vai trò, tư cách</x:v>
      </x:c>
      <x:c r="L19" s="18" t="str">
        <x:v>Ứng viên giữ — có căn cứ khái niệm</x:v>
      </x:c>
      <x:c r="M19" s="11" t="str">
        <x:v>M011</x:v>
      </x:c>
    </x:row>
    <x:row r="20" ht="57" customHeight="1">
      <x:c r="A20" s="14" t="n">
        <x:v>15</x:v>
      </x:c>
      <x:c r="B20" s="11" t="str">
        <x:v>người phát ngôn</x:v>
      </x:c>
      <x:c r="C20" s="11" t="str">
        <x:v>Người được giao phát biểu quan điểm hoặc thông tin chính thức thay mặt một chủ thể.</x:v>
      </x:c>
      <x:c r="D20" s="11" t="str">
        <x:v>대변인</x:v>
      </x:c>
      <x:c r="E20" s="11" t="str">
        <x:v>다른 사람이나 단체의 입장과 의견을 대신하여 밝히는 사람.</x:v>
      </x:c>
      <x:c r="F20" s="17" t="str">
        <x:v>* Nghĩa làm việc; cần nguồn định nghĩa</x:v>
      </x:c>
      <x:c r="G20" s="11" t="str">
        <x:v>Mục từ có nghĩa [KO]</x:v>
      </x:c>
      <x:c r="H20" s="11" t="str">
        <x:v>CẦN TRA — chưa xác minh mục từ</x:v>
      </x:c>
      <x:c r="I20" s="11" t="str">
        <x:v>Có mục từ và đã đọc nghĩa</x:v>
      </x:c>
      <x:c r="J20" s="15" t="str">
        <x:v>N1 — 인물</x:v>
      </x:c>
      <x:c r="K20" s="15" t="str">
        <x:v>1.2 | 역할·신분 — Vai trò, tư cách</x:v>
      </x:c>
      <x:c r="L20" s="11" t="str">
        <x:v>Cần bổ sung nguồn định nghĩa</x:v>
      </x:c>
      <x:c r="M20" s="11" t="str">
        <x:v>T093</x:v>
      </x:c>
    </x:row>
    <x:row r="21" ht="57" customHeight="1">
      <x:c r="A21" s="14" t="n">
        <x:v>16</x:v>
      </x:c>
      <x:c r="B21" s="11" t="str">
        <x:v>người phát ngôn Bộ Ngoại giao</x:v>
      </x:c>
      <x:c r="C21" s="11" t="str">
        <x:v>Người được giao công bố thông tin và phát biểu chính thức thay mặt Bộ Ngoại giao.</x:v>
      </x:c>
      <x:c r="D21" s="11" t="str">
        <x:v>외교부 대변인</x:v>
      </x:c>
      <x:c r="E21" s="11" t="str">
        <x:v>외교부의 공식 입장과 정보를 언론 등에 전달하는 대변인.</x:v>
      </x:c>
      <x:c r="F21" s="17" t="str">
        <x:v>* Nghĩa làm việc; cần nguồn định nghĩa</x:v>
      </x:c>
      <x:c r="G21" s="17" t="str">
        <x:v>* Nghĩa làm việc; cần nguồn định nghĩa</x:v>
      </x:c>
      <x:c r="H21" s="11" t="str">
        <x:v>CẦN TRA — chưa xác minh mục từ</x:v>
      </x:c>
      <x:c r="I21" s="11" t="str">
        <x:v>CẦN TRA — chưa xác minh mục từ</x:v>
      </x:c>
      <x:c r="J21" s="15" t="str">
        <x:v>N1 — 인물</x:v>
      </x:c>
      <x:c r="K21" s="15" t="str">
        <x:v>1.2 | 역할·신분 — Vai trò, tư cách</x:v>
      </x:c>
      <x:c r="L21" s="11" t="str">
        <x:v>Cần bổ sung nguồn định nghĩa</x:v>
      </x:c>
      <x:c r="M21" s="11" t="str">
        <x:v>T097</x:v>
      </x:c>
    </x:row>
    <x:row r="22" ht="57" customHeight="1">
      <x:c r="A22" s="14" t="n">
        <x:v>17</x:v>
      </x:c>
      <x:c r="B22" s="11" t="str">
        <x:v>Phó Chủ tịch Quốc hội</x:v>
      </x:c>
      <x:c r="C22" s="11" t="str">
        <x:v>Chức danh cấp phó, giúp Chủ tịch Quốc hội theo phân công.</x:v>
      </x:c>
      <x:c r="D22" s="11" t="str">
        <x:v>국회 부의장</x:v>
      </x:c>
      <x:c r="E22" s="11" t="str">
        <x:v>국회의장을 보좌하고 맡겨진 의회 운영 업무를 수행하는 부의장.</x:v>
      </x:c>
      <x:c r="F22" s="11" t="str">
        <x:v>Định nghĩa chuyên ngành [VI]</x:v>
      </x:c>
      <x:c r="G22" s="17" t="str">
        <x:v>* Diễn giải mô tả VI</x:v>
      </x:c>
      <x:c r="H22" s="11" t="str">
        <x:v>CẦN TRA — chưa xác minh mục từ</x:v>
      </x:c>
      <x:c r="I22" s="11" t="str">
        <x:v>CẦN TRA — chưa xác minh mục từ</x:v>
      </x:c>
      <x:c r="J22" s="15" t="str">
        <x:v>N1 — 인물</x:v>
      </x:c>
      <x:c r="K22" s="15" t="str">
        <x:v>1.1 | 직위·직함 — Chức vụ, chức danh</x:v>
      </x:c>
      <x:c r="L22" s="18" t="str">
        <x:v>Ứng viên giữ — có căn cứ khái niệm</x:v>
      </x:c>
      <x:c r="M22" s="11" t="str">
        <x:v>T088</x:v>
      </x:c>
    </x:row>
    <x:row r="23" ht="57" customHeight="1">
      <x:c r="A23" s="14" t="n">
        <x:v>18</x:v>
      </x:c>
      <x:c r="B23" s="11" t="str">
        <x:v>Phó Thủ tướng</x:v>
      </x:c>
      <x:c r="C23" s="11" t="str">
        <x:v>Chức danh giúp Thủ tướng và phụ trách những công việc được phân công.</x:v>
      </x:c>
      <x:c r="D23" s="11" t="str">
        <x:v>부총리</x:v>
      </x:c>
      <x:c r="E23" s="11" t="str">
        <x:v>총리를 보좌하며 배정받은 국정 업무를 담당하는 부총리 직책.</x:v>
      </x:c>
      <x:c r="F23" s="11" t="str">
        <x:v>Định nghĩa chuyên ngành [VI]</x:v>
      </x:c>
      <x:c r="G23" s="17" t="str">
        <x:v>* Diễn giải mô tả VI</x:v>
      </x:c>
      <x:c r="H23" s="11" t="str">
        <x:v>CẦN TRA — chưa xác minh mục từ</x:v>
      </x:c>
      <x:c r="I23" s="11" t="str">
        <x:v>CẦN TRA — chưa xác minh mục từ</x:v>
      </x:c>
      <x:c r="J23" s="15" t="str">
        <x:v>N1 — 인물</x:v>
      </x:c>
      <x:c r="K23" s="15" t="str">
        <x:v>1.1 | 직위·직함 — Chức vụ, chức danh</x:v>
      </x:c>
      <x:c r="L23" s="18" t="str">
        <x:v>Ứng viên giữ — có căn cứ khái niệm</x:v>
      </x:c>
      <x:c r="M23" s="11" t="str">
        <x:v>T082</x:v>
      </x:c>
    </x:row>
    <x:row r="24" ht="57" customHeight="1">
      <x:c r="A24" s="14" t="n">
        <x:v>19</x:v>
      </x:c>
      <x:c r="B24" s="11" t="str">
        <x:v>Phó Thủ tướng Thường trực</x:v>
      </x:c>
      <x:c r="C24" s="11" t="str">
        <x:v>Phó Thủ tướng được giao nhiệm vụ Thường trực theo phân công của Chính phủ.</x:v>
      </x:c>
      <x:c r="D24" s="11" t="str">
        <x:v>상임 부총리</x:v>
      </x:c>
      <x:c r="E24" s="11" t="str">
        <x:v>부총리 가운데 상시 조정 업무 등을 맡도록 지정된 직책이라는 작업상 해석. 임시 총리 대행과는 구별한다.</x:v>
      </x:c>
      <x:c r="F24" s="17" t="str">
        <x:v>* Nghĩa làm việc; cần nguồn định nghĩa</x:v>
      </x:c>
      <x:c r="G24" s="17" t="str">
        <x:v>* Nghĩa làm việc; cần nguồn định nghĩa</x:v>
      </x:c>
      <x:c r="H24" s="11" t="str">
        <x:v>CẦN TRA — chưa xác minh mục từ</x:v>
      </x:c>
      <x:c r="I24" s="11" t="str">
        <x:v>CẦN TRA — chưa xác minh mục từ</x:v>
      </x:c>
      <x:c r="J24" s="15" t="str">
        <x:v>N1 — 인물</x:v>
      </x:c>
      <x:c r="K24" s="15" t="str">
        <x:v>1.1 | 직위·직함 — Chức vụ, chức danh</x:v>
      </x:c>
      <x:c r="L24" s="11" t="str">
        <x:v>Cần ngữ cảnh song ngữ</x:v>
      </x:c>
      <x:c r="M24" s="11" t="str">
        <x:v>M036</x:v>
      </x:c>
    </x:row>
    <x:row r="25" ht="57" customHeight="1">
      <x:c r="A25" s="14" t="n">
        <x:v>20</x:v>
      </x:c>
      <x:c r="B25" s="11" t="str">
        <x:v>Phó Trưởng Ban Tuyên giáo và Dân vận Trung ương</x:v>
      </x:c>
      <x:c r="C25" s="11" t="str">
        <x:v>Chức danh cấp phó của người đứng đầu Ban Tuyên giáo và Dân vận Trung ương.</x:v>
      </x:c>
      <x:c r="D25" s="11" t="str">
        <x:v>중앙위 선전교육대중동원위원회 부위원장</x:v>
      </x:c>
      <x:c r="E25" s="11" t="str">
        <x:v>베트남 공산당 중앙의 선전교육·대중동원 담당 기구에서 기관장을 보좌하는 부책임자.</x:v>
      </x:c>
      <x:c r="F25" s="17" t="str">
        <x:v>* Nghĩa làm việc; cần nguồn định nghĩa</x:v>
      </x:c>
      <x:c r="G25" s="17" t="str">
        <x:v>* Nghĩa làm việc; cần nguồn định nghĩa</x:v>
      </x:c>
      <x:c r="H25" s="11" t="str">
        <x:v>CẦN TRA — chưa xác minh mục từ</x:v>
      </x:c>
      <x:c r="I25" s="11" t="str">
        <x:v>CẦN TRA — chưa xác minh mục từ</x:v>
      </x:c>
      <x:c r="J25" s="15" t="str">
        <x:v>N1 — 인물</x:v>
      </x:c>
      <x:c r="K25" s="15" t="str">
        <x:v>1.1 | 직위·직함 — Chức vụ, chức danh</x:v>
      </x:c>
      <x:c r="L25" s="11" t="str">
        <x:v>Cần ngữ cảnh song ngữ</x:v>
      </x:c>
      <x:c r="M25" s="11" t="str">
        <x:v>M052</x:v>
      </x:c>
    </x:row>
    <x:row r="26" ht="57" customHeight="1">
      <x:c r="A26" s="14" t="n">
        <x:v>21</x:v>
      </x:c>
      <x:c r="B26" s="11" t="str">
        <x:v>phu nhân Tổng thống Hàn Quốc</x:v>
      </x:c>
      <x:c r="C26" s="11" t="str">
        <x:v>Cách gọi người vợ của Tổng thống Hàn Quốc trong ngữ cảnh lễ tân của bài; không tự chỉ một chức vụ.</x:v>
      </x:c>
      <x:c r="D26" s="11" t="str">
        <x:v>대한민국 이재명 대통령의 부인</x:v>
      </x:c>
      <x:c r="E26" s="11" t="str">
        <x:v>대한민국 대통령 이재명의 배우자를 가리키는 서술적 표현으로, 사람 이름을 포함한다.</x:v>
      </x:c>
      <x:c r="F26" s="17" t="str">
        <x:v>* Nghĩa làm việc; cần nguồn định nghĩa</x:v>
      </x:c>
      <x:c r="G26" s="17" t="str">
        <x:v>* Nghĩa làm việc; cần nguồn định nghĩa</x:v>
      </x:c>
      <x:c r="H26" s="11" t="str">
        <x:v>CẦN TRA — chưa xác minh mục từ</x:v>
      </x:c>
      <x:c r="I26" s="11" t="str">
        <x:v>CẦN TRA — chưa xác minh mục từ</x:v>
      </x:c>
      <x:c r="J26" s="15" t="str">
        <x:v>N1 — 인물</x:v>
      </x:c>
      <x:c r="K26" s="15" t="str">
        <x:v>1.2 | 역할·신분 — Vai trò, tư cách</x:v>
      </x:c>
      <x:c r="L26" s="20" t="str">
        <x:v>Biểu thức ngữ liệu — cần chuẩn hóa</x:v>
      </x:c>
      <x:c r="M26" s="11" t="str">
        <x:v>NEW_G1_FL01</x:v>
      </x:c>
    </x:row>
    <x:row r="27" ht="57" customHeight="1">
      <x:c r="A27" s="14" t="n">
        <x:v>22</x:v>
      </x:c>
      <x:c r="B27" s="11" t="str">
        <x:v>Thị trưởng</x:v>
      </x:c>
      <x:c r="C27" s="11" t="str">
        <x:v>Người đứng đầu chính quyền thành phố theo thể chế của nước được nói tới.</x:v>
      </x:c>
      <x:c r="D27" s="11" t="str">
        <x:v>시장</x:v>
      </x:c>
      <x:c r="E27" s="11" t="str">
        <x:v>한 도시의 지방행정을 책임지는 지방자치단체장.</x:v>
      </x:c>
      <x:c r="F27" s="17" t="str">
        <x:v>* Nghĩa làm việc; cần nguồn định nghĩa</x:v>
      </x:c>
      <x:c r="G27" s="17" t="str">
        <x:v>* Nghĩa làm việc; cần nguồn định nghĩa</x:v>
      </x:c>
      <x:c r="H27" s="11" t="str">
        <x:v>CẦN TRA — chưa xác minh mục từ</x:v>
      </x:c>
      <x:c r="I27" s="11" t="str">
        <x:v>CẦN TRA — chưa xác minh mục từ</x:v>
      </x:c>
      <x:c r="J27" s="15" t="str">
        <x:v>N1 — 인물</x:v>
      </x:c>
      <x:c r="K27" s="15" t="str">
        <x:v>1.1 | 직위·직함 — Chức vụ, chức danh</x:v>
      </x:c>
      <x:c r="L27" s="11" t="str">
        <x:v>Cần ngữ cảnh song ngữ</x:v>
      </x:c>
      <x:c r="M27" s="11" t="str">
        <x:v>T099</x:v>
      </x:c>
    </x:row>
    <x:row r="28" ht="57" customHeight="1">
      <x:c r="A28" s="14" t="n">
        <x:v>23</x:v>
      </x:c>
      <x:c r="B28" s="11" t="str">
        <x:v>Thủ tướng</x:v>
      </x:c>
      <x:c r="C28" s="11" t="str">
        <x:v>Người đứng đầu Chính phủ theo thể chế được nói tới.</x:v>
      </x:c>
      <x:c r="D28" s="11" t="str">
        <x:v>총리</x:v>
      </x:c>
      <x:c r="E28" s="11" t="str">
        <x:v>정부의 수반인 총리. 국가별 헌법에 따라 권한과 대통령과의 관계가 달라진다.</x:v>
      </x:c>
      <x:c r="F28" s="11" t="str">
        <x:v>Định nghĩa chuyên ngành [VI]</x:v>
      </x:c>
      <x:c r="G28" s="17" t="str">
        <x:v>* Diễn giải mô tả VI</x:v>
      </x:c>
      <x:c r="H28" s="11" t="str">
        <x:v>CẦN TRA — chưa xác minh mục từ</x:v>
      </x:c>
      <x:c r="I28" s="11" t="str">
        <x:v>CẦN TRA — chưa xác minh mục từ</x:v>
      </x:c>
      <x:c r="J28" s="15" t="str">
        <x:v>N1 — 인물</x:v>
      </x:c>
      <x:c r="K28" s="15" t="str">
        <x:v>1.1 | 직위·직함 — Chức vụ, chức danh</x:v>
      </x:c>
      <x:c r="L28" s="11" t="str">
        <x:v>Cần ngữ cảnh song ngữ</x:v>
      </x:c>
      <x:c r="M28" s="11" t="str">
        <x:v>T074</x:v>
      </x:c>
    </x:row>
    <x:row r="29" ht="57" customHeight="1">
      <x:c r="A29" s="14" t="n">
        <x:v>24</x:v>
      </x:c>
      <x:c r="B29" s="11" t="str">
        <x:v>Thứ trưởng</x:v>
      </x:c>
      <x:c r="C29" s="11" t="str">
        <x:v>Chức danh lãnh đạo cấp phó trong bộ, giúp Bộ trưởng theo phân công.</x:v>
      </x:c>
      <x:c r="D29" s="11" t="str">
        <x:v>차관</x:v>
      </x:c>
      <x:c r="E29" s="11" t="str">
        <x:v>장관을 보좌하며 필요할 때 그 직무를 대신하는 장관 아래의 직위 또는 그 담당자.</x:v>
      </x:c>
      <x:c r="F29" s="17" t="str">
        <x:v>* Nghĩa làm việc; cần nguồn định nghĩa</x:v>
      </x:c>
      <x:c r="G29" s="11" t="str">
        <x:v>Mục từ có nghĩa [KO]</x:v>
      </x:c>
      <x:c r="H29" s="11" t="str">
        <x:v>CẦN TRA — chưa xác minh mục từ</x:v>
      </x:c>
      <x:c r="I29" s="11" t="str">
        <x:v>Có mục từ và đã đọc nghĩa</x:v>
      </x:c>
      <x:c r="J29" s="15" t="str">
        <x:v>N1 — 인물</x:v>
      </x:c>
      <x:c r="K29" s="15" t="str">
        <x:v>1.1 | 직위·직함 — Chức vụ, chức danh</x:v>
      </x:c>
      <x:c r="L29" s="11" t="str">
        <x:v>Cần bổ sung nguồn định nghĩa</x:v>
      </x:c>
      <x:c r="M29" s="11" t="str">
        <x:v>T087</x:v>
      </x:c>
    </x:row>
    <x:row r="30" ht="57" customHeight="1">
      <x:c r="A30" s="14" t="n">
        <x:v>25</x:v>
      </x:c>
      <x:c r="B30" s="11" t="str">
        <x:v>Thứ trưởng Bộ Ngoại giao</x:v>
      </x:c>
      <x:c r="C30" s="11" t="str">
        <x:v>Chức danh lãnh đạo cấp phó trong Bộ Ngoại giao, giúp Bộ trưởng.</x:v>
      </x:c>
      <x:c r="D30" s="11" t="str">
        <x:v>외교부 차관</x:v>
      </x:c>
      <x:c r="E30" s="11" t="str">
        <x:v>외교부 장관을 보좌하고 분담된 외교 업무를 맡는 차관.</x:v>
      </x:c>
      <x:c r="F30" s="17" t="str">
        <x:v>* Nghĩa làm việc; cần nguồn định nghĩa</x:v>
      </x:c>
      <x:c r="G30" s="17" t="str">
        <x:v>* Nghĩa làm việc; cần nguồn định nghĩa</x:v>
      </x:c>
      <x:c r="H30" s="11" t="str">
        <x:v>CẦN TRA — chưa xác minh mục từ</x:v>
      </x:c>
      <x:c r="I30" s="11" t="str">
        <x:v>CẦN TRA — chưa xác minh mục từ</x:v>
      </x:c>
      <x:c r="J30" s="15" t="str">
        <x:v>N1 — 인물</x:v>
      </x:c>
      <x:c r="K30" s="15" t="str">
        <x:v>1.1 | 직위·직함 — Chức vụ, chức danh</x:v>
      </x:c>
      <x:c r="L30" s="11" t="str">
        <x:v>Cần bổ sung nguồn định nghĩa</x:v>
      </x:c>
      <x:c r="M30" s="11" t="str">
        <x:v>T102</x:v>
      </x:c>
    </x:row>
    <x:row r="31" ht="57" customHeight="1">
      <x:c r="A31" s="14" t="n">
        <x:v>26</x:v>
      </x:c>
      <x:c r="B31" s="11" t="str">
        <x:v>Thứ trưởng Thứ nhất Bộ Ngoại giao</x:v>
      </x:c>
      <x:c r="C31" s="11" t="str">
        <x:v>Thứ trưởng mang thứ bậc “Thứ nhất” trong cơ cấu Bộ Ngoại giao của quốc gia được nói tới.</x:v>
      </x:c>
      <x:c r="D31" s="11" t="str">
        <x:v>외교부 제1차관</x:v>
      </x:c>
      <x:c r="E31" s="11" t="str">
        <x:v>외교부의 복수 차관 가운데 제1차관으로 구분되는 직책. 관할 업무는 해당 국가의 조직에 따른다.</x:v>
      </x:c>
      <x:c r="F31" s="17" t="str">
        <x:v>* Nghĩa làm việc; cần nguồn định nghĩa</x:v>
      </x:c>
      <x:c r="G31" s="17" t="str">
        <x:v>* Nghĩa làm việc; cần nguồn định nghĩa</x:v>
      </x:c>
      <x:c r="H31" s="11" t="str">
        <x:v>CẦN TRA — chưa xác minh mục từ</x:v>
      </x:c>
      <x:c r="I31" s="11" t="str">
        <x:v>CẦN TRA — chưa xác minh mục từ</x:v>
      </x:c>
      <x:c r="J31" s="15" t="str">
        <x:v>N1 — 인물</x:v>
      </x:c>
      <x:c r="K31" s="15" t="str">
        <x:v>1.1 | 직위·직함 — Chức vụ, chức danh</x:v>
      </x:c>
      <x:c r="L31" s="11" t="str">
        <x:v>Cần ngữ cảnh song ngữ</x:v>
      </x:c>
      <x:c r="M31" s="11" t="str">
        <x:v>T184</x:v>
      </x:c>
    </x:row>
    <x:row r="32" ht="57" customHeight="1">
      <x:c r="A32" s="14" t="n">
        <x:v>27</x:v>
      </x:c>
      <x:c r="B32" s="11" t="str">
        <x:v>Thứ trưởng Thường trực Bộ Ngoại giao</x:v>
      </x:c>
      <x:c r="C32" s="11" t="str">
        <x:v>Thứ trưởng Bộ Ngoại giao được giao nhiệm vụ Thường trực trong cơ cấu và phân công tương ứng.</x:v>
      </x:c>
      <x:c r="D32" s="11" t="str">
        <x:v>외교부 상임차관</x:v>
      </x:c>
      <x:c r="E32" s="11" t="str">
        <x:v>외교부에서 상임 업무를 맡는 차관이라는 베트남 직책의 번역 표현. 제1차관과 자동으로 같지 않다.</x:v>
      </x:c>
      <x:c r="F32" s="17" t="str">
        <x:v>* Nghĩa làm việc; cần nguồn định nghĩa</x:v>
      </x:c>
      <x:c r="G32" s="17" t="str">
        <x:v>* Nghĩa làm việc; cần nguồn định nghĩa</x:v>
      </x:c>
      <x:c r="H32" s="11" t="str">
        <x:v>CẦN TRA — chưa xác minh mục từ</x:v>
      </x:c>
      <x:c r="I32" s="11" t="str">
        <x:v>CẦN TRA — chưa xác minh mục từ</x:v>
      </x:c>
      <x:c r="J32" s="15" t="str">
        <x:v>N1 — 인물</x:v>
      </x:c>
      <x:c r="K32" s="15" t="str">
        <x:v>1.1 | 직위·직함 — Chức vụ, chức danh</x:v>
      </x:c>
      <x:c r="L32" s="11" t="str">
        <x:v>Cần ngữ cảnh song ngữ</x:v>
      </x:c>
      <x:c r="M32" s="11" t="str">
        <x:v>T185</x:v>
      </x:c>
    </x:row>
    <x:row r="33" ht="57" customHeight="1">
      <x:c r="A33" s="14" t="n">
        <x:v>28</x:v>
      </x:c>
      <x:c r="B33" s="11" t="str">
        <x:v>Thường trực Ban Bí thư</x:v>
      </x:c>
      <x:c r="C33" s="11" t="str">
        <x:v>Chức danh được phân công xử lý, điều hành công việc thường xuyên của Ban Bí thư.</x:v>
      </x:c>
      <x:c r="D33" s="11" t="str">
        <x:v>베트남 공산당 중앙위원회 서기국 상임위원</x:v>
      </x:c>
      <x:c r="E33" s="11" t="str">
        <x:v>베트남 공산당 중앙위원회 서기국의 상임위원이라는 표현. 원문의 특정 조정 직책과 권한이 같은지는 확인이 필요하다.</x:v>
      </x:c>
      <x:c r="F33" s="17" t="str">
        <x:v>* Nghĩa làm việc; cần nguồn định nghĩa</x:v>
      </x:c>
      <x:c r="G33" s="17" t="str">
        <x:v>* Nghĩa làm việc; cần nguồn định nghĩa</x:v>
      </x:c>
      <x:c r="H33" s="11" t="str">
        <x:v>CẦN TRA — chưa xác minh mục từ</x:v>
      </x:c>
      <x:c r="I33" s="11" t="str">
        <x:v>CẦN TRA — chưa xác minh mục từ</x:v>
      </x:c>
      <x:c r="J33" s="15" t="str">
        <x:v>N1 — 인물</x:v>
      </x:c>
      <x:c r="K33" s="15" t="str">
        <x:v>1.1 | 직위·직함 — Chức vụ, chức danh</x:v>
      </x:c>
      <x:c r="L33" s="11" t="str">
        <x:v>Cần ngữ cảnh song ngữ</x:v>
      </x:c>
      <x:c r="M33" s="11" t="str">
        <x:v>T086</x:v>
      </x:c>
    </x:row>
    <x:row r="34" ht="57" customHeight="1">
      <x:c r="A34" s="14" t="n">
        <x:v>29</x:v>
      </x:c>
      <x:c r="B34" s="11" t="str">
        <x:v>Tổng Bí thư</x:v>
      </x:c>
      <x:c r="C34" s="11" t="str">
        <x:v>Người đứng đầu chính đảng; ở đây là ĐCSVN.</x:v>
      </x:c>
      <x:c r="D34" s="11" t="str">
        <x:v>서기장</x:v>
      </x:c>
      <x:c r="E34" s="11" t="str">
        <x:v>사회주의·공산주의 정당에서 최고 지도자를 가리키는 당 직책.</x:v>
      </x:c>
      <x:c r="F34" s="17" t="str">
        <x:v>* Mô tả chính thức</x:v>
      </x:c>
      <x:c r="G34" s="11" t="str">
        <x:v>Mục từ có nghĩa [KO]</x:v>
      </x:c>
      <x:c r="H34" s="11" t="str">
        <x:v>CẦN TRA — chưa xác minh mục từ</x:v>
      </x:c>
      <x:c r="I34" s="11" t="str">
        <x:v>Có mục từ và đã đọc nghĩa</x:v>
      </x:c>
      <x:c r="J34" s="15" t="str">
        <x:v>N1 — 인물</x:v>
      </x:c>
      <x:c r="K34" s="15" t="str">
        <x:v>1.1 | 직위·직함 — Chức vụ, chức danh</x:v>
      </x:c>
      <x:c r="L34" s="18" t="str">
        <x:v>Ứng viên giữ — có căn cứ khái niệm</x:v>
      </x:c>
      <x:c r="M34" s="11" t="str">
        <x:v>T075</x:v>
      </x:c>
    </x:row>
    <x:row r="35" ht="57" customHeight="1">
      <x:c r="A35" s="14" t="n">
        <x:v>30</x:v>
      </x:c>
      <x:c r="B35" s="11" t="str">
        <x:v>Tổng thống</x:v>
      </x:c>
      <x:c r="C35" s="11" t="str">
        <x:v>Chức danh nguyên thủ trong thể chế dùng tên gọi Tổng thống; quyền hành tùy hiến pháp.</x:v>
      </x:c>
      <x:c r="D35" s="11" t="str">
        <x:v>대통령</x:v>
      </x:c>
      <x:c r="E35" s="11" t="str">
        <x:v>공화국의 국가 대표이자 최고 행정 직위를 가리키는 말. 실제 권한은 국가별 제도에 따른다.</x:v>
      </x:c>
      <x:c r="F35" s="17" t="str">
        <x:v>* Mô tả chính thức</x:v>
      </x:c>
      <x:c r="G35" s="11" t="str">
        <x:v>Mục từ có nghĩa [KO]</x:v>
      </x:c>
      <x:c r="H35" s="11" t="str">
        <x:v>CẦN TRA — chưa xác minh mục từ</x:v>
      </x:c>
      <x:c r="I35" s="11" t="str">
        <x:v>Có mục từ và đã đọc nghĩa</x:v>
      </x:c>
      <x:c r="J35" s="15" t="str">
        <x:v>N1 — 인물</x:v>
      </x:c>
      <x:c r="K35" s="15" t="str">
        <x:v>1.1 | 직위·직함 — Chức vụ, chức danh</x:v>
      </x:c>
      <x:c r="L35" s="18" t="str">
        <x:v>Ứng viên giữ — có căn cứ khái niệm</x:v>
      </x:c>
      <x:c r="M35" s="11" t="str">
        <x:v>T084</x:v>
      </x:c>
    </x:row>
    <x:row r="36" ht="57" customHeight="1">
      <x:c r="A36" s="14" t="n">
        <x:v>31</x:v>
      </x:c>
      <x:c r="B36" s="11" t="str">
        <x:v>Tổng Thư ký</x:v>
      </x:c>
      <x:c r="C36" s="11" t="str">
        <x:v>Người đứng đầu hoặc điều hành ban thư ký của một tổ chức theo quy định tổ chức đó.</x:v>
      </x:c>
      <x:c r="D36" s="11" t="str">
        <x:v>사무총장</x:v>
      </x:c>
      <x:c r="E36" s="11" t="str">
        <x:v>조직의 사무국을 총괄하고 사무를 집행하는 최고 책임자.</x:v>
      </x:c>
      <x:c r="F36" s="17" t="str">
        <x:v>* Nghĩa làm việc; cần nguồn định nghĩa</x:v>
      </x:c>
      <x:c r="G36" s="17" t="str">
        <x:v>* Nghĩa làm việc; cần nguồn định nghĩa</x:v>
      </x:c>
      <x:c r="H36" s="11" t="str">
        <x:v>CẦN TRA — chưa xác minh mục từ</x:v>
      </x:c>
      <x:c r="I36" s="11" t="str">
        <x:v>CẦN TRA — chưa xác minh mục từ</x:v>
      </x:c>
      <x:c r="J36" s="15" t="str">
        <x:v>N1 — 인물</x:v>
      </x:c>
      <x:c r="K36" s="15" t="str">
        <x:v>1.1 | 직위·직함 — Chức vụ, chức danh</x:v>
      </x:c>
      <x:c r="L36" s="11" t="str">
        <x:v>Cần ngữ cảnh song ngữ</x:v>
      </x:c>
      <x:c r="M36" s="11" t="str">
        <x:v>T091</x:v>
      </x:c>
    </x:row>
    <x:row r="37" ht="57" customHeight="1">
      <x:c r="A37" s="14" t="n">
        <x:v>32</x:v>
      </x:c>
      <x:c r="B37" s="11" t="str">
        <x:v>Ủy viên Bộ Chính trị</x:v>
      </x:c>
      <x:c r="C37" s="11" t="str">
        <x:v>Thành viên Bộ Chính trị của chính đảng.</x:v>
      </x:c>
      <x:c r="D37" s="11" t="str">
        <x:v>중앙정치국 위원</x:v>
      </x:c>
      <x:c r="E37" s="11" t="str">
        <x:v>정당 정치국의 구성원.</x:v>
      </x:c>
      <x:c r="F37" s="17" t="str">
        <x:v>* Mô tả chính thức</x:v>
      </x:c>
      <x:c r="G37" s="17" t="str">
        <x:v>* Diễn giải mô tả VI</x:v>
      </x:c>
      <x:c r="H37" s="11" t="str">
        <x:v>CẦN TRA — chưa xác minh mục từ</x:v>
      </x:c>
      <x:c r="I37" s="11" t="str">
        <x:v>CẦN TRA — chưa xác minh mục từ</x:v>
      </x:c>
      <x:c r="J37" s="15" t="str">
        <x:v>N1 — 인물</x:v>
      </x:c>
      <x:c r="K37" s="15" t="str">
        <x:v>1.2 | 역할·신분 — Vai trò, tư cách</x:v>
      </x:c>
      <x:c r="L37" s="18" t="str">
        <x:v>Ứng viên giữ — có căn cứ khái niệm</x:v>
      </x:c>
      <x:c r="M37" s="11" t="str">
        <x:v>T080</x:v>
      </x:c>
    </x:row>
    <x:row r="38" ht="57" customHeight="1">
      <x:c r="A38" s="14" t="n">
        <x:v>33</x:v>
      </x:c>
      <x:c r="B38" s="11" t="str">
        <x:v>Ủy viên Trung ương Đảng</x:v>
      </x:c>
      <x:c r="C38" s="11" t="str">
        <x:v>Người có tư cách thành viên Ban Chấp hành Trung ương Đảng.</x:v>
      </x:c>
      <x:c r="D38" s="11" t="str">
        <x:v>당 중앙위원회 위원</x:v>
      </x:c>
      <x:c r="E38" s="11" t="str">
        <x:v>정당 중앙위원회의 구성원. 베트남 문맥에서는 당 중앙집행위원회 위원을 가리킨다.</x:v>
      </x:c>
      <x:c r="F38" s="17" t="str">
        <x:v>* Mô tả chính thức</x:v>
      </x:c>
      <x:c r="G38" s="17" t="str">
        <x:v>* Diễn giải mô tả VI</x:v>
      </x:c>
      <x:c r="H38" s="11" t="str">
        <x:v>CẦN TRA — chưa xác minh mục từ</x:v>
      </x:c>
      <x:c r="I38" s="11" t="str">
        <x:v>CẦN TRA — chưa xác minh mục từ</x:v>
      </x:c>
      <x:c r="J38" s="15" t="str">
        <x:v>N1 — 인물</x:v>
      </x:c>
      <x:c r="K38" s="15" t="str">
        <x:v>1.2 | 역할·신분 — Vai trò, tư cách</x:v>
      </x:c>
      <x:c r="L38" s="18" t="str">
        <x:v>Ứng viên giữ — có căn cứ khái niệm</x:v>
      </x:c>
      <x:c r="M38" s="11" t="str">
        <x:v>T083</x:v>
      </x:c>
    </x:row>
    <x:row r="39" ht="57" customHeight="1">
      <x:c r="A39" s="14" t="n">
        <x:v>34</x:v>
      </x:c>
      <x:c r="B39" s="11" t="str">
        <x:v>Ban Bí thư</x:v>
      </x:c>
      <x:c r="C39" s="11" t="str">
        <x:v>Cơ quan lãnh đạo công việc Đảng thường xuyên.</x:v>
      </x:c>
      <x:c r="D39" s="11" t="str">
        <x:v>서기국</x:v>
      </x:c>
      <x:c r="E39" s="11" t="str">
        <x:v>당의 일상 업무를 지도하는 서기국.</x:v>
      </x:c>
      <x:c r="F39" s="17" t="str">
        <x:v>* Mô tả chính thức</x:v>
      </x:c>
      <x:c r="G39" s="17" t="str">
        <x:v>* Diễn giải mô tả VI</x:v>
      </x:c>
      <x:c r="H39" s="11" t="str">
        <x:v>Tên riêng: có nguồn về đối tượng</x:v>
      </x:c>
      <x:c r="I39" s="11" t="str">
        <x:v>Tên riêng: có nguồn về đối tượng</x:v>
      </x:c>
      <x:c r="J39" s="15" t="str">
        <x:v>N2 — 기관·조직</x:v>
      </x:c>
      <x:c r="K39" s="15" t="str">
        <x:v>2.4 | 기타 조직 — Tổ chức khác</x:v>
      </x:c>
      <x:c r="L39" s="11" t="str">
        <x:v>Cần ngữ cảnh song ngữ</x:v>
      </x:c>
      <x:c r="M39" s="11" t="str">
        <x:v>CGI003</x:v>
      </x:c>
    </x:row>
    <x:row r="40" ht="57" customHeight="1">
      <x:c r="A40" s="14" t="n">
        <x:v>35</x:v>
      </x:c>
      <x:c r="B40" s="11" t="str">
        <x:v>Ban Chấp hành Trung ương Đảng</x:v>
      </x:c>
      <x:c r="C40" s="11" t="str">
        <x:v>Cơ quan lãnh đạo trung ương của Đảng do Đại hội đại biểu toàn quốc bầu.</x:v>
      </x:c>
      <x:c r="D40" s="11" t="str">
        <x:v>당 중앙위원회</x:v>
      </x:c>
      <x:c r="E40" s="11" t="str">
        <x:v>전당대회에서 선출되는 정당의 중앙 지도기관. 여기서는 베트남 공산당 중앙위원회이다.</x:v>
      </x:c>
      <x:c r="F40" s="17" t="str">
        <x:v>* Mô tả chính thức</x:v>
      </x:c>
      <x:c r="G40" s="17" t="str">
        <x:v>* Diễn giải mô tả VI</x:v>
      </x:c>
      <x:c r="H40" s="11" t="str">
        <x:v>Tên riêng: có nguồn về đối tượng</x:v>
      </x:c>
      <x:c r="I40" s="11" t="str">
        <x:v>Tên riêng: có nguồn về đối tượng</x:v>
      </x:c>
      <x:c r="J40" s="15" t="str">
        <x:v>N2 — 기관·조직</x:v>
      </x:c>
      <x:c r="K40" s="15" t="str">
        <x:v>2.4 | 기타 조직 — Tổ chức khác</x:v>
      </x:c>
      <x:c r="L40" s="18" t="str">
        <x:v>Ứng viên giữ — có căn cứ khái niệm</x:v>
      </x:c>
      <x:c r="M40" s="11" t="str">
        <x:v>T113</x:v>
      </x:c>
    </x:row>
    <x:row r="41" ht="57" customHeight="1">
      <x:c r="A41" s="14" t="n">
        <x:v>36</x:v>
      </x:c>
      <x:c r="B41" s="11" t="str">
        <x:v>Ban Tổ chức Trung ương</x:v>
      </x:c>
      <x:c r="C41" s="11" t="str">
        <x:v>Cơ quan Trung ương Đảng phụ trách tham mưu về tổ chức và cán bộ.</x:v>
      </x:c>
      <x:c r="D41" s="11" t="str">
        <x:v>중앙조직위원회</x:v>
      </x:c>
      <x:c r="E41" s="11" t="str">
        <x:v>베트남 공산당 중앙에서 당 조직과 간부 업무를 담당하는 기구를 가리키는 번역명.</x:v>
      </x:c>
      <x:c r="F41" s="17" t="str">
        <x:v>* Mô tả chính thức</x:v>
      </x:c>
      <x:c r="G41" s="17" t="str">
        <x:v>* Diễn giải mô tả VI</x:v>
      </x:c>
      <x:c r="H41" s="11" t="str">
        <x:v>Tên riêng: có nguồn về đối tượng</x:v>
      </x:c>
      <x:c r="I41" s="11" t="str">
        <x:v>Tên riêng: có nguồn về đối tượng</x:v>
      </x:c>
      <x:c r="J41" s="15" t="str">
        <x:v>N2 — 기관·조직</x:v>
      </x:c>
      <x:c r="K41" s="15" t="str">
        <x:v>2.4 | 기타 조직 — Tổ chức khác</x:v>
      </x:c>
      <x:c r="L41" s="11" t="str">
        <x:v>Cần ngữ cảnh song ngữ</x:v>
      </x:c>
      <x:c r="M41" s="11" t="str">
        <x:v>T124</x:v>
      </x:c>
    </x:row>
    <x:row r="42" ht="57" customHeight="1">
      <x:c r="A42" s="14" t="n">
        <x:v>37</x:v>
      </x:c>
      <x:c r="B42" s="11" t="str">
        <x:v>Ban Tuyên giáo và Dân vận Trung ương</x:v>
      </x:c>
      <x:c r="C42" s="11" t="str">
        <x:v>Cơ quan Trung ương Đảng tham mưu về tuyên giáo và dân vận theo cơ cấu được dẫn.</x:v>
      </x:c>
      <x:c r="D42" s="11" t="str">
        <x:v>당 중앙위 선전교육대중동원위원회</x:v>
      </x:c>
      <x:c r="E42" s="11" t="str">
        <x:v>베트남 공산당 중앙에서 선전교육과 대중동원 업무를 담당하는 기구.</x:v>
      </x:c>
      <x:c r="F42" s="17" t="str">
        <x:v>* Mô tả chính thức</x:v>
      </x:c>
      <x:c r="G42" s="17" t="str">
        <x:v>* Diễn giải mô tả VI</x:v>
      </x:c>
      <x:c r="H42" s="11" t="str">
        <x:v>Tên riêng: có nguồn về đối tượng</x:v>
      </x:c>
      <x:c r="I42" s="11" t="str">
        <x:v>Tên riêng: có nguồn về đối tượng</x:v>
      </x:c>
      <x:c r="J42" s="15" t="str">
        <x:v>N2 — 기관·조직</x:v>
      </x:c>
      <x:c r="K42" s="15" t="str">
        <x:v>2.4 | 기타 조직 — Tổ chức khác</x:v>
      </x:c>
      <x:c r="L42" s="11" t="str">
        <x:v>Cần ngữ cảnh song ngữ</x:v>
      </x:c>
      <x:c r="M42" s="11" t="str">
        <x:v>T123</x:v>
      </x:c>
    </x:row>
    <x:row r="43" ht="57" customHeight="1">
      <x:c r="A43" s="14" t="n">
        <x:v>38</x:v>
      </x:c>
      <x:c r="B43" s="11" t="str">
        <x:v>Bộ Chính trị</x:v>
      </x:c>
      <x:c r="C43" s="11" t="str">
        <x:v>Cơ quan lãnh đạo Đảng do Trung ương bầu.</x:v>
      </x:c>
      <x:c r="D43" s="11" t="str">
        <x:v>중앙정치국</x:v>
      </x:c>
      <x:c r="E43" s="11" t="str">
        <x:v>중앙위원회에서 선출되는 당 지도기관.</x:v>
      </x:c>
      <x:c r="F43" s="17" t="str">
        <x:v>* Mô tả chính thức</x:v>
      </x:c>
      <x:c r="G43" s="17" t="str">
        <x:v>* Diễn giải mô tả VI</x:v>
      </x:c>
      <x:c r="H43" s="11" t="str">
        <x:v>Tên riêng: có nguồn về đối tượng</x:v>
      </x:c>
      <x:c r="I43" s="11" t="str">
        <x:v>Tên riêng: có nguồn về đối tượng</x:v>
      </x:c>
      <x:c r="J43" s="15" t="str">
        <x:v>N2 — 기관·조직</x:v>
      </x:c>
      <x:c r="K43" s="15" t="str">
        <x:v>2.4 | 기타 조직 — Tổ chức khác</x:v>
      </x:c>
      <x:c r="L43" s="18" t="str">
        <x:v>Ứng viên giữ — có căn cứ khái niệm</x:v>
      </x:c>
      <x:c r="M43" s="11" t="str">
        <x:v>T107</x:v>
      </x:c>
    </x:row>
    <x:row r="44" ht="57" customHeight="1">
      <x:c r="A44" s="14" t="n">
        <x:v>39</x:v>
      </x:c>
      <x:c r="B44" s="11" t="str">
        <x:v>Bộ Công an</x:v>
      </x:c>
      <x:c r="C44" s="11" t="str">
        <x:v>Bộ thực hiện quản lý nhà nước về an ninh và trật tự, an toàn xã hội.</x:v>
      </x:c>
      <x:c r="D44" s="11" t="str">
        <x:v>공안부</x:v>
      </x:c>
      <x:c r="E44" s="11" t="str">
        <x:v>베트남에서 국가안보와 사회질서 관련 업무를 담당하는 중앙 정부 부처.</x:v>
      </x:c>
      <x:c r="F44" s="17" t="str">
        <x:v>* Nghĩa làm việc; cần nguồn định nghĩa</x:v>
      </x:c>
      <x:c r="G44" s="17" t="str">
        <x:v>* Nghĩa làm việc; cần nguồn định nghĩa</x:v>
      </x:c>
      <x:c r="H44" s="11" t="str">
        <x:v>Tên riêng: có nguồn về đối tượng</x:v>
      </x:c>
      <x:c r="I44" s="11" t="str">
        <x:v>Tên riêng: có nguồn về đối tượng</x:v>
      </x:c>
      <x:c r="J44" s="15" t="str">
        <x:v>N2 — 기관·조직</x:v>
      </x:c>
      <x:c r="K44" s="15" t="str">
        <x:v>2.1 | 국가기관 — Cơ quan nhà nước</x:v>
      </x:c>
      <x:c r="L44" s="11" t="str">
        <x:v>Cần ngữ cảnh song ngữ</x:v>
      </x:c>
      <x:c r="M44" s="11" t="str">
        <x:v>T119</x:v>
      </x:c>
    </x:row>
    <x:row r="45" ht="57" customHeight="1">
      <x:c r="A45" s="14" t="n">
        <x:v>40</x:v>
      </x:c>
      <x:c r="B45" s="11" t="str">
        <x:v>Bộ Công Thương</x:v>
      </x:c>
      <x:c r="C45" s="11" t="str">
        <x:v>Bộ quản lý nhà nước về công nghiệp và thương mại cùng các lĩnh vực được giao.</x:v>
      </x:c>
      <x:c r="D45" s="11" t="str">
        <x:v>베트남 산업통상부</x:v>
      </x:c>
      <x:c r="E45" s="11" t="str">
        <x:v>베트남의 산업과 상업·무역 관련 행정을 맡는 정부 부처.</x:v>
      </x:c>
      <x:c r="F45" s="11" t="str">
        <x:v>Định nghĩa chuyên ngành [VI]</x:v>
      </x:c>
      <x:c r="G45" s="17" t="str">
        <x:v>* Diễn giải mô tả VI</x:v>
      </x:c>
      <x:c r="H45" s="11" t="str">
        <x:v>Tên riêng: có nguồn về đối tượng</x:v>
      </x:c>
      <x:c r="I45" s="11" t="str">
        <x:v>Tên riêng: có nguồn về đối tượng</x:v>
      </x:c>
      <x:c r="J45" s="15" t="str">
        <x:v>N2 — 기관·조직</x:v>
      </x:c>
      <x:c r="K45" s="15" t="str">
        <x:v>2.1 | 국가기관 — Cơ quan nhà nước</x:v>
      </x:c>
      <x:c r="L45" s="18" t="str">
        <x:v>Ứng viên giữ — có căn cứ khái niệm</x:v>
      </x:c>
      <x:c r="M45" s="11" t="str">
        <x:v>M025</x:v>
      </x:c>
    </x:row>
    <x:row r="46" ht="57" customHeight="1">
      <x:c r="A46" s="14" t="n">
        <x:v>41</x:v>
      </x:c>
      <x:c r="B46" s="11" t="str">
        <x:v>Bộ Khoa học và Công nghệ</x:v>
      </x:c>
      <x:c r="C46" s="11" t="str">
        <x:v>Bộ quản lý nhà nước về khoa học, công nghệ và các lĩnh vực được giao trong cơ cấu tương ứng.</x:v>
      </x:c>
      <x:c r="D46" s="11" t="str">
        <x:v>과학기술부</x:v>
      </x:c>
      <x:c r="E46" s="11" t="str">
        <x:v>베트남의 과학기술 정책과 관련 행정을 담당하는 정부 부처.</x:v>
      </x:c>
      <x:c r="F46" s="11" t="str">
        <x:v>Định nghĩa chuyên ngành [VI]</x:v>
      </x:c>
      <x:c r="G46" s="17" t="str">
        <x:v>* Diễn giải mô tả VI</x:v>
      </x:c>
      <x:c r="H46" s="11" t="str">
        <x:v>Tên riêng: có nguồn về đối tượng</x:v>
      </x:c>
      <x:c r="I46" s="11" t="str">
        <x:v>Tên riêng: có nguồn về đối tượng</x:v>
      </x:c>
      <x:c r="J46" s="15" t="str">
        <x:v>N2 — 기관·조직</x:v>
      </x:c>
      <x:c r="K46" s="15" t="str">
        <x:v>2.1 | 국가기관 — Cơ quan nhà nước</x:v>
      </x:c>
      <x:c r="L46" s="11" t="str">
        <x:v>Cần ngữ cảnh song ngữ</x:v>
      </x:c>
      <x:c r="M46" s="11" t="str">
        <x:v>M023</x:v>
      </x:c>
    </x:row>
    <x:row r="47" ht="57" customHeight="1">
      <x:c r="A47" s="14" t="n">
        <x:v>42</x:v>
      </x:c>
      <x:c r="B47" s="11" t="str">
        <x:v>bộ máy nhà nước</x:v>
      </x:c>
      <x:c r="C47" s="11" t="str">
        <x:v>Tổng thể cơ quan được tổ chức để thực hiện chức năng của Nhà nước.</x:v>
      </x:c>
      <x:c r="D47" s="11" t="str">
        <x:v>국가기구</x:v>
      </x:c>
      <x:c r="E47" s="11" t="str">
        <x:v>국가의 기능과 권한을 수행하도록 조직된 국가기관들의 전체 체계.</x:v>
      </x:c>
      <x:c r="F47" s="17" t="str">
        <x:v>* Nghĩa làm việc; cần nguồn định nghĩa</x:v>
      </x:c>
      <x:c r="G47" s="17" t="str">
        <x:v>* Nghĩa làm việc; cần nguồn định nghĩa</x:v>
      </x:c>
      <x:c r="H47" s="11" t="str">
        <x:v>CẦN TRA — chưa xác minh mục từ</x:v>
      </x:c>
      <x:c r="I47" s="11" t="str">
        <x:v>CẦN TRA — chưa xác minh mục từ</x:v>
      </x:c>
      <x:c r="J47" s="15" t="str">
        <x:v>N2 — 기관·조직</x:v>
      </x:c>
      <x:c r="K47" s="15" t="str">
        <x:v>2.1 | 국가기관 — Cơ quan nhà nước</x:v>
      </x:c>
      <x:c r="L47" s="11" t="str">
        <x:v>Cần ngữ cảnh song ngữ</x:v>
      </x:c>
      <x:c r="M47" s="11" t="str">
        <x:v>T130</x:v>
      </x:c>
    </x:row>
    <x:row r="48" ht="57" customHeight="1">
      <x:c r="A48" s="14" t="n">
        <x:v>43</x:v>
      </x:c>
      <x:c r="B48" s="11" t="str">
        <x:v>Bộ Ngoại giao</x:v>
      </x:c>
      <x:c r="C48" s="11" t="str">
        <x:v>Bộ quản lý và tổ chức thực hiện công tác đối ngoại của Nhà nước.</x:v>
      </x:c>
      <x:c r="D48" s="11" t="str">
        <x:v>외교부</x:v>
      </x:c>
      <x:c r="E48" s="11" t="str">
        <x:v>국가의 대외관계와 외교 업무를 담당하는 정부 부처.</x:v>
      </x:c>
      <x:c r="F48" s="11" t="str">
        <x:v>Định nghĩa chuyên ngành [VI]</x:v>
      </x:c>
      <x:c r="G48" s="17" t="str">
        <x:v>* Diễn giải mô tả VI</x:v>
      </x:c>
      <x:c r="H48" s="11" t="str">
        <x:v>Tên riêng: có nguồn về đối tượng</x:v>
      </x:c>
      <x:c r="I48" s="11" t="str">
        <x:v>Tên riêng: có nguồn về đối tượng</x:v>
      </x:c>
      <x:c r="J48" s="15" t="str">
        <x:v>N2 — 기관·조직</x:v>
      </x:c>
      <x:c r="K48" s="15" t="str">
        <x:v>2.1 | 국가기관 — Cơ quan nhà nước</x:v>
      </x:c>
      <x:c r="L48" s="11" t="str">
        <x:v>Cần ngữ cảnh song ngữ</x:v>
      </x:c>
      <x:c r="M48" s="11" t="str">
        <x:v>T120</x:v>
      </x:c>
    </x:row>
    <x:row r="49" ht="57" customHeight="1">
      <x:c r="A49" s="14" t="n">
        <x:v>44</x:v>
      </x:c>
      <x:c r="B49" s="11" t="str">
        <x:v>Bộ Quốc phòng</x:v>
      </x:c>
      <x:c r="C49" s="11" t="str">
        <x:v>Bộ quản lý nhà nước về quốc phòng.</x:v>
      </x:c>
      <x:c r="D49" s="11" t="str">
        <x:v>국방부</x:v>
      </x:c>
      <x:c r="E49" s="11" t="str">
        <x:v>국방 정책과 군사 관련 행정을 담당하는 정부 부처.</x:v>
      </x:c>
      <x:c r="F49" s="17" t="str">
        <x:v>* Mô tả chính thức</x:v>
      </x:c>
      <x:c r="G49" s="17" t="str">
        <x:v>* Diễn giải mô tả VI</x:v>
      </x:c>
      <x:c r="H49" s="11" t="str">
        <x:v>Tên riêng: có nguồn về đối tượng</x:v>
      </x:c>
      <x:c r="I49" s="11" t="str">
        <x:v>Tên riêng: có nguồn về đối tượng</x:v>
      </x:c>
      <x:c r="J49" s="15" t="str">
        <x:v>N2 — 기관·조직</x:v>
      </x:c>
      <x:c r="K49" s="15" t="str">
        <x:v>2.1 | 국가기관 — Cơ quan nhà nước</x:v>
      </x:c>
      <x:c r="L49" s="11" t="str">
        <x:v>Cần ngữ cảnh song ngữ</x:v>
      </x:c>
      <x:c r="M49" s="11" t="str">
        <x:v>T114</x:v>
      </x:c>
    </x:row>
    <x:row r="50" ht="57" customHeight="1">
      <x:c r="A50" s="14" t="n">
        <x:v>45</x:v>
      </x:c>
      <x:c r="B50" s="11" t="str">
        <x:v>Bộ Y tế</x:v>
      </x:c>
      <x:c r="C50" s="11" t="str">
        <x:v>Bộ quản lý nhà nước về y tế và các lĩnh vực được giao.</x:v>
      </x:c>
      <x:c r="D50" s="11" t="str">
        <x:v>베트남 보건부</x:v>
      </x:c>
      <x:c r="E50" s="11" t="str">
        <x:v>베트남에서 보건의료 관련 정책과 행정을 담당하는 정부 부처.</x:v>
      </x:c>
      <x:c r="F50" s="17" t="str">
        <x:v>* Nghĩa làm việc; cần nguồn định nghĩa</x:v>
      </x:c>
      <x:c r="G50" s="17" t="str">
        <x:v>* Nghĩa làm việc; cần nguồn định nghĩa</x:v>
      </x:c>
      <x:c r="H50" s="11" t="str">
        <x:v>Tên riêng: có nguồn về đối tượng</x:v>
      </x:c>
      <x:c r="I50" s="11" t="str">
        <x:v>Tên riêng: có nguồn về đối tượng</x:v>
      </x:c>
      <x:c r="J50" s="15" t="str">
        <x:v>N2 — 기관·조직</x:v>
      </x:c>
      <x:c r="K50" s="15" t="str">
        <x:v>2.1 | 국가기관 — Cơ quan nhà nước</x:v>
      </x:c>
      <x:c r="L50" s="11" t="str">
        <x:v>Cần ngữ cảnh song ngữ</x:v>
      </x:c>
      <x:c r="M50" s="11" t="str">
        <x:v>M029</x:v>
      </x:c>
    </x:row>
    <x:row r="51" ht="57" customHeight="1">
      <x:c r="A51" s="14" t="n">
        <x:v>46</x:v>
      </x:c>
      <x:c r="B51" s="11" t="str">
        <x:v>Cảnh sát biển Việt Nam</x:v>
      </x:c>
      <x:c r="C51" s="11" t="str">
        <x:v>Lực lượng chuyên trách của Việt Nam thực thi pháp luật và bảo vệ an ninh, trật tự trên biển theo thẩm quyền.</x:v>
      </x:c>
      <x:c r="D51" s="11" t="str">
        <x:v>베트남 해경</x:v>
      </x:c>
      <x:c r="E51" s="11" t="str">
        <x:v>베트남 해역에서 법 집행과 해상 안보·질서 임무를 수행하는 해양경찰 성격의 국가 전담 조직.</x:v>
      </x:c>
      <x:c r="F51" s="17" t="str">
        <x:v>* Mô tả chính thức</x:v>
      </x:c>
      <x:c r="G51" s="17" t="str">
        <x:v>* Diễn giải mô tả VI</x:v>
      </x:c>
      <x:c r="H51" s="11" t="str">
        <x:v>Tên riêng: có nguồn về đối tượng</x:v>
      </x:c>
      <x:c r="I51" s="11" t="str">
        <x:v>Tên riêng: có nguồn về đối tượng</x:v>
      </x:c>
      <x:c r="J51" s="15" t="str">
        <x:v>N2 — 기관·조직</x:v>
      </x:c>
      <x:c r="K51" s="15" t="str">
        <x:v>2.4 | 기타 조직 — Tổ chức khác</x:v>
      </x:c>
      <x:c r="L51" s="18" t="str">
        <x:v>Ứng viên giữ — có căn cứ khái niệm</x:v>
      </x:c>
      <x:c r="M51" s="11" t="str">
        <x:v>M039</x:v>
      </x:c>
    </x:row>
    <x:row r="52" ht="57" customHeight="1">
      <x:c r="A52" s="14" t="n">
        <x:v>47</x:v>
      </x:c>
      <x:c r="B52" s="11" t="str">
        <x:v>Chính phủ</x:v>
      </x:c>
      <x:c r="C52" s="11" t="str">
        <x:v>Cơ quan hành pháp và hành chính nhà nước cao nhất theo thể chế Việt Nam.</x:v>
      </x:c>
      <x:c r="D52" s="11" t="str">
        <x:v>정부</x:v>
      </x:c>
      <x:c r="E52" s="11" t="str">
        <x:v>국가의 행정과 정책 집행을 담당하는 기관. 여기서는 베트남의 최고 행정기관을 뜻한다.</x:v>
      </x:c>
      <x:c r="F52" s="11" t="str">
        <x:v>Định nghĩa chuyên ngành [VI]</x:v>
      </x:c>
      <x:c r="G52" s="17" t="str">
        <x:v>* Diễn giải mô tả VI</x:v>
      </x:c>
      <x:c r="H52" s="11" t="str">
        <x:v>CẦN TRA — chưa xác minh mục từ</x:v>
      </x:c>
      <x:c r="I52" s="11" t="str">
        <x:v>CẦN TRA — chưa xác minh mục từ</x:v>
      </x:c>
      <x:c r="J52" s="15" t="str">
        <x:v>N2 — 기관·조직</x:v>
      </x:c>
      <x:c r="K52" s="15" t="str">
        <x:v>2.1 | 국가기관 — Cơ quan nhà nước</x:v>
      </x:c>
      <x:c r="L52" s="18" t="str">
        <x:v>Ứng viên giữ — có căn cứ khái niệm</x:v>
      </x:c>
      <x:c r="M52" s="11" t="str">
        <x:v>T105</x:v>
      </x:c>
    </x:row>
    <x:row r="53" ht="57" customHeight="1">
      <x:c r="A53" s="14" t="n">
        <x:v>48</x:v>
      </x:c>
      <x:c r="B53" s="11" t="str">
        <x:v>cơ quan ngôn luận của Đảng</x:v>
      </x:c>
      <x:c r="C53" s="11" t="str">
        <x:v>Tổ chức báo chí thực hiện chức năng thể hiện và phổ biến tiếng nói của Đảng; trong mẫu là Báo Nhân Dân.</x:v>
      </x:c>
      <x:c r="D53" s="11" t="str">
        <x:v>당 기관지</x:v>
      </x:c>
      <x:c r="E53" s="11" t="str">
        <x:v>정당의 이념과 입장을 알리기 위해 발행하는 신문·간행물을 뜻하는 표현.</x:v>
      </x:c>
      <x:c r="F53" s="17" t="str">
        <x:v>* Nghĩa làm việc; cần nguồn định nghĩa</x:v>
      </x:c>
      <x:c r="G53" s="17" t="str">
        <x:v>* Nghĩa làm việc; cần nguồn định nghĩa</x:v>
      </x:c>
      <x:c r="H53" s="11" t="str">
        <x:v>CẦN TRA — chưa xác minh mục từ</x:v>
      </x:c>
      <x:c r="I53" s="11" t="str">
        <x:v>CẦN TRA — chưa xác minh mục từ</x:v>
      </x:c>
      <x:c r="J53" s="15" t="str">
        <x:v>N2 — 기관·조직</x:v>
      </x:c>
      <x:c r="K53" s="15" t="str">
        <x:v>2.4 | 기타 조직 — Tổ chức khác</x:v>
      </x:c>
      <x:c r="L53" s="20" t="str">
        <x:v>Cần đối chiếu/sửa cặp</x:v>
      </x:c>
      <x:c r="M53" s="11" t="str">
        <x:v>M051</x:v>
      </x:c>
    </x:row>
    <x:row r="54" ht="57" customHeight="1">
      <x:c r="A54" s="14" t="n">
        <x:v>49</x:v>
      </x:c>
      <x:c r="B54" s="11" t="str">
        <x:v>Đại hội đồng Liên hợp quốc</x:v>
      </x:c>
      <x:c r="C54" s="11" t="str">
        <x:v>Cơ quan thảo luận, hoạch định chính sách và đại diện rộng rãi của Liên hợp quốc, gồm các quốc gia thành viên.</x:v>
      </x:c>
      <x:c r="D54" s="11" t="str">
        <x:v>유엔 총회</x:v>
      </x:c>
      <x:c r="E54" s="11" t="str">
        <x:v>모든 유엔 회원국이 참여하여 주요 국제 의제를 논의하는 유엔의 주요 기관.</x:v>
      </x:c>
      <x:c r="F54" s="17" t="str">
        <x:v>* Diễn giải mô tả EN</x:v>
      </x:c>
      <x:c r="G54" s="17" t="str">
        <x:v>* Diễn giải mô tả EN</x:v>
      </x:c>
      <x:c r="H54" s="11" t="str">
        <x:v>Tên riêng: có nguồn về đối tượng</x:v>
      </x:c>
      <x:c r="I54" s="11" t="str">
        <x:v>Tên riêng: có nguồn về đối tượng</x:v>
      </x:c>
      <x:c r="J54" s="15" t="str">
        <x:v>N2 — 기관·조직</x:v>
      </x:c>
      <x:c r="K54" s="15" t="str">
        <x:v>2.3 | 국제기구 — Tổ chức quốc tế và cơ quan thuộc tổ chức</x:v>
      </x:c>
      <x:c r="L54" s="18" t="str">
        <x:v>Ứng viên giữ — có căn cứ khái niệm</x:v>
      </x:c>
      <x:c r="M54" s="11" t="str">
        <x:v>T171</x:v>
      </x:c>
    </x:row>
    <x:row r="55" ht="57" customHeight="1">
      <x:c r="A55" s="14" t="n">
        <x:v>50</x:v>
      </x:c>
      <x:c r="B55" s="11" t="str">
        <x:v>đại sứ quán</x:v>
      </x:c>
      <x:c r="C55" s="11" t="str">
        <x:v>Cơ quan đại diện ngoại giao cấp đại sứ của một quốc gia tại quốc gia khác.</x:v>
      </x:c>
      <x:c r="D55" s="11" t="str">
        <x:v>대사관</x:v>
      </x:c>
      <x:c r="E55" s="11" t="str">
        <x:v>대사를 중심으로 외국에서 자국을 대표하고 외교 업무를 수행하는 국가기관.</x:v>
      </x:c>
      <x:c r="F55" s="17" t="str">
        <x:v>* Mô tả chính thức</x:v>
      </x:c>
      <x:c r="G55" s="11" t="str">
        <x:v>Mục từ có nghĩa [KO]</x:v>
      </x:c>
      <x:c r="H55" s="11" t="str">
        <x:v>CẦN TRA — chưa xác minh mục từ</x:v>
      </x:c>
      <x:c r="I55" s="11" t="str">
        <x:v>Có mục từ và đã đọc nghĩa</x:v>
      </x:c>
      <x:c r="J55" s="15" t="str">
        <x:v>N2 — 기관·조직</x:v>
      </x:c>
      <x:c r="K55" s="15" t="str">
        <x:v>2.1 | 국가기관 — Cơ quan nhà nước</x:v>
      </x:c>
      <x:c r="L55" s="18" t="str">
        <x:v>Ứng viên giữ — có căn cứ khái niệm</x:v>
      </x:c>
      <x:c r="M55" s="11" t="str">
        <x:v>M037</x:v>
      </x:c>
    </x:row>
    <x:row r="56" ht="57" customHeight="1">
      <x:c r="A56" s="14" t="n">
        <x:v>51</x:v>
      </x:c>
      <x:c r="B56" s="11" t="str">
        <x:v>đảng bộ</x:v>
      </x:c>
      <x:c r="C56" s="11" t="str">
        <x:v>Tổ chức đảng tại một địa bàn hoặc đơn vị.</x:v>
      </x:c>
      <x:c r="D56" s="11" t="str">
        <x:v>당 조직</x:v>
      </x:c>
      <x:c r="E56" s="11" t="str">
        <x:v>정당의 조직 또는 조직 단위.</x:v>
      </x:c>
      <x:c r="F56" s="17" t="str">
        <x:v>* Nghĩa làm việc; cần nguồn định nghĩa</x:v>
      </x:c>
      <x:c r="G56" s="17" t="str">
        <x:v>* Nghĩa làm việc; cần nguồn định nghĩa</x:v>
      </x:c>
      <x:c r="H56" s="11" t="str">
        <x:v>CẦN TRA — chưa xác minh mục từ</x:v>
      </x:c>
      <x:c r="I56" s="11" t="str">
        <x:v>CẦN TRA — chưa xác minh mục từ</x:v>
      </x:c>
      <x:c r="J56" s="15" t="str">
        <x:v>N2 — 기관·조직</x:v>
      </x:c>
      <x:c r="K56" s="15" t="str">
        <x:v>2.4 | 기타 조직 — Tổ chức khác</x:v>
      </x:c>
      <x:c r="L56" s="20" t="str">
        <x:v>Cần đối chiếu/sửa cặp</x:v>
      </x:c>
      <x:c r="M56" s="11" t="str">
        <x:v>T110</x:v>
      </x:c>
    </x:row>
    <x:row r="57" ht="57" customHeight="1">
      <x:c r="A57" s="14" t="n">
        <x:v>52</x:v>
      </x:c>
      <x:c r="B57" s="11" t="str">
        <x:v>Đảng Cộng sản</x:v>
      </x:c>
      <x:c r="C57" s="11" t="str">
        <x:v>Loại chính đảng theo tư tưởng, mục tiêu cộng sản.</x:v>
      </x:c>
      <x:c r="D57" s="11" t="str">
        <x:v>공산당</x:v>
      </x:c>
      <x:c r="E57" s="11" t="str">
        <x:v>공산주의 이념과 정치적 목표를 내세우는 정당.</x:v>
      </x:c>
      <x:c r="F57" s="17" t="str">
        <x:v>* Nghĩa làm việc; cần nguồn định nghĩa</x:v>
      </x:c>
      <x:c r="G57" s="17" t="str">
        <x:v>* Nghĩa làm việc; cần nguồn định nghĩa</x:v>
      </x:c>
      <x:c r="H57" s="11" t="str">
        <x:v>CẦN TRA — chưa xác minh mục từ</x:v>
      </x:c>
      <x:c r="I57" s="11" t="str">
        <x:v>CẦN TRA — chưa xác minh mục từ</x:v>
      </x:c>
      <x:c r="J57" s="15" t="str">
        <x:v>N2 — 기관·조직</x:v>
      </x:c>
      <x:c r="K57" s="15" t="str">
        <x:v>2.2 | 정당 — Chính đảng</x:v>
      </x:c>
      <x:c r="L57" s="11" t="str">
        <x:v>Cần bổ sung nguồn định nghĩa</x:v>
      </x:c>
      <x:c r="M57" s="11" t="str">
        <x:v>T109</x:v>
      </x:c>
    </x:row>
    <x:row r="58" ht="57" customHeight="1">
      <x:c r="A58" s="14" t="n">
        <x:v>53</x:v>
      </x:c>
      <x:c r="B58" s="11" t="str">
        <x:v>Đảng Cộng sản Việt Nam</x:v>
      </x:c>
      <x:c r="C58" s="11" t="str">
        <x:v>Chính đảng lãnh đạo Nhà nước và xã hội Việt Nam.</x:v>
      </x:c>
      <x:c r="D58" s="11" t="str">
        <x:v>베트남 공산당</x:v>
      </x:c>
      <x:c r="E58" s="11" t="str">
        <x:v>베트남의 국가·사회를 지도하는 공산당.</x:v>
      </x:c>
      <x:c r="F58" s="17" t="str">
        <x:v>* Mô tả chính thức</x:v>
      </x:c>
      <x:c r="G58" s="17" t="str">
        <x:v>* Diễn giải mô tả VI</x:v>
      </x:c>
      <x:c r="H58" s="11" t="str">
        <x:v>Tên riêng: có nguồn về đối tượng</x:v>
      </x:c>
      <x:c r="I58" s="11" t="str">
        <x:v>Tên riêng: có nguồn về đối tượng</x:v>
      </x:c>
      <x:c r="J58" s="15" t="str">
        <x:v>N2 — 기관·조직</x:v>
      </x:c>
      <x:c r="K58" s="15" t="str">
        <x:v>2.2 | 정당 — Chính đảng</x:v>
      </x:c>
      <x:c r="L58" s="18" t="str">
        <x:v>Ứng viên giữ — có căn cứ khái niệm</x:v>
      </x:c>
      <x:c r="M58" s="11" t="str">
        <x:v>T111</x:v>
      </x:c>
    </x:row>
    <x:row r="59" ht="57" customHeight="1">
      <x:c r="A59" s="14" t="n">
        <x:v>54</x:v>
      </x:c>
      <x:c r="B59" s="11" t="str">
        <x:v>Đảng Nhân dân Cách mạng Lào</x:v>
      </x:c>
      <x:c r="C59" s="11" t="str">
        <x:v>Chính đảng mang tên Đảng Nhân dân Cách mạng Lào tại Lào.</x:v>
      </x:c>
      <x:c r="D59" s="11" t="str">
        <x:v>라오인민혁명당</x:v>
      </x:c>
      <x:c r="E59" s="11" t="str">
        <x:v>라오스의 정당인 라오인민혁명당을 가리키는 고유명.</x:v>
      </x:c>
      <x:c r="F59" s="17" t="str">
        <x:v>* Diễn giải mô tả KO</x:v>
      </x:c>
      <x:c r="G59" s="17" t="str">
        <x:v>* Mô tả chính thức</x:v>
      </x:c>
      <x:c r="H59" s="11" t="str">
        <x:v>Tên riêng: có nguồn về đối tượng</x:v>
      </x:c>
      <x:c r="I59" s="11" t="str">
        <x:v>Tên riêng: có nguồn về đối tượng</x:v>
      </x:c>
      <x:c r="J59" s="15" t="str">
        <x:v>N2 — 기관·조직</x:v>
      </x:c>
      <x:c r="K59" s="15" t="str">
        <x:v>2.2 | 정당 — Chính đảng</x:v>
      </x:c>
      <x:c r="L59" s="18" t="str">
        <x:v>Ứng viên giữ — có căn cứ khái niệm</x:v>
      </x:c>
      <x:c r="M59" s="11" t="str">
        <x:v>T125</x:v>
      </x:c>
    </x:row>
    <x:row r="60" ht="57" customHeight="1">
      <x:c r="A60" s="14" t="n">
        <x:v>55</x:v>
      </x:c>
      <x:c r="B60" s="11" t="str">
        <x:v>Đảng Nhân dân Campuchia</x:v>
      </x:c>
      <x:c r="C60" s="11" t="str">
        <x:v>Chính đảng mang tên Đảng Nhân dân Campuchia, viết tắt CPP.</x:v>
      </x:c>
      <x:c r="D60" s="11" t="str">
        <x:v>캄보디아 인민당</x:v>
      </x:c>
      <x:c r="E60" s="11" t="str">
        <x:v>캄보디아의 정당인 캄보디아 인민당을 가리키는 고유명.</x:v>
      </x:c>
      <x:c r="F60" s="17" t="str">
        <x:v>* Diễn giải mô tả KO</x:v>
      </x:c>
      <x:c r="G60" s="17" t="str">
        <x:v>* Mô tả chính thức</x:v>
      </x:c>
      <x:c r="H60" s="11" t="str">
        <x:v>Tên riêng: có nguồn về đối tượng</x:v>
      </x:c>
      <x:c r="I60" s="11" t="str">
        <x:v>Tên riêng: có nguồn về đối tượng</x:v>
      </x:c>
      <x:c r="J60" s="15" t="str">
        <x:v>N2 — 기관·조직</x:v>
      </x:c>
      <x:c r="K60" s="15" t="str">
        <x:v>2.2 | 정당 — Chính đảng</x:v>
      </x:c>
      <x:c r="L60" s="18" t="str">
        <x:v>Ứng viên giữ — có căn cứ khái niệm</x:v>
      </x:c>
      <x:c r="M60" s="11" t="str">
        <x:v>T128</x:v>
      </x:c>
    </x:row>
    <x:row r="61" ht="57" customHeight="1">
      <x:c r="A61" s="14" t="n">
        <x:v>56</x:v>
      </x:c>
      <x:c r="B61" s="11" t="str">
        <x:v>Đảng ủy</x:v>
      </x:c>
      <x:c r="C61" s="11" t="str">
        <x:v>Cấp ủy lãnh đạo một đảng bộ.</x:v>
      </x:c>
      <x:c r="D61" s="11" t="str">
        <x:v>당위원회</x:v>
      </x:c>
      <x:c r="E61" s="11" t="str">
        <x:v>해당 당 조직을 지도하는 위원회.</x:v>
      </x:c>
      <x:c r="F61" s="17" t="str">
        <x:v>* Mô tả chính thức</x:v>
      </x:c>
      <x:c r="G61" s="17" t="str">
        <x:v>* Diễn giải mô tả VI</x:v>
      </x:c>
      <x:c r="H61" s="11" t="str">
        <x:v>CẦN TRA — chưa xác minh mục từ</x:v>
      </x:c>
      <x:c r="I61" s="11" t="str">
        <x:v>CẦN TRA — chưa xác minh mục từ</x:v>
      </x:c>
      <x:c r="J61" s="15" t="str">
        <x:v>N2 — 기관·조직</x:v>
      </x:c>
      <x:c r="K61" s="15" t="str">
        <x:v>2.4 | 기타 조직 — Tổ chức khác</x:v>
      </x:c>
      <x:c r="L61" s="18" t="str">
        <x:v>Ứng viên giữ — có căn cứ khái niệm</x:v>
      </x:c>
      <x:c r="M61" s="11" t="str">
        <x:v>T108</x:v>
      </x:c>
    </x:row>
    <x:row r="62" ht="57" customHeight="1">
      <x:c r="A62" s="14" t="n">
        <x:v>57</x:v>
      </x:c>
      <x:c r="B62" s="11" t="str">
        <x:v>đội danh dự</x:v>
      </x:c>
      <x:c r="C62" s="11" t="str">
        <x:v>Đơn vị được tổ chức để thực hiện nghi thức danh dự trong lễ đón hoặc sự kiện chính thức.</x:v>
      </x:c>
      <x:c r="D62" s="11" t="str">
        <x:v>의장대</x:v>
      </x:c>
      <x:c r="E62" s="11" t="str">
        <x:v>국빈 영접 등 공식 행사에서 의례와 사열 임무를 수행하는 부대.</x:v>
      </x:c>
      <x:c r="F62" s="17" t="str">
        <x:v>* Nghĩa làm việc; cần nguồn định nghĩa</x:v>
      </x:c>
      <x:c r="G62" s="17" t="str">
        <x:v>* Nghĩa làm việc; cần nguồn định nghĩa</x:v>
      </x:c>
      <x:c r="H62" s="11" t="str">
        <x:v>CẦN TRA — chưa xác minh mục từ</x:v>
      </x:c>
      <x:c r="I62" s="11" t="str">
        <x:v>CẦN TRA — chưa xác minh mục từ</x:v>
      </x:c>
      <x:c r="J62" s="15" t="str">
        <x:v>N2 — 기관·조직</x:v>
      </x:c>
      <x:c r="K62" s="15" t="str">
        <x:v>2.4 | 기타 조직 — Tổ chức khác</x:v>
      </x:c>
      <x:c r="L62" s="11" t="str">
        <x:v>Cần bổ sung nguồn định nghĩa</x:v>
      </x:c>
      <x:c r="M62" s="11" t="str">
        <x:v>M015</x:v>
      </x:c>
    </x:row>
    <x:row r="63" ht="57" customHeight="1">
      <x:c r="A63" s="14" t="n">
        <x:v>58</x:v>
      </x:c>
      <x:c r="B63" s="11" t="str">
        <x:v>Hiệp hội các quốc gia Đông Nam Á (ASEAN)</x:v>
      </x:c>
      <x:c r="C63" s="11" t="str">
        <x:v>Tổ chức hợp tác khu vực của các quốc gia Đông Nam Á, thường gọi ASEAN.</x:v>
      </x:c>
      <x:c r="D63" s="11" t="str">
        <x:v>동남아시아국가연합(ASEAN)</x:v>
      </x:c>
      <x:c r="E63" s="11" t="str">
        <x:v>동남아시아 국가들의 협력을 위한 지역 국제기구인 ASEAN.</x:v>
      </x:c>
      <x:c r="F63" s="17" t="str">
        <x:v>* Diễn giải mô tả EN</x:v>
      </x:c>
      <x:c r="G63" s="17" t="str">
        <x:v>* Diễn giải mô tả EN</x:v>
      </x:c>
      <x:c r="H63" s="11" t="str">
        <x:v>Tên riêng: có nguồn về đối tượng</x:v>
      </x:c>
      <x:c r="I63" s="11" t="str">
        <x:v>Tên riêng: có nguồn về đối tượng</x:v>
      </x:c>
      <x:c r="J63" s="15" t="str">
        <x:v>N2 — 기관·조직</x:v>
      </x:c>
      <x:c r="K63" s="15" t="str">
        <x:v>2.3 | 국제기구 — Tổ chức quốc tế và cơ quan thuộc tổ chức</x:v>
      </x:c>
      <x:c r="L63" s="18" t="str">
        <x:v>Ứng viên giữ — có căn cứ khái niệm</x:v>
      </x:c>
      <x:c r="M63" s="11" t="str">
        <x:v>T132</x:v>
      </x:c>
    </x:row>
    <x:row r="64" ht="57" customHeight="1">
      <x:c r="A64" s="14" t="n">
        <x:v>59</x:v>
      </x:c>
      <x:c r="B64" s="11" t="str">
        <x:v>Hội đồng Bảo an Liên hợp quốc</x:v>
      </x:c>
      <x:c r="C64" s="11" t="str">
        <x:v>Cơ quan Liên hợp quốc chịu trách nhiệm chính về duy trì hòa bình và an ninh quốc tế.</x:v>
      </x:c>
      <x:c r="D64" s="11" t="str">
        <x:v>유엔 안전보장이사회</x:v>
      </x:c>
      <x:c r="E64" s="11" t="str">
        <x:v>국제 평화와 안전 유지의 주된 책임을 맡는 유엔의 주요 기관.</x:v>
      </x:c>
      <x:c r="F64" s="17" t="str">
        <x:v>* Diễn giải mô tả EN</x:v>
      </x:c>
      <x:c r="G64" s="17" t="str">
        <x:v>* Diễn giải mô tả EN</x:v>
      </x:c>
      <x:c r="H64" s="11" t="str">
        <x:v>Tên riêng: có nguồn về đối tượng</x:v>
      </x:c>
      <x:c r="I64" s="11" t="str">
        <x:v>Tên riêng: có nguồn về đối tượng</x:v>
      </x:c>
      <x:c r="J64" s="15" t="str">
        <x:v>N2 — 기관·조직</x:v>
      </x:c>
      <x:c r="K64" s="15" t="str">
        <x:v>2.3 | 국제기구 — Tổ chức quốc tế và cơ quan thuộc tổ chức</x:v>
      </x:c>
      <x:c r="L64" s="18" t="str">
        <x:v>Ứng viên giữ — có căn cứ khái niệm</x:v>
      </x:c>
      <x:c r="M64" s="11" t="str">
        <x:v>T169</x:v>
      </x:c>
    </x:row>
    <x:row r="65" ht="57" customHeight="1">
      <x:c r="A65" s="14" t="n">
        <x:v>60</x:v>
      </x:c>
      <x:c r="B65" s="11" t="str">
        <x:v>Hội đồng nhân dân</x:v>
      </x:c>
      <x:c r="C65" s="11" t="str">
        <x:v>Cơ quan quyền lực nhà nước tại địa phương, do cử tri địa phương bầu.</x:v>
      </x:c>
      <x:c r="D65" s="11" t="str">
        <x:v>인민의회</x:v>
      </x:c>
      <x:c r="E65" s="11" t="str">
        <x:v>지역 유권자가 선출하는 지방의 국가권력기관. 이 자료에서는 베트남 인민의회이다.</x:v>
      </x:c>
      <x:c r="F65" s="11" t="str">
        <x:v>Định nghĩa chuyên ngành [VI]</x:v>
      </x:c>
      <x:c r="G65" s="17" t="str">
        <x:v>* Diễn giải mô tả VI</x:v>
      </x:c>
      <x:c r="H65" s="11" t="str">
        <x:v>CẦN TRA — chưa xác minh mục từ</x:v>
      </x:c>
      <x:c r="I65" s="11" t="str">
        <x:v>CẦN TRA — chưa xác minh mục từ</x:v>
      </x:c>
      <x:c r="J65" s="15" t="str">
        <x:v>N2 — 기관·조직</x:v>
      </x:c>
      <x:c r="K65" s="15" t="str">
        <x:v>2.1 | 국가기관 — Cơ quan nhà nước</x:v>
      </x:c>
      <x:c r="L65" s="11" t="str">
        <x:v>Cần ngữ cảnh song ngữ</x:v>
      </x:c>
      <x:c r="M65" s="11" t="str">
        <x:v>T116</x:v>
      </x:c>
    </x:row>
    <x:row r="66" ht="57" customHeight="1">
      <x:c r="A66" s="14" t="n">
        <x:v>61</x:v>
      </x:c>
      <x:c r="B66" s="11" t="str">
        <x:v>Liên hợp quốc</x:v>
      </x:c>
      <x:c r="C66" s="11" t="str">
        <x:v>Tổ chức quốc tế liên chính phủ hoạt động theo Hiến chương nhằm duy trì hòa bình và phát triển hợp tác quốc tế.</x:v>
      </x:c>
      <x:c r="D66" s="11" t="str">
        <x:v>유엔(UN)</x:v>
      </x:c>
      <x:c r="E66" s="11" t="str">
        <x:v>헌장에 따라 국제 평화와 국가 간 협력을 추진하는 정부 간 국제기구인 유엔.</x:v>
      </x:c>
      <x:c r="F66" s="17" t="str">
        <x:v>* Diễn giải mô tả EN</x:v>
      </x:c>
      <x:c r="G66" s="17" t="str">
        <x:v>* Diễn giải mô tả EN</x:v>
      </x:c>
      <x:c r="H66" s="11" t="str">
        <x:v>Tên riêng: có nguồn về đối tượng</x:v>
      </x:c>
      <x:c r="I66" s="11" t="str">
        <x:v>Tên riêng: có nguồn về đối tượng</x:v>
      </x:c>
      <x:c r="J66" s="15" t="str">
        <x:v>N2 — 기관·조직</x:v>
      </x:c>
      <x:c r="K66" s="15" t="str">
        <x:v>2.3 | 국제기구 — Tổ chức quốc tế và cơ quan thuộc tổ chức</x:v>
      </x:c>
      <x:c r="L66" s="18" t="str">
        <x:v>Ứng viên giữ — có căn cứ khái niệm</x:v>
      </x:c>
      <x:c r="M66" s="11" t="str">
        <x:v>T135</x:v>
      </x:c>
    </x:row>
    <x:row r="67" ht="57" customHeight="1">
      <x:c r="A67" s="14" t="n">
        <x:v>62</x:v>
      </x:c>
      <x:c r="B67" s="11" t="str">
        <x:v>Liên minh châu Âu</x:v>
      </x:c>
      <x:c r="C67" s="11" t="str">
        <x:v>Liên minh chính trị và kinh tế của các quốc gia châu Âu, có các thể chế chung.</x:v>
      </x:c>
      <x:c r="D67" s="11" t="str">
        <x:v>유럽연합</x:v>
      </x:c>
      <x:c r="E67" s="11" t="str">
        <x:v>공동 제도를 통해 협력하는 유럽 국가들의 정치·경제적 연합인 EU.</x:v>
      </x:c>
      <x:c r="F67" s="17" t="str">
        <x:v>* Diễn giải mô tả EN</x:v>
      </x:c>
      <x:c r="G67" s="17" t="str">
        <x:v>* Diễn giải mô tả EN</x:v>
      </x:c>
      <x:c r="H67" s="11" t="str">
        <x:v>Tên riêng: có nguồn về đối tượng</x:v>
      </x:c>
      <x:c r="I67" s="11" t="str">
        <x:v>Tên riêng: có nguồn về đối tượng</x:v>
      </x:c>
      <x:c r="J67" s="15" t="str">
        <x:v>N2 — 기관·조직</x:v>
      </x:c>
      <x:c r="K67" s="15" t="str">
        <x:v>2.3 | 국제기구 — Tổ chức quốc tế và cơ quan thuộc tổ chức</x:v>
      </x:c>
      <x:c r="L67" s="18" t="str">
        <x:v>Ứng viên giữ — có căn cứ khái niệm</x:v>
      </x:c>
      <x:c r="M67" s="11" t="str">
        <x:v>T155</x:v>
      </x:c>
    </x:row>
    <x:row r="68" ht="57" customHeight="1">
      <x:c r="A68" s="14" t="n">
        <x:v>63</x:v>
      </x:c>
      <x:c r="B68" s="11" t="str">
        <x:v>Liên minh Nghị viện thế giới</x:v>
      </x:c>
      <x:c r="C68" s="11" t="str">
        <x:v>Tổ chức toàn cầu của các nghị viện quốc gia, thúc đẩy hợp tác và ngoại giao nghị viện.</x:v>
      </x:c>
      <x:c r="D68" s="11" t="str">
        <x:v>국제의회연맹</x:v>
      </x:c>
      <x:c r="E68" s="11" t="str">
        <x:v>국가 의회들이 참여하며 의회 간 협력과 외교를 추진하는 국제기구인 IPU.</x:v>
      </x:c>
      <x:c r="F68" s="17" t="str">
        <x:v>* Diễn giải mô tả EN</x:v>
      </x:c>
      <x:c r="G68" s="17" t="str">
        <x:v>* Diễn giải mô tả EN</x:v>
      </x:c>
      <x:c r="H68" s="11" t="str">
        <x:v>Tên riêng: có nguồn về đối tượng</x:v>
      </x:c>
      <x:c r="I68" s="11" t="str">
        <x:v>Tên riêng: có nguồn về đối tượng</x:v>
      </x:c>
      <x:c r="J68" s="15" t="str">
        <x:v>N2 — 기관·조직</x:v>
      </x:c>
      <x:c r="K68" s="15" t="str">
        <x:v>2.3 | 국제기구 — Tổ chức quốc tế và cơ quan thuộc tổ chức</x:v>
      </x:c>
      <x:c r="L68" s="18" t="str">
        <x:v>Ứng viên giữ — có căn cứ khái niệm</x:v>
      </x:c>
      <x:c r="M68" s="11" t="str">
        <x:v>T159</x:v>
      </x:c>
    </x:row>
    <x:row r="69" ht="57" customHeight="1">
      <x:c r="A69" s="14" t="n">
        <x:v>64</x:v>
      </x:c>
      <x:c r="B69" s="11" t="str">
        <x:v>Mặt trận Tổ quốc</x:v>
      </x:c>
      <x:c r="C69" s="11" t="str">
        <x:v>Liên minh chính trị và liên hiệp tự nguyện các tổ chức, cá nhân tiêu biểu theo hệ thống Mặt trận Tổ quốc Việt Nam.</x:v>
      </x:c>
      <x:c r="D69" s="11" t="str">
        <x:v>조국전선</x:v>
      </x:c>
      <x:c r="E69" s="11" t="str">
        <x:v>베트남의 여러 조직과 대표적 인사들이 참여하는 정치적 연합 조직인 조국전선.</x:v>
      </x:c>
      <x:c r="F69" s="17" t="str">
        <x:v>* Mô tả chính thức</x:v>
      </x:c>
      <x:c r="G69" s="17" t="str">
        <x:v>* Diễn giải mô tả VI</x:v>
      </x:c>
      <x:c r="H69" s="11" t="str">
        <x:v>Tên riêng: có nguồn về đối tượng</x:v>
      </x:c>
      <x:c r="I69" s="11" t="str">
        <x:v>Tên riêng: có nguồn về đối tượng</x:v>
      </x:c>
      <x:c r="J69" s="15" t="str">
        <x:v>N2 — 기관·조직</x:v>
      </x:c>
      <x:c r="K69" s="15" t="str">
        <x:v>2.4 | 기타 조직 — Tổ chức khác</x:v>
      </x:c>
      <x:c r="L69" s="11" t="str">
        <x:v>Cần ngữ cảnh song ngữ</x:v>
      </x:c>
      <x:c r="M69" s="11" t="str">
        <x:v>T112</x:v>
      </x:c>
    </x:row>
    <x:row r="70" ht="57" customHeight="1">
      <x:c r="A70" s="14" t="n">
        <x:v>65</x:v>
      </x:c>
      <x:c r="B70" s="11" t="str">
        <x:v>Nhà nước</x:v>
      </x:c>
      <x:c r="C70" s="11" t="str">
        <x:v>Nhà nước xét như chủ thể quyền lực công, quản lý xã hội trên lãnh thổ và thực hiện chủ quyền.</x:v>
      </x:c>
      <x:c r="D70" s="11" t="str">
        <x:v>국가</x:v>
      </x:c>
      <x:c r="E70" s="11" t="str">
        <x:v>영토와 주민을 바탕으로 주권과 공권력을 행사하는 정치적 공동체. 여기서는 공적 권력 주체의 뜻이다.</x:v>
      </x:c>
      <x:c r="F70" s="17" t="str">
        <x:v>* Nghĩa làm việc; cần nguồn định nghĩa</x:v>
      </x:c>
      <x:c r="G70" s="17" t="str">
        <x:v>* Nghĩa làm việc; cần nguồn định nghĩa</x:v>
      </x:c>
      <x:c r="H70" s="11" t="str">
        <x:v>CẦN TRA — chưa xác minh mục từ</x:v>
      </x:c>
      <x:c r="I70" s="11" t="str">
        <x:v>CẦN TRA — chưa xác minh mục từ</x:v>
      </x:c>
      <x:c r="J70" s="15" t="str">
        <x:v>N2 — 기관·조직</x:v>
      </x:c>
      <x:c r="K70" s="15" t="str">
        <x:v>2.1 | 국가기관 — Cơ quan nhà nước</x:v>
      </x:c>
      <x:c r="L70" s="11" t="str">
        <x:v>Cần ngữ cảnh song ngữ</x:v>
      </x:c>
      <x:c r="M70" s="11" t="str">
        <x:v>T106</x:v>
      </x:c>
    </x:row>
    <x:row r="71" ht="57" customHeight="1">
      <x:c r="A71" s="14" t="n">
        <x:v>66</x:v>
      </x:c>
      <x:c r="B71" s="11" t="str">
        <x:v>nhóm nghị sĩ hữu nghị</x:v>
      </x:c>
      <x:c r="C71" s="11" t="str">
        <x:v>Tập thể nghị sĩ được tổ chức để phát triển quan hệ hữu nghị với nghị viện nước đối tác.</x:v>
      </x:c>
      <x:c r="D71" s="11" t="str">
        <x:v>의원친선협회</x:v>
      </x:c>
      <x:c r="E71" s="11" t="str">
        <x:v>상대국 의회와의 우호·교류를 위해 의원들이 구성한 협회나 모임.</x:v>
      </x:c>
      <x:c r="F71" s="17" t="str">
        <x:v>* Nghĩa làm việc; cần nguồn định nghĩa</x:v>
      </x:c>
      <x:c r="G71" s="17" t="str">
        <x:v>* Nghĩa làm việc; cần nguồn định nghĩa</x:v>
      </x:c>
      <x:c r="H71" s="11" t="str">
        <x:v>CẦN TRA — chưa xác minh mục từ</x:v>
      </x:c>
      <x:c r="I71" s="11" t="str">
        <x:v>CẦN TRA — chưa xác minh mục từ</x:v>
      </x:c>
      <x:c r="J71" s="15" t="str">
        <x:v>N2 — 기관·조직</x:v>
      </x:c>
      <x:c r="K71" s="15" t="str">
        <x:v>2.4 | 기타 조직 — Tổ chức khác</x:v>
      </x:c>
      <x:c r="L71" s="11" t="str">
        <x:v>Cần bổ sung nguồn định nghĩa</x:v>
      </x:c>
      <x:c r="M71" s="11" t="str">
        <x:v>M033</x:v>
      </x:c>
    </x:row>
    <x:row r="72" ht="57" customHeight="1">
      <x:c r="A72" s="14" t="n">
        <x:v>67</x:v>
      </x:c>
      <x:c r="B72" s="11" t="str">
        <x:v>Quân đội nhân dân Việt Nam</x:v>
      </x:c>
      <x:c r="C72" s="11" t="str">
        <x:v>Quân đội thuộc lực lượng vũ trang Việt Nam.</x:v>
      </x:c>
      <x:c r="D72" s="11" t="str">
        <x:v>베트남 인민군</x:v>
      </x:c>
      <x:c r="E72" s="11" t="str">
        <x:v>베트남의 정규 군대.</x:v>
      </x:c>
      <x:c r="F72" s="17" t="str">
        <x:v>* Mô tả chính thức</x:v>
      </x:c>
      <x:c r="G72" s="17" t="str">
        <x:v>* Diễn giải mô tả VI</x:v>
      </x:c>
      <x:c r="H72" s="11" t="str">
        <x:v>Tên riêng: có nguồn về đối tượng</x:v>
      </x:c>
      <x:c r="I72" s="11" t="str">
        <x:v>Tên riêng: có nguồn về đối tượng</x:v>
      </x:c>
      <x:c r="J72" s="15" t="str">
        <x:v>N2 — 기관·조직</x:v>
      </x:c>
      <x:c r="K72" s="15" t="str">
        <x:v>2.4 | 기타 조직 — Tổ chức khác</x:v>
      </x:c>
      <x:c r="L72" s="18" t="str">
        <x:v>Ứng viên giữ — có căn cứ khái niệm</x:v>
      </x:c>
      <x:c r="M72" s="11" t="str">
        <x:v>M016</x:v>
      </x:c>
    </x:row>
    <x:row r="73" ht="57" customHeight="1">
      <x:c r="A73" s="14" t="n">
        <x:v>68</x:v>
      </x:c>
      <x:c r="B73" s="11" t="str">
        <x:v>Quốc hội</x:v>
      </x:c>
      <x:c r="C73" s="11" t="str">
        <x:v>Cơ quan đại diện nhân dân ở cấp quốc gia, thực hiện lập pháp và những quyền hiến định khác.</x:v>
      </x:c>
      <x:c r="D73" s="11" t="str">
        <x:v>국회</x:v>
      </x:c>
      <x:c r="E73" s="11" t="str">
        <x:v>국민을 대표하며 입법과 국가의 주요 사안 심의 등을 수행하는 국가 의회.</x:v>
      </x:c>
      <x:c r="F73" s="17" t="str">
        <x:v>* Mô tả chính thức</x:v>
      </x:c>
      <x:c r="G73" s="17" t="str">
        <x:v>* Diễn giải mô tả VI</x:v>
      </x:c>
      <x:c r="H73" s="11" t="str">
        <x:v>CẦN TRA — chưa xác minh mục từ</x:v>
      </x:c>
      <x:c r="I73" s="11" t="str">
        <x:v>CẦN TRA — chưa xác minh mục từ</x:v>
      </x:c>
      <x:c r="J73" s="15" t="str">
        <x:v>N2 — 기관·조직</x:v>
      </x:c>
      <x:c r="K73" s="15" t="str">
        <x:v>2.1 | 국가기관 — Cơ quan nhà nước</x:v>
      </x:c>
      <x:c r="L73" s="18" t="str">
        <x:v>Ứng viên giữ — có căn cứ khái niệm</x:v>
      </x:c>
      <x:c r="M73" s="11" t="str">
        <x:v>T104</x:v>
      </x:c>
    </x:row>
    <x:row r="74" ht="57" customHeight="1">
      <x:c r="A74" s="14" t="n">
        <x:v>69</x:v>
      </x:c>
      <x:c r="B74" s="11" t="str">
        <x:v>Tòa án nhân dân tối cao</x:v>
      </x:c>
      <x:c r="C74" s="11" t="str">
        <x:v>Cơ quan xét xử cao nhất trong hệ thống tòa án của Việt Nam.</x:v>
      </x:c>
      <x:c r="D74" s="11" t="str">
        <x:v>최고인민법원</x:v>
      </x:c>
      <x:c r="E74" s="11" t="str">
        <x:v>베트남 인민법원 체계에서 최고 심판기관인 최고인민법원.</x:v>
      </x:c>
      <x:c r="F74" s="11" t="str">
        <x:v>Định nghĩa chuyên ngành [VI]</x:v>
      </x:c>
      <x:c r="G74" s="17" t="str">
        <x:v>* Diễn giải mô tả VI</x:v>
      </x:c>
      <x:c r="H74" s="11" t="str">
        <x:v>Tên riêng: có nguồn về đối tượng</x:v>
      </x:c>
      <x:c r="I74" s="11" t="str">
        <x:v>Tên riêng: có nguồn về đối tượng</x:v>
      </x:c>
      <x:c r="J74" s="15" t="str">
        <x:v>N2 — 기관·조직</x:v>
      </x:c>
      <x:c r="K74" s="15" t="str">
        <x:v>2.1 | 국가기관 — Cơ quan nhà nước</x:v>
      </x:c>
      <x:c r="L74" s="18" t="str">
        <x:v>Ứng viên giữ — có căn cứ khái niệm</x:v>
      </x:c>
      <x:c r="M74" s="11" t="str">
        <x:v>T126</x:v>
      </x:c>
    </x:row>
    <x:row r="75" ht="57" customHeight="1">
      <x:c r="A75" s="14" t="n">
        <x:v>70</x:v>
      </x:c>
      <x:c r="B75" s="11" t="str">
        <x:v>Tổ chức Giáo dục, Khoa học và Văn hóa của Liên hợp quốc (UNESCO)</x:v>
      </x:c>
      <x:c r="C75" s="11" t="str">
        <x:v>Cơ quan chuyên môn của Liên hợp quốc về hợp tác giáo dục, khoa học và văn hóa, viết tắt UNESCO.</x:v>
      </x:c>
      <x:c r="D75" s="11" t="str">
        <x:v>유네스코</x:v>
      </x:c>
      <x:c r="E75" s="11" t="str">
        <x:v>교육·과학·문화 분야의 국제협력을 담당하는 유엔 전문기구인 UNESCO.</x:v>
      </x:c>
      <x:c r="F75" s="17" t="str">
        <x:v>* Diễn giải mô tả EN</x:v>
      </x:c>
      <x:c r="G75" s="17" t="str">
        <x:v>* Diễn giải mô tả EN</x:v>
      </x:c>
      <x:c r="H75" s="11" t="str">
        <x:v>Tên riêng: có nguồn về đối tượng</x:v>
      </x:c>
      <x:c r="I75" s="11" t="str">
        <x:v>Tên riêng: có nguồn về đối tượng</x:v>
      </x:c>
      <x:c r="J75" s="15" t="str">
        <x:v>N2 — 기관·조직</x:v>
      </x:c>
      <x:c r="K75" s="15" t="str">
        <x:v>2.3 | 국제기구 — Tổ chức quốc tế và cơ quan thuộc tổ chức</x:v>
      </x:c>
      <x:c r="L75" s="18" t="str">
        <x:v>Ứng viên giữ — có căn cứ khái niệm</x:v>
      </x:c>
      <x:c r="M75" s="11" t="str">
        <x:v>M031</x:v>
      </x:c>
    </x:row>
    <x:row r="76" ht="57" customHeight="1">
      <x:c r="A76" s="14" t="n">
        <x:v>71</x:v>
      </x:c>
      <x:c r="B76" s="11" t="str">
        <x:v>ủy ban chuyên môn</x:v>
      </x:c>
      <x:c r="C76" s="11" t="str">
        <x:v>Ủy ban phụ trách một lĩnh vực chuyên môn trong nghị viện theo ngữ cảnh mẫu.</x:v>
      </x:c>
      <x:c r="D76" s="11" t="str">
        <x:v>전문위원회</x:v>
      </x:c>
      <x:c r="E76" s="11" t="str">
        <x:v>특정 전문 분야를 담당하는 위원회. 이 자료에서는 양국 의회 소속 위원회를 뜻한다.</x:v>
      </x:c>
      <x:c r="F76" s="17" t="str">
        <x:v>* Nghĩa làm việc; cần nguồn định nghĩa</x:v>
      </x:c>
      <x:c r="G76" s="17" t="str">
        <x:v>* Nghĩa làm việc; cần nguồn định nghĩa</x:v>
      </x:c>
      <x:c r="H76" s="11" t="str">
        <x:v>CẦN TRA — chưa xác minh mục từ</x:v>
      </x:c>
      <x:c r="I76" s="11" t="str">
        <x:v>CẦN TRA — chưa xác minh mục từ</x:v>
      </x:c>
      <x:c r="J76" s="15" t="str">
        <x:v>N2 — 기관·조직</x:v>
      </x:c>
      <x:c r="K76" s="15" t="str">
        <x:v>2.1 | 국가기관 — Cơ quan nhà nước</x:v>
      </x:c>
      <x:c r="L76" s="11" t="str">
        <x:v>Cần ngữ cảnh song ngữ</x:v>
      </x:c>
      <x:c r="M76" s="11" t="str">
        <x:v>M034</x:v>
      </x:c>
    </x:row>
    <x:row r="77" ht="57" customHeight="1">
      <x:c r="A77" s="14" t="n">
        <x:v>72</x:v>
      </x:c>
      <x:c r="B77" s="11" t="str">
        <x:v>Ủy ban nhân dân</x:v>
      </x:c>
      <x:c r="C77" s="11" t="str">
        <x:v>Cơ quan hành chính địa phương và cơ quan chấp hành của Hội đồng nhân dân theo pháp luật Việt Nam.</x:v>
      </x:c>
      <x:c r="D77" s="11" t="str">
        <x:v>인민위원회</x:v>
      </x:c>
      <x:c r="E77" s="11" t="str">
        <x:v>베트남에서 인민의회의 집행기관이자 지방행정기관으로 기능하는 인민위원회.</x:v>
      </x:c>
      <x:c r="F77" s="11" t="str">
        <x:v>Định nghĩa chuyên ngành [VI]</x:v>
      </x:c>
      <x:c r="G77" s="17" t="str">
        <x:v>* Diễn giải mô tả VI</x:v>
      </x:c>
      <x:c r="H77" s="11" t="str">
        <x:v>CẦN TRA — chưa xác minh mục từ</x:v>
      </x:c>
      <x:c r="I77" s="11" t="str">
        <x:v>CẦN TRA — chưa xác minh mục từ</x:v>
      </x:c>
      <x:c r="J77" s="15" t="str">
        <x:v>N2 — 기관·조직</x:v>
      </x:c>
      <x:c r="K77" s="15" t="str">
        <x:v>2.1 | 국가기관 — Cơ quan nhà nước</x:v>
      </x:c>
      <x:c r="L77" s="11" t="str">
        <x:v>Cần ngữ cảnh song ngữ</x:v>
      </x:c>
      <x:c r="M77" s="11" t="str">
        <x:v>T115</x:v>
      </x:c>
    </x:row>
    <x:row r="78" ht="57" customHeight="1">
      <x:c r="A78" s="14" t="n">
        <x:v>73</x:v>
      </x:c>
      <x:c r="B78" s="11" t="str">
        <x:v>Ủy ban Trung ương Mặt trận Tổ quốc Việt Nam</x:v>
      </x:c>
      <x:c r="C78" s="11" t="str">
        <x:v>Cơ quan ở cấp trung ương của Mặt trận Tổ quốc Việt Nam, theo Điều lệ Mặt trận.</x:v>
      </x:c>
      <x:c r="D78" s="11" t="str">
        <x:v>베트남 조국전선 중앙위원회</x:v>
      </x:c>
      <x:c r="E78" s="11" t="str">
        <x:v>베트남 조국전선의 중앙 단계 지도·협의 기관인 중앙위원회.</x:v>
      </x:c>
      <x:c r="F78" s="11" t="str">
        <x:v>Định nghĩa chuyên ngành [VI]</x:v>
      </x:c>
      <x:c r="G78" s="17" t="str">
        <x:v>* Diễn giải mô tả VI</x:v>
      </x:c>
      <x:c r="H78" s="11" t="str">
        <x:v>Tên riêng: có nguồn về đối tượng</x:v>
      </x:c>
      <x:c r="I78" s="11" t="str">
        <x:v>Tên riêng: có nguồn về đối tượng</x:v>
      </x:c>
      <x:c r="J78" s="15" t="str">
        <x:v>N2 — 기관·조직</x:v>
      </x:c>
      <x:c r="K78" s="15" t="str">
        <x:v>2.4 | 기타 조직 — Tổ chức khác</x:v>
      </x:c>
      <x:c r="L78" s="18" t="str">
        <x:v>Ứng viên giữ — có căn cứ khái niệm</x:v>
      </x:c>
      <x:c r="M78" s="11" t="str">
        <x:v>T121</x:v>
      </x:c>
    </x:row>
    <x:row r="79" ht="57" customHeight="1">
      <x:c r="A79" s="14" t="n">
        <x:v>74</x:v>
      </x:c>
      <x:c r="B79" s="11" t="str">
        <x:v>Văn phòng Chính phủ</x:v>
      </x:c>
      <x:c r="C79" s="11" t="str">
        <x:v>Cơ quan tham mưu tổng hợp, giúp Chính phủ và Thủ tướng tổ chức, điều phối công việc.</x:v>
      </x:c>
      <x:c r="D79" s="11" t="str">
        <x:v>정부 사무처</x:v>
      </x:c>
      <x:c r="E79" s="11" t="str">
        <x:v>베트남 정부와 총리의 업무 운영·조정을 지원하는 중앙 정부 보좌기관.</x:v>
      </x:c>
      <x:c r="F79" s="11" t="str">
        <x:v>Định nghĩa chuyên ngành [VI]</x:v>
      </x:c>
      <x:c r="G79" s="17" t="str">
        <x:v>* Diễn giải mô tả VI</x:v>
      </x:c>
      <x:c r="H79" s="11" t="str">
        <x:v>Tên riêng: có nguồn về đối tượng</x:v>
      </x:c>
      <x:c r="I79" s="11" t="str">
        <x:v>Tên riêng: có nguồn về đối tượng</x:v>
      </x:c>
      <x:c r="J79" s="15" t="str">
        <x:v>N2 — 기관·조직</x:v>
      </x:c>
      <x:c r="K79" s="15" t="str">
        <x:v>2.1 | 국가기관 — Cơ quan nhà nước</x:v>
      </x:c>
      <x:c r="L79" s="11" t="str">
        <x:v>Cần ngữ cảnh song ngữ</x:v>
      </x:c>
      <x:c r="M79" s="11" t="str">
        <x:v>T127</x:v>
      </x:c>
    </x:row>
    <x:row r="80" ht="57" customHeight="1">
      <x:c r="A80" s="14" t="n">
        <x:v>75</x:v>
      </x:c>
      <x:c r="B80" s="11" t="str">
        <x:v>chế độ chính trị</x:v>
      </x:c>
      <x:c r="C80" s="11" t="str">
        <x:v>Cách tổ chức và thực hiện quyền lực chính trị.</x:v>
      </x:c>
      <x:c r="D80" s="11" t="str">
        <x:v>정치 체제</x:v>
      </x:c>
      <x:c r="E80" s="11" t="str">
        <x:v>국가와 사회에서 정치권력을 구성하고 행사하는 방식과 제도.</x:v>
      </x:c>
      <x:c r="F80" s="17" t="str">
        <x:v>* Nghĩa làm việc; cần nguồn định nghĩa</x:v>
      </x:c>
      <x:c r="G80" s="17" t="str">
        <x:v>* Nghĩa làm việc; cần nguồn định nghĩa</x:v>
      </x:c>
      <x:c r="H80" s="11" t="str">
        <x:v>CẦN TRA — chưa xác minh mục từ</x:v>
      </x:c>
      <x:c r="I80" s="11" t="str">
        <x:v>CẦN TRA — chưa xác minh mục từ</x:v>
      </x:c>
      <x:c r="J80" s="15" t="str">
        <x:v>N3 — 제도·이념</x:v>
      </x:c>
      <x:c r="K80" s="15" t="str">
        <x:v>3.1 | 제도·체제 — Thể chế, chế độ, cấu trúc cơ chế</x:v>
      </x:c>
      <x:c r="L80" s="11" t="str">
        <x:v>Cần ngữ cảnh song ngữ</x:v>
      </x:c>
      <x:c r="M80" s="11" t="str">
        <x:v>T073</x:v>
      </x:c>
    </x:row>
    <x:row r="81" ht="57" customHeight="1">
      <x:c r="A81" s="14" t="n">
        <x:v>76</x:v>
      </x:c>
      <x:c r="B81" s="11" t="str">
        <x:v>chính quyền địa phương hai cấp</x:v>
      </x:c>
      <x:c r="C81" s="11" t="str">
        <x:v>Mô hình chính quyền địa phương gồm cấp tỉnh và cấp xã trong pháp luật Việt Nam được dẫn.</x:v>
      </x:c>
      <x:c r="D81" s="11" t="str">
        <x:v>2단계 지방 행정</x:v>
      </x:c>
      <x:c r="E81" s="11" t="str">
        <x:v>해당 베트남 제도에서 성급과 기초급의 두 층위로 구성되는 지방 행정 체계.</x:v>
      </x:c>
      <x:c r="F81" s="17" t="str">
        <x:v>* Mô tả chính thức</x:v>
      </x:c>
      <x:c r="G81" s="17" t="str">
        <x:v>* Diễn giải mô tả VI</x:v>
      </x:c>
      <x:c r="H81" s="11" t="str">
        <x:v>CẦN TRA — chưa xác minh mục từ</x:v>
      </x:c>
      <x:c r="I81" s="11" t="str">
        <x:v>CẦN TRA — chưa xác minh mục từ</x:v>
      </x:c>
      <x:c r="J81" s="15" t="str">
        <x:v>N3 — 제도·이념</x:v>
      </x:c>
      <x:c r="K81" s="15" t="str">
        <x:v>3.1 | 제도·체제 — Thể chế, chế độ, cấu trúc cơ chế</x:v>
      </x:c>
      <x:c r="L81" s="20" t="str">
        <x:v>Cần đối chiếu/sửa cặp</x:v>
      </x:c>
      <x:c r="M81" s="11" t="str">
        <x:v>T129</x:v>
      </x:c>
    </x:row>
    <x:row r="82" ht="57" customHeight="1">
      <x:c r="A82" s="14" t="n">
        <x:v>77</x:v>
      </x:c>
      <x:c r="B82" s="11" t="str">
        <x:v>chính sách đối ngoại</x:v>
      </x:c>
      <x:c r="C82" s="11" t="str">
        <x:v>Hệ thống mục tiêu và biện pháp định hướng quan hệ của quốc gia với các chủ thể bên ngoài.</x:v>
      </x:c>
      <x:c r="D82" s="11" t="str">
        <x:v>외교정책</x:v>
      </x:c>
      <x:c r="E82" s="11" t="str">
        <x:v>국가가 다른 국가 및 국제사회와의 관계에서 추구하는 목표와 행동 방침.</x:v>
      </x:c>
      <x:c r="F82" s="17" t="str">
        <x:v>* Nghĩa làm việc; cần nguồn định nghĩa</x:v>
      </x:c>
      <x:c r="G82" s="17" t="str">
        <x:v>* Nghĩa làm việc; cần nguồn định nghĩa</x:v>
      </x:c>
      <x:c r="H82" s="11" t="str">
        <x:v>CẦN TRA — chưa xác minh mục từ</x:v>
      </x:c>
      <x:c r="I82" s="11" t="str">
        <x:v>CẦN TRA — chưa xác minh mục từ</x:v>
      </x:c>
      <x:c r="J82" s="15" t="str">
        <x:v>N3 — 제도·이념</x:v>
      </x:c>
      <x:c r="K82" s="15" t="str">
        <x:v>3.3 | 정책 — Chính sách, đường lối</x:v>
      </x:c>
      <x:c r="L82" s="11" t="str">
        <x:v>Cần bổ sung nguồn định nghĩa</x:v>
      </x:c>
      <x:c r="M82" s="11" t="str">
        <x:v>T151</x:v>
      </x:c>
    </x:row>
    <x:row r="83" ht="57" customHeight="1">
      <x:c r="A83" s="14" t="n">
        <x:v>78</x:v>
      </x:c>
      <x:c r="B83" s="11" t="str">
        <x:v>chính sách quốc phòng</x:v>
      </x:c>
      <x:c r="C83" s="11" t="str">
        <x:v>Quan điểm, mục tiêu và biện pháp của Nhà nước về xây dựng quốc phòng và bảo vệ đất nước.</x:v>
      </x:c>
      <x:c r="D83" s="11" t="str">
        <x:v>국방정책</x:v>
      </x:c>
      <x:c r="E83" s="11" t="str">
        <x:v>국가의 방위력 건설과 국토·국민의 보호에 관한 목표와 기본 방침.</x:v>
      </x:c>
      <x:c r="F83" s="17" t="str">
        <x:v>* Nghĩa làm việc; cần nguồn định nghĩa</x:v>
      </x:c>
      <x:c r="G83" s="17" t="str">
        <x:v>* Nghĩa làm việc; cần nguồn định nghĩa</x:v>
      </x:c>
      <x:c r="H83" s="11" t="str">
        <x:v>CẦN TRA — chưa xác minh mục từ</x:v>
      </x:c>
      <x:c r="I83" s="11" t="str">
        <x:v>CẦN TRA — chưa xác minh mục từ</x:v>
      </x:c>
      <x:c r="J83" s="15" t="str">
        <x:v>N3 — 제도·이념</x:v>
      </x:c>
      <x:c r="K83" s="15" t="str">
        <x:v>3.3 | 정책 — Chính sách, đường lối</x:v>
      </x:c>
      <x:c r="L83" s="11" t="str">
        <x:v>Cần bổ sung nguồn định nghĩa</x:v>
      </x:c>
      <x:c r="M83" s="11" t="str">
        <x:v>T066</x:v>
      </x:c>
    </x:row>
    <x:row r="84" ht="57" customHeight="1">
      <x:c r="A84" s="14" t="n">
        <x:v>79</x:v>
      </x:c>
      <x:c r="B84" s="11" t="str">
        <x:v>chính sách tôn giáo</x:v>
      </x:c>
      <x:c r="C84" s="11" t="str">
        <x:v>Quan điểm, biện pháp nhà nước về tín ngưỡng, tôn giáo.</x:v>
      </x:c>
      <x:c r="D84" s="11" t="str">
        <x:v>종교 정책</x:v>
      </x:c>
      <x:c r="E84" s="11" t="str">
        <x:v>국가가 종교와 신앙 및 종교 활동에 관하여 정하는 기본 방향과 조치.</x:v>
      </x:c>
      <x:c r="F84" s="17" t="str">
        <x:v>* Nghĩa làm việc; cần nguồn định nghĩa</x:v>
      </x:c>
      <x:c r="G84" s="17" t="str">
        <x:v>* Nghĩa làm việc; cần nguồn định nghĩa</x:v>
      </x:c>
      <x:c r="H84" s="11" t="str">
        <x:v>CẦN TRA — chưa xác minh mục từ</x:v>
      </x:c>
      <x:c r="I84" s="11" t="str">
        <x:v>CẦN TRA — chưa xác minh mục từ</x:v>
      </x:c>
      <x:c r="J84" s="15" t="str">
        <x:v>N3 — 제도·이념</x:v>
      </x:c>
      <x:c r="K84" s="15" t="str">
        <x:v>3.3 | 정책 — Chính sách, đường lối</x:v>
      </x:c>
      <x:c r="L84" s="11" t="str">
        <x:v>Cần bổ sung nguồn định nghĩa</x:v>
      </x:c>
      <x:c r="M84" s="11" t="str">
        <x:v>T072</x:v>
      </x:c>
    </x:row>
    <x:row r="85" ht="57" customHeight="1">
      <x:c r="A85" s="14" t="n">
        <x:v>80</x:v>
      </x:c>
      <x:c r="B85" s="11" t="str">
        <x:v>chủ nghĩa đa phương</x:v>
      </x:c>
      <x:c r="C85" s="11" t="str">
        <x:v>Quan điểm tổ chức hợp tác nhiều bên dựa trên các nguyên tắc, quy tắc và trách nhiệm chung.</x:v>
      </x:c>
      <x:c r="D85" s="11" t="str">
        <x:v>다자주의</x:v>
      </x:c>
      <x:c r="E85" s="11" t="str">
        <x:v>여러 국가가 공동의 규범과 규칙에 따라 문제를 함께 해결해야 한다는 관점.</x:v>
      </x:c>
      <x:c r="F85" s="17" t="str">
        <x:v>Diễn giải từ định nghĩa EN; cần nguồn VI</x:v>
      </x:c>
      <x:c r="G85" s="17" t="str">
        <x:v>Diễn giải từ định nghĩa EN; cần nguồn KO</x:v>
      </x:c>
      <x:c r="H85" s="11" t="str">
        <x:v>CẦN TRA — chưa xác minh mục từ</x:v>
      </x:c>
      <x:c r="I85" s="11" t="str">
        <x:v>CẦN TRA — chưa xác minh mục từ</x:v>
      </x:c>
      <x:c r="J85" s="15" t="str">
        <x:v>N3 — 제도·이념</x:v>
      </x:c>
      <x:c r="K85" s="15" t="str">
        <x:v>3.2 | 이념 — Tư tưởng</x:v>
      </x:c>
      <x:c r="L85" s="18" t="str">
        <x:v>Ứng viên giữ — có căn cứ khái niệm</x:v>
      </x:c>
      <x:c r="M85" s="11" t="str">
        <x:v>T154</x:v>
      </x:c>
    </x:row>
    <x:row r="86" ht="57" customHeight="1">
      <x:c r="A86" s="14" t="n">
        <x:v>81</x:v>
      </x:c>
      <x:c r="B86" s="11" t="str">
        <x:v>chủ nghĩa Mác-Lênin</x:v>
      </x:c>
      <x:c r="C86" s="11" t="str">
        <x:v>Hệ lý luận của Marx và Lenin.</x:v>
      </x:c>
      <x:c r="D86" s="11" t="str">
        <x:v>마르크스-레닌주의</x:v>
      </x:c>
      <x:c r="E86" s="11" t="str">
        <x:v>마르크스의 이론과 레닌의 발전을 바탕으로 철학·정치경제학·사회주의 이론 등을 포괄하는 사상 체계.</x:v>
      </x:c>
      <x:c r="F86" s="17" t="str">
        <x:v>* Nghĩa làm việc; cần nguồn định nghĩa</x:v>
      </x:c>
      <x:c r="G86" s="17" t="str">
        <x:v>* Nghĩa làm việc; cần nguồn định nghĩa</x:v>
      </x:c>
      <x:c r="H86" s="11" t="str">
        <x:v>CẦN TRA — chưa xác minh mục từ</x:v>
      </x:c>
      <x:c r="I86" s="11" t="str">
        <x:v>CẦN TRA — chưa xác minh mục từ</x:v>
      </x:c>
      <x:c r="J86" s="15" t="str">
        <x:v>N3 — 제도·이념</x:v>
      </x:c>
      <x:c r="K86" s="15" t="str">
        <x:v>3.2 | 이념 — Tư tưởng</x:v>
      </x:c>
      <x:c r="L86" s="11" t="str">
        <x:v>Cần bổ sung nguồn định nghĩa</x:v>
      </x:c>
      <x:c r="M86" s="11" t="str">
        <x:v>T055</x:v>
      </x:c>
    </x:row>
    <x:row r="87" ht="57" customHeight="1">
      <x:c r="A87" s="14" t="n">
        <x:v>82</x:v>
      </x:c>
      <x:c r="B87" s="11" t="str">
        <x:v>chủ nghĩa quốc tế</x:v>
      </x:c>
      <x:c r="C87" s="11" t="str">
        <x:v>Quan điểm đề cao đoàn kết và hợp tác giữa các dân tộc; trong ngữ liệu cần giữ phạm vi quốc tế chủ nghĩa của phong trào cách mạng.</x:v>
      </x:c>
      <x:c r="D87" s="11" t="str">
        <x:v>국제주의</x:v>
      </x:c>
      <x:c r="E87" s="11" t="str">
        <x:v>국경을 넘어 각국 인민이나 노동자들의 연대와 공동 이익을 중시하는 사상.</x:v>
      </x:c>
      <x:c r="F87" s="17" t="str">
        <x:v>* Nghĩa làm việc; cần nguồn định nghĩa</x:v>
      </x:c>
      <x:c r="G87" s="17" t="str">
        <x:v>* Nghĩa làm việc; cần nguồn định nghĩa</x:v>
      </x:c>
      <x:c r="H87" s="11" t="str">
        <x:v>CẦN TRA — chưa xác minh mục từ</x:v>
      </x:c>
      <x:c r="I87" s="11" t="str">
        <x:v>CẦN TRA — chưa xác minh mục từ</x:v>
      </x:c>
      <x:c r="J87" s="15" t="str">
        <x:v>N3 — 제도·이념</x:v>
      </x:c>
      <x:c r="K87" s="15" t="str">
        <x:v>3.2 | 이념 — Tư tưởng</x:v>
      </x:c>
      <x:c r="L87" s="11" t="str">
        <x:v>Cần ngữ cảnh song ngữ</x:v>
      </x:c>
      <x:c r="M87" s="11" t="str">
        <x:v>CGP001</x:v>
      </x:c>
    </x:row>
    <x:row r="88" ht="57" customHeight="1">
      <x:c r="A88" s="14" t="n">
        <x:v>83</x:v>
      </x:c>
      <x:c r="B88" s="11" t="str">
        <x:v>chủ nghĩa xã hội</x:v>
      </x:c>
      <x:c r="C88" s="11" t="str">
        <x:v>Chế độ xã hội theo định hướng xã hội chủ nghĩa; đây là nghĩa mô hình xã hội được xây dựng trong ngữ liệu.</x:v>
      </x:c>
      <x:c r="D88" s="11" t="str">
        <x:v>사회주의</x:v>
      </x:c>
      <x:c r="E88" s="11" t="str">
        <x:v>여기서는 사회주의 이념에 따라 건설하려는 사회 체제를 뜻한다.</x:v>
      </x:c>
      <x:c r="F88" s="17" t="str">
        <x:v>* Mô tả chính thức</x:v>
      </x:c>
      <x:c r="G88" s="17" t="str">
        <x:v>* Diễn giải mô tả VI</x:v>
      </x:c>
      <x:c r="H88" s="11" t="str">
        <x:v>CẦN TRA — chưa xác minh mục từ</x:v>
      </x:c>
      <x:c r="I88" s="11" t="str">
        <x:v>CẦN TRA — chưa xác minh mục từ</x:v>
      </x:c>
      <x:c r="J88" s="15" t="str">
        <x:v>N3 — 제도·이념</x:v>
      </x:c>
      <x:c r="K88" s="15" t="str">
        <x:v>3.1 | 제도·체제 — Thể chế, chế độ, cấu trúc cơ chế</x:v>
      </x:c>
      <x:c r="L88" s="11" t="str">
        <x:v>Cần ngữ cảnh song ngữ</x:v>
      </x:c>
      <x:c r="M88" s="11" t="str">
        <x:v>T029</x:v>
      </x:c>
    </x:row>
    <x:row r="89" ht="57" customHeight="1">
      <x:c r="A89" s="14" t="n">
        <x:v>84</x:v>
      </x:c>
      <x:c r="B89" s="11" t="str">
        <x:v>chủ quyền quốc gia</x:v>
      </x:c>
      <x:c r="C89" s="11" t="str">
        <x:v>Quyền lực tối cao đối nội và quyền quyết định độc lập đối ngoại của quốc gia.</x:v>
      </x:c>
      <x:c r="D89" s="11" t="str">
        <x:v>국가 주권</x:v>
      </x:c>
      <x:c r="E89" s="11" t="str">
        <x:v>국내에서는 최고 권력을 행사하고 대외적으로는 독립하여 결정할 수 있는 국가의 권한.</x:v>
      </x:c>
      <x:c r="F89" s="11" t="str">
        <x:v>Định nghĩa chuyên ngành [VI]</x:v>
      </x:c>
      <x:c r="G89" s="17" t="str">
        <x:v>Diễn giải từ định nghĩa VI; cần nguồn KO</x:v>
      </x:c>
      <x:c r="H89" s="11" t="str">
        <x:v>CẦN TRA — chưa xác minh mục từ</x:v>
      </x:c>
      <x:c r="I89" s="11" t="str">
        <x:v>CẦN TRA — chưa xác minh mục từ</x:v>
      </x:c>
      <x:c r="J89" s="15" t="str">
        <x:v>N3 — 제도·이념</x:v>
      </x:c>
      <x:c r="K89" s="15" t="str">
        <x:v>3.4 | 원칙·규범·권리 — Nguyên tắc, quy phạm, quyền</x:v>
      </x:c>
      <x:c r="L89" s="18" t="str">
        <x:v>Ứng viên giữ — có căn cứ khái niệm</x:v>
      </x:c>
      <x:c r="M89" s="11" t="str">
        <x:v>T061</x:v>
      </x:c>
    </x:row>
    <x:row r="90" ht="57" customHeight="1">
      <x:c r="A90" s="14" t="n">
        <x:v>85</x:v>
      </x:c>
      <x:c r="B90" s="11" t="str">
        <x:v>dân chủ</x:v>
      </x:c>
      <x:c r="C90" s="11" t="str">
        <x:v>Chế độ chính trị trong đó nhân dân làm chủ.</x:v>
      </x:c>
      <x:c r="D90" s="11" t="str">
        <x:v>민주주의</x:v>
      </x:c>
      <x:c r="E90" s="11" t="str">
        <x:v>국민에게 주권이 있음을 인정하고 국민을 위한 정치를 추구하는 사상.</x:v>
      </x:c>
      <x:c r="F90" s="17" t="str">
        <x:v>* Nghĩa làm việc; cần nguồn định nghĩa</x:v>
      </x:c>
      <x:c r="G90" s="17" t="str">
        <x:v>Mục từ có nghĩa [KO]; nghĩa chọn cần đối chiếu</x:v>
      </x:c>
      <x:c r="H90" s="11" t="str">
        <x:v>CẦN TRA — chưa xác minh mục từ</x:v>
      </x:c>
      <x:c r="I90" s="11" t="str">
        <x:v>Có mục từ và đã đọc nghĩa</x:v>
      </x:c>
      <x:c r="J90" s="15" t="str">
        <x:v>N3 — 제도·이념</x:v>
      </x:c>
      <x:c r="K90" s="15" t="str">
        <x:v>3.1 | 제도·체제 — Thể chế, chế độ, cấu trúc cơ chế</x:v>
      </x:c>
      <x:c r="L90" s="11" t="str">
        <x:v>Cần ngữ cảnh song ngữ</x:v>
      </x:c>
      <x:c r="M90" s="11" t="str">
        <x:v>T023</x:v>
      </x:c>
    </x:row>
    <x:row r="91" ht="57" customHeight="1">
      <x:c r="A91" s="14" t="n">
        <x:v>86</x:v>
      </x:c>
      <x:c r="B91" s="11" t="str">
        <x:v>độc lập dân tộc</x:v>
      </x:c>
      <x:c r="C91" s="11" t="str">
        <x:v>Trạng thái dân tộc tự quyết, thoát khỏi thống trị bên ngoài.</x:v>
      </x:c>
      <x:c r="D91" s="11" t="str">
        <x:v>민족 독립</x:v>
      </x:c>
      <x:c r="E91" s="11" t="str">
        <x:v>다른 세력의 지배를 받지 않고 한 민족이 스스로 자신의 진로를 결정하는 상태.</x:v>
      </x:c>
      <x:c r="F91" s="17" t="str">
        <x:v>* Nghĩa làm việc; cần nguồn định nghĩa</x:v>
      </x:c>
      <x:c r="G91" s="17" t="str">
        <x:v>* Nghĩa làm việc; cần nguồn định nghĩa</x:v>
      </x:c>
      <x:c r="H91" s="11" t="str">
        <x:v>CẦN TRA — chưa xác minh mục từ</x:v>
      </x:c>
      <x:c r="I91" s="11" t="str">
        <x:v>CẦN TRA — chưa xác minh mục từ</x:v>
      </x:c>
      <x:c r="J91" s="21" t="str">
        <x:v>Cần xem xét</x:v>
      </x:c>
      <x:c r="K91" s="21" t="str"/>
      <x:c r="L91" s="16" t="str">
        <x:v>Chưa chốt nhóm</x:v>
      </x:c>
      <x:c r="M91" s="11" t="str">
        <x:v>T042</x:v>
      </x:c>
    </x:row>
    <x:row r="92" ht="57" customHeight="1">
      <x:c r="A92" s="14" t="n">
        <x:v>87</x:v>
      </x:c>
      <x:c r="B92" s="11" t="str">
        <x:v>độc lập, tự chủ</x:v>
      </x:c>
      <x:c r="C92" s="11" t="str">
        <x:v>Nguyên tắc tự quyết đường lối, tránh lệ thuộc bên ngoài.</x:v>
      </x:c>
      <x:c r="D92" s="11" t="str">
        <x:v>독립, 자주</x:v>
      </x:c>
      <x:c r="E92" s="11" t="str">
        <x:v>외부 세력에 종속되지 않고 자신의 노선과 행동을 스스로 결정한다는 원칙.</x:v>
      </x:c>
      <x:c r="F92" s="17" t="str">
        <x:v>* Nghĩa làm việc; cần nguồn định nghĩa</x:v>
      </x:c>
      <x:c r="G92" s="17" t="str">
        <x:v>* Nghĩa làm việc; cần nguồn định nghĩa</x:v>
      </x:c>
      <x:c r="H92" s="11" t="str">
        <x:v>CẦN TRA — chưa xác minh mục từ</x:v>
      </x:c>
      <x:c r="I92" s="11" t="str">
        <x:v>CẦN TRA — chưa xác minh mục từ</x:v>
      </x:c>
      <x:c r="J92" s="15" t="str">
        <x:v>N3 — 제도·이념</x:v>
      </x:c>
      <x:c r="K92" s="15" t="str">
        <x:v>3.4 | 원칙·규범·권리 — Nguyên tắc, quy phạm, quyền</x:v>
      </x:c>
      <x:c r="L92" s="11" t="str">
        <x:v>Cần bổ sung nguồn định nghĩa</x:v>
      </x:c>
      <x:c r="M92" s="11" t="str">
        <x:v>T037</x:v>
      </x:c>
    </x:row>
    <x:row r="93" ht="57" customHeight="1">
      <x:c r="A93" s="14" t="n">
        <x:v>88</x:v>
      </x:c>
      <x:c r="B93" s="11" t="str">
        <x:v>đường lối</x:v>
      </x:c>
      <x:c r="C93" s="11" t="str">
        <x:v>Định hướng hành động căn bản của chính đảng.</x:v>
      </x:c>
      <x:c r="D93" s="11" t="str">
        <x:v>노선</x:v>
      </x:c>
      <x:c r="E93" s="11" t="str">
        <x:v>정치 세력이나 조직이 목표를 달성하기 위하여 따르는 기본 방향과 방침.</x:v>
      </x:c>
      <x:c r="F93" s="17" t="str">
        <x:v>* Nghĩa làm việc; cần nguồn định nghĩa</x:v>
      </x:c>
      <x:c r="G93" s="17" t="str">
        <x:v>* Nghĩa làm việc; cần nguồn định nghĩa</x:v>
      </x:c>
      <x:c r="H93" s="11" t="str">
        <x:v>CẦN TRA — chưa xác minh mục từ</x:v>
      </x:c>
      <x:c r="I93" s="11" t="str">
        <x:v>CẦN TRA — chưa xác minh mục từ</x:v>
      </x:c>
      <x:c r="J93" s="15" t="str">
        <x:v>N3 — 제도·이념</x:v>
      </x:c>
      <x:c r="K93" s="15" t="str">
        <x:v>3.3 | 정책 — Chính sách, đường lối</x:v>
      </x:c>
      <x:c r="L93" s="11" t="str">
        <x:v>Cần bổ sung nguồn định nghĩa</x:v>
      </x:c>
      <x:c r="M93" s="11" t="str">
        <x:v>T022</x:v>
      </x:c>
    </x:row>
    <x:row r="94" ht="57" customHeight="1">
      <x:c r="A94" s="14" t="n">
        <x:v>89</x:v>
      </x:c>
      <x:c r="B94" s="11" t="str">
        <x:v>đường lối đối ngoại</x:v>
      </x:c>
      <x:c r="C94" s="11" t="str">
        <x:v>Các quan điểm và định hướng lớn chỉ đạo hoạt động đối ngoại của quốc gia hoặc tổ chức chính trị.</x:v>
      </x:c>
      <x:c r="D94" s="11" t="str">
        <x:v>대외정책 노선</x:v>
      </x:c>
      <x:c r="E94" s="11" t="str">
        <x:v>국가나 정치 조직의 대외 활동을 이끄는 기본 관점과 정책 방향.</x:v>
      </x:c>
      <x:c r="F94" s="17" t="str">
        <x:v>* Nghĩa làm việc; cần nguồn định nghĩa</x:v>
      </x:c>
      <x:c r="G94" s="17" t="str">
        <x:v>* Nghĩa làm việc; cần nguồn định nghĩa</x:v>
      </x:c>
      <x:c r="H94" s="11" t="str">
        <x:v>CẦN TRA — chưa xác minh mục từ</x:v>
      </x:c>
      <x:c r="I94" s="11" t="str">
        <x:v>CẦN TRA — chưa xác minh mục từ</x:v>
      </x:c>
      <x:c r="J94" s="15" t="str">
        <x:v>N3 — 제도·이념</x:v>
      </x:c>
      <x:c r="K94" s="15" t="str">
        <x:v>3.3 | 정책 — Chính sách, đường lối</x:v>
      </x:c>
      <x:c r="L94" s="11" t="str">
        <x:v>Cần bổ sung nguồn định nghĩa</x:v>
      </x:c>
      <x:c r="M94" s="11" t="str">
        <x:v>T145</x:v>
      </x:c>
    </x:row>
    <x:row r="95" ht="57" customHeight="1">
      <x:c r="A95" s="14" t="n">
        <x:v>90</x:v>
      </x:c>
      <x:c r="B95" s="11" t="str">
        <x:v>hệ thống chính trị</x:v>
      </x:c>
      <x:c r="C95" s="11" t="str">
        <x:v>Cấu trúc thiết chế và quan hệ thông qua đó quyền lực chính trị được tổ chức, thực hiện và kiểm soát.</x:v>
      </x:c>
      <x:c r="D95" s="11" t="str">
        <x:v>정치 시스템</x:v>
      </x:c>
      <x:c r="E95" s="11" t="str">
        <x:v>정치권력의 형성과 행사를 이루는 제도·조직 및 상호관계의 체계.</x:v>
      </x:c>
      <x:c r="F95" s="17" t="str">
        <x:v>* Nghĩa làm việc; cần nguồn định nghĩa</x:v>
      </x:c>
      <x:c r="G95" s="17" t="str">
        <x:v>* Nghĩa làm việc; cần nguồn định nghĩa</x:v>
      </x:c>
      <x:c r="H95" s="11" t="str">
        <x:v>CẦN TRA — chưa xác minh mục từ</x:v>
      </x:c>
      <x:c r="I95" s="11" t="str">
        <x:v>CẦN TRA — chưa xác minh mục từ</x:v>
      </x:c>
      <x:c r="J95" s="15" t="str">
        <x:v>N3 — 제도·이념</x:v>
      </x:c>
      <x:c r="K95" s="15" t="str">
        <x:v>3.1 | 제도·체제 — Thể chế, chế độ, cấu trúc cơ chế</x:v>
      </x:c>
      <x:c r="L95" s="11" t="str">
        <x:v>Cần ngữ cảnh song ngữ</x:v>
      </x:c>
      <x:c r="M95" s="11" t="str">
        <x:v>T021</x:v>
      </x:c>
    </x:row>
    <x:row r="96" ht="57" customHeight="1">
      <x:c r="A96" s="14" t="n">
        <x:v>91</x:v>
      </x:c>
      <x:c r="B96" s="11" t="str">
        <x:v>kinh tế thị trường định hướng xã hội chủ nghĩa</x:v>
      </x:c>
      <x:c r="C96" s="11" t="str">
        <x:v>Mô hình kinh tế thị trường vận hành cùng định hướng xã hội chủ nghĩa trong điều kiện Việt Nam.</x:v>
      </x:c>
      <x:c r="D96" s="11" t="str">
        <x:v>사회주의 지향 시장경제</x:v>
      </x:c>
      <x:c r="E96" s="11" t="str">
        <x:v>시장 원리에 따른 경제 운영과 사회주의적 발전 방향을 결합한 베트남의 경제 모형.</x:v>
      </x:c>
      <x:c r="F96" s="17" t="str">
        <x:v>* Mô tả chính thức</x:v>
      </x:c>
      <x:c r="G96" s="17" t="str">
        <x:v>* Diễn giải mô tả VI</x:v>
      </x:c>
      <x:c r="H96" s="11" t="str">
        <x:v>CẦN TRA — chưa xác minh mục từ</x:v>
      </x:c>
      <x:c r="I96" s="11" t="str">
        <x:v>CẦN TRA — chưa xác minh mục từ</x:v>
      </x:c>
      <x:c r="J96" s="15" t="str">
        <x:v>N3 — 제도·이념</x:v>
      </x:c>
      <x:c r="K96" s="15" t="str">
        <x:v>3.1 | 제도·체제 — Thể chế, chế độ, cấu trúc cơ chế</x:v>
      </x:c>
      <x:c r="L96" s="18" t="str">
        <x:v>Ứng viên giữ — có căn cứ khái niệm</x:v>
      </x:c>
      <x:c r="M96" s="11" t="str">
        <x:v>T062</x:v>
      </x:c>
    </x:row>
    <x:row r="97" ht="57" customHeight="1">
      <x:c r="A97" s="14" t="n">
        <x:v>92</x:v>
      </x:c>
      <x:c r="B97" s="11" t="str">
        <x:v>luật pháp quốc tế</x:v>
      </x:c>
      <x:c r="C97" s="11" t="str">
        <x:v>Hệ thống quy phạm điều chỉnh quan hệ quốc tế và trách nhiệm pháp lý thuộc phạm vi luật quốc tế.</x:v>
      </x:c>
      <x:c r="D97" s="11" t="str">
        <x:v>국제법</x:v>
      </x:c>
      <x:c r="E97" s="11" t="str">
        <x:v>국가 사이의 관계를 중심으로 국제기구와 개인에 관련된 국제사회 관계도 규율하는 법.</x:v>
      </x:c>
      <x:c r="F97" s="17" t="str">
        <x:v>Diễn giải từ định nghĩa EN; cần nguồn VI</x:v>
      </x:c>
      <x:c r="G97" s="11" t="str">
        <x:v>Mục từ có nghĩa [KO]</x:v>
      </x:c>
      <x:c r="H97" s="11" t="str">
        <x:v>CẦN TRA — chưa xác minh mục từ</x:v>
      </x:c>
      <x:c r="I97" s="11" t="str">
        <x:v>Có mục từ và đã đọc nghĩa</x:v>
      </x:c>
      <x:c r="J97" s="15" t="str">
        <x:v>N3 — 제도·이념</x:v>
      </x:c>
      <x:c r="K97" s="15" t="str">
        <x:v>3.4 | 원칙·규범·권리 — Nguyên tắc, quy phạm, quyền</x:v>
      </x:c>
      <x:c r="L97" s="18" t="str">
        <x:v>Ứng viên giữ — có căn cứ khái niệm</x:v>
      </x:c>
      <x:c r="M97" s="11" t="str">
        <x:v>T142</x:v>
      </x:c>
    </x:row>
    <x:row r="98" ht="57" customHeight="1">
      <x:c r="A98" s="14" t="n">
        <x:v>93</x:v>
      </x:c>
      <x:c r="B98" s="11" t="str">
        <x:v>miễn thị thực</x:v>
      </x:c>
      <x:c r="C98" s="11" t="str">
        <x:v>Chế độ cho phép đối tượng thuộc diện quy định nhập cảnh mà không phải xin thị thực.</x:v>
      </x:c>
      <x:c r="D98" s="11" t="str">
        <x:v>비자 면제</x:v>
      </x:c>
      <x:c r="E98" s="11" t="str">
        <x:v>정해진 대상자에게 일정한 조건 아래 입국 비자 취득 의무를 면제하는 제도.</x:v>
      </x:c>
      <x:c r="F98" s="17" t="str">
        <x:v>* Nghĩa làm việc; cần nguồn định nghĩa</x:v>
      </x:c>
      <x:c r="G98" s="17" t="str">
        <x:v>* Nghĩa làm việc; cần nguồn định nghĩa</x:v>
      </x:c>
      <x:c r="H98" s="11" t="str">
        <x:v>CẦN TRA — chưa xác minh mục từ</x:v>
      </x:c>
      <x:c r="I98" s="11" t="str">
        <x:v>CẦN TRA — chưa xác minh mục từ</x:v>
      </x:c>
      <x:c r="J98" s="15" t="str">
        <x:v>N3 — 제도·이념</x:v>
      </x:c>
      <x:c r="K98" s="15" t="str">
        <x:v>3.4 | 원칙·규범·권리 — Nguyên tắc, quy phạm, quyền</x:v>
      </x:c>
      <x:c r="L98" s="11" t="str">
        <x:v>Cần bổ sung nguồn định nghĩa</x:v>
      </x:c>
      <x:c r="M98" s="11" t="str">
        <x:v>M030</x:v>
      </x:c>
    </x:row>
    <x:row r="99" ht="57" customHeight="1">
      <x:c r="A99" s="14" t="n">
        <x:v>94</x:v>
      </x:c>
      <x:c r="B99" s="11" t="str">
        <x:v>mô hình lãnh đạo tập thể</x:v>
      </x:c>
      <x:c r="C99" s="11" t="str">
        <x:v>Mô hình trong đó các quyết định lãnh đạo chủ yếu được thảo luận và quyết định bởi một tập thể.</x:v>
      </x:c>
      <x:c r="D99" s="11" t="str">
        <x:v>집단 지도체제</x:v>
      </x:c>
      <x:c r="E99" s="11" t="str">
        <x:v>주요 지도 결정을 한 개인이 아니라 지도 집단이 공동으로 내리는 조직 방식.</x:v>
      </x:c>
      <x:c r="F99" s="17" t="str">
        <x:v>* Nghĩa làm việc; cần nguồn định nghĩa</x:v>
      </x:c>
      <x:c r="G99" s="17" t="str">
        <x:v>* Nghĩa làm việc; cần nguồn định nghĩa</x:v>
      </x:c>
      <x:c r="H99" s="11" t="str">
        <x:v>CẦN TRA — chưa xác minh mục từ</x:v>
      </x:c>
      <x:c r="I99" s="11" t="str">
        <x:v>CẦN TRA — chưa xác minh mục từ</x:v>
      </x:c>
      <x:c r="J99" s="15" t="str">
        <x:v>N3 — 제도·이념</x:v>
      </x:c>
      <x:c r="K99" s="15" t="str">
        <x:v>3.1 | 제도·체제 — Thể chế, chế độ, cấu trúc cơ chế</x:v>
      </x:c>
      <x:c r="L99" s="11" t="str">
        <x:v>Cần ngữ cảnh song ngữ</x:v>
      </x:c>
      <x:c r="M99" s="11" t="str">
        <x:v>CGI005</x:v>
      </x:c>
    </x:row>
    <x:row r="100" ht="57" customHeight="1">
      <x:c r="A100" s="14" t="n">
        <x:v>95</x:v>
      </x:c>
      <x:c r="B100" s="11" t="str">
        <x:v>Nhà nước pháp quyền</x:v>
      </x:c>
      <x:c r="C100" s="11" t="str">
        <x:v>Mô hình nhà nước thực thi và kiểm soát quyền lực bằng pháp luật.</x:v>
      </x:c>
      <x:c r="D100" s="11" t="str">
        <x:v>법치국가</x:v>
      </x:c>
      <x:c r="E100" s="11" t="str">
        <x:v>국민의 의사를 반영한 법에 따라 통치하며 기본권 보장과 권력 통제를 중시하는 국가.</x:v>
      </x:c>
      <x:c r="F100" s="17" t="str">
        <x:v>* Nghĩa làm việc; cần nguồn định nghĩa</x:v>
      </x:c>
      <x:c r="G100" s="11" t="str">
        <x:v>Mục từ có nghĩa [KO]</x:v>
      </x:c>
      <x:c r="H100" s="11" t="str">
        <x:v>CẦN TRA — chưa xác minh mục từ</x:v>
      </x:c>
      <x:c r="I100" s="11" t="str">
        <x:v>Có mục từ và đã đọc nghĩa</x:v>
      </x:c>
      <x:c r="J100" s="15" t="str">
        <x:v>N3 — 제도·이념</x:v>
      </x:c>
      <x:c r="K100" s="15" t="str">
        <x:v>3.1 | 제도·체제 — Thể chế, chế độ, cấu trúc cơ chế</x:v>
      </x:c>
      <x:c r="L100" s="11" t="str">
        <x:v>Cần ngữ cảnh song ngữ</x:v>
      </x:c>
      <x:c r="M100" s="11" t="str">
        <x:v>T048</x:v>
      </x:c>
    </x:row>
    <x:row r="101" ht="57" customHeight="1">
      <x:c r="A101" s="14" t="n">
        <x:v>96</x:v>
      </x:c>
      <x:c r="B101" s="11" t="str">
        <x:v>nhiệm kỳ</x:v>
      </x:c>
      <x:c r="C101" s="11" t="str">
        <x:v>Khoảng thời gian được xác định để đảm nhiệm một chức vụ hoặc hoạt động một khóa cơ quan.</x:v>
      </x:c>
      <x:c r="D101" s="11" t="str">
        <x:v>임기</x:v>
      </x:c>
      <x:c r="E101" s="11" t="str">
        <x:v>어떤 직책이나 맡은 일을 수행하도록 정해진 기간.</x:v>
      </x:c>
      <x:c r="F101" s="17" t="str">
        <x:v>* Nghĩa làm việc; cần nguồn định nghĩa</x:v>
      </x:c>
      <x:c r="G101" s="11" t="str">
        <x:v>Mục từ có nghĩa [KO]</x:v>
      </x:c>
      <x:c r="H101" s="11" t="str">
        <x:v>CẦN TRA — chưa xác minh mục từ</x:v>
      </x:c>
      <x:c r="I101" s="11" t="str">
        <x:v>Có mục từ và đã đọc nghĩa</x:v>
      </x:c>
      <x:c r="J101" s="21" t="str">
        <x:v>Cần xem xét</x:v>
      </x:c>
      <x:c r="K101" s="21" t="str"/>
      <x:c r="L101" s="16" t="str">
        <x:v>Chưa chốt nhóm</x:v>
      </x:c>
      <x:c r="M101" s="11" t="str">
        <x:v>M050</x:v>
      </x:c>
    </x:row>
    <x:row r="102" ht="57" customHeight="1">
      <x:c r="A102" s="14" t="n">
        <x:v>97</x:v>
      </x:c>
      <x:c r="B102" s="11" t="str">
        <x:v>quyền con người</x:v>
      </x:c>
      <x:c r="C102" s="11" t="str">
        <x:v>Các quyền vốn có của mọi người do tư cách con người, không phụ thuộc quốc tịch hay địa vị.</x:v>
      </x:c>
      <x:c r="D102" s="11" t="str">
        <x:v>인권</x:v>
      </x:c>
      <x:c r="E102" s="11" t="str">
        <x:v>사람이 인간이라는 이유로 마땅히 누리는 기본적인 자유와 권리.</x:v>
      </x:c>
      <x:c r="F102" s="17" t="str">
        <x:v>Diễn giải từ định nghĩa EN; cần nguồn VI</x:v>
      </x:c>
      <x:c r="G102" s="11" t="str">
        <x:v>Mục từ có nghĩa [KO]</x:v>
      </x:c>
      <x:c r="H102" s="11" t="str">
        <x:v>CẦN TRA — chưa xác minh mục từ</x:v>
      </x:c>
      <x:c r="I102" s="11" t="str">
        <x:v>Có mục từ và đã đọc nghĩa</x:v>
      </x:c>
      <x:c r="J102" s="15" t="str">
        <x:v>N3 — 제도·이념</x:v>
      </x:c>
      <x:c r="K102" s="15" t="str">
        <x:v>3.4 | 원칙·규범·권리 — Nguyên tắc, quy phạm, quyền</x:v>
      </x:c>
      <x:c r="L102" s="18" t="str">
        <x:v>Ứng viên giữ — có căn cứ khái niệm</x:v>
      </x:c>
      <x:c r="M102" s="11" t="str">
        <x:v>T006</x:v>
      </x:c>
    </x:row>
    <x:row r="103" ht="57" customHeight="1">
      <x:c r="A103" s="14" t="n">
        <x:v>98</x:v>
      </x:c>
      <x:c r="B103" s="11" t="str">
        <x:v>quyền công dân</x:v>
      </x:c>
      <x:c r="C103" s="11" t="str">
        <x:v>Các quyền gắn với tư cách công dân theo pháp luật.</x:v>
      </x:c>
      <x:c r="D103" s="11" t="str">
        <x:v>시민권</x:v>
      </x:c>
      <x:c r="E103" s="11" t="str">
        <x:v>일반 국민 또는 주민이 누릴 수 있는 권리. 문맥에 따라 시민 자격의 의미로도 쓰인다.</x:v>
      </x:c>
      <x:c r="F103" s="17" t="str">
        <x:v>* Nghĩa làm việc; cần nguồn định nghĩa</x:v>
      </x:c>
      <x:c r="G103" s="11" t="str">
        <x:v>Mục từ có nghĩa [KO]</x:v>
      </x:c>
      <x:c r="H103" s="11" t="str">
        <x:v>CẦN TRA — chưa xác minh mục từ</x:v>
      </x:c>
      <x:c r="I103" s="11" t="str">
        <x:v>Có mục từ và đã đọc nghĩa</x:v>
      </x:c>
      <x:c r="J103" s="15" t="str">
        <x:v>N3 — 제도·이념</x:v>
      </x:c>
      <x:c r="K103" s="15" t="str">
        <x:v>3.4 | 원칙·규범·권리 — Nguyên tắc, quy phạm, quyền</x:v>
      </x:c>
      <x:c r="L103" s="20" t="str">
        <x:v>Cần đối chiếu/sửa cặp</x:v>
      </x:c>
      <x:c r="M103" s="11" t="str">
        <x:v>T008</x:v>
      </x:c>
    </x:row>
    <x:row r="104" ht="57" customHeight="1">
      <x:c r="A104" s="14" t="n">
        <x:v>99</x:v>
      </x:c>
      <x:c r="B104" s="11" t="str">
        <x:v>quyền tự quyết</x:v>
      </x:c>
      <x:c r="C104" s="11" t="str">
        <x:v>Quyền của các dân tộc tự xác định địa vị chính trị và theo đuổi phát triển kinh tế, xã hội, văn hóa.</x:v>
      </x:c>
      <x:c r="D104" s="11" t="str">
        <x:v>자결권</x:v>
      </x:c>
      <x:c r="E104" s="11" t="str">
        <x:v>민족이 자신의 정치적 지위와 경제·사회·문화적 발전을 자유롭게 결정할 권리.</x:v>
      </x:c>
      <x:c r="F104" s="17" t="str">
        <x:v>Diễn giải từ định nghĩa EN; cần nguồn VI</x:v>
      </x:c>
      <x:c r="G104" s="17" t="str">
        <x:v>Diễn giải từ định nghĩa EN; cần nguồn KO</x:v>
      </x:c>
      <x:c r="H104" s="11" t="str">
        <x:v>CẦN TRA — chưa xác minh mục từ</x:v>
      </x:c>
      <x:c r="I104" s="11" t="str">
        <x:v>CẦN TRA — chưa xác minh mục từ</x:v>
      </x:c>
      <x:c r="J104" s="15" t="str">
        <x:v>N3 — 제도·이념</x:v>
      </x:c>
      <x:c r="K104" s="15" t="str">
        <x:v>3.4 | 원칙·규범·권리 — Nguyên tắc, quy phạm, quyền</x:v>
      </x:c>
      <x:c r="L104" s="18" t="str">
        <x:v>Ứng viên giữ — có căn cứ khái niệm</x:v>
      </x:c>
      <x:c r="M104" s="11" t="str">
        <x:v>T013</x:v>
      </x:c>
    </x:row>
    <x:row r="105" ht="57" customHeight="1">
      <x:c r="A105" s="14" t="n">
        <x:v>100</x:v>
      </x:c>
      <x:c r="B105" s="11" t="str">
        <x:v>toàn vẹn lãnh thổ</x:v>
      </x:c>
      <x:c r="C105" s="11" t="str">
        <x:v>Tính thống nhất, không bị chia cắt của lãnh thổ quốc gia.</x:v>
      </x:c>
      <x:c r="D105" s="11" t="str">
        <x:v>영토 보전</x:v>
      </x:c>
      <x:c r="E105" s="11" t="str">
        <x:v>한 국가의 영토가 분할되거나 침해되지 않고 온전하게 유지되는 상태.</x:v>
      </x:c>
      <x:c r="F105" s="17" t="str">
        <x:v>* Nghĩa làm việc; cần nguồn định nghĩa</x:v>
      </x:c>
      <x:c r="G105" s="17" t="str">
        <x:v>* Nghĩa làm việc; cần nguồn định nghĩa</x:v>
      </x:c>
      <x:c r="H105" s="11" t="str">
        <x:v>CẦN TRA — chưa xác minh mục từ</x:v>
      </x:c>
      <x:c r="I105" s="11" t="str">
        <x:v>CẦN TRA — chưa xác minh mục từ</x:v>
      </x:c>
      <x:c r="J105" s="21" t="str">
        <x:v>Cần xem xét</x:v>
      </x:c>
      <x:c r="K105" s="21" t="str"/>
      <x:c r="L105" s="16" t="str">
        <x:v>Chưa chốt nhóm</x:v>
      </x:c>
      <x:c r="M105" s="11" t="str">
        <x:v>T056</x:v>
      </x:c>
    </x:row>
    <x:row r="106" ht="57" customHeight="1">
      <x:c r="A106" s="14" t="n">
        <x:v>101</x:v>
      </x:c>
      <x:c r="B106" s="11" t="str">
        <x:v>tự chủ chiến lược</x:v>
      </x:c>
      <x:c r="C106" s="11" t="str">
        <x:v>Năng lực tự lựa chọn và hành động về vấn đề chiến lược khi cần thiết, đồng thời có thể hợp tác với đối tác.</x:v>
      </x:c>
      <x:c r="D106" s="11" t="str">
        <x:v>전략적 자율성</x:v>
      </x:c>
      <x:c r="E106" s="11" t="str">
        <x:v>필요한 경우 전략적 사안에 관하여 스스로 결정하고 행동할 수 있는 능력.</x:v>
      </x:c>
      <x:c r="F106" s="17" t="str">
        <x:v>Diễn giải từ định nghĩa EN; cần nguồn VI</x:v>
      </x:c>
      <x:c r="G106" s="17" t="str">
        <x:v>Diễn giải từ định nghĩa EN; cần nguồn KO</x:v>
      </x:c>
      <x:c r="H106" s="11" t="str">
        <x:v>CẦN TRA — chưa xác minh mục từ</x:v>
      </x:c>
      <x:c r="I106" s="11" t="str">
        <x:v>CẦN TRA — chưa xác minh mục từ</x:v>
      </x:c>
      <x:c r="J106" s="21" t="str">
        <x:v>Cần xem xét</x:v>
      </x:c>
      <x:c r="K106" s="21" t="str"/>
      <x:c r="L106" s="16" t="str">
        <x:v>Chưa chốt nhóm</x:v>
      </x:c>
      <x:c r="M106" s="11" t="str">
        <x:v>T147</x:v>
      </x:c>
    </x:row>
    <x:row r="107" ht="57" customHeight="1">
      <x:c r="A107" s="14" t="n">
        <x:v>102</x:v>
      </x:c>
      <x:c r="B107" s="11" t="str">
        <x:v>tư pháp</x:v>
      </x:c>
      <x:c r="C107" s="11" t="str">
        <x:v>Lĩnh vực thực hiện pháp luật và bảo vệ công lý.</x:v>
      </x:c>
      <x:c r="D107" s="11" t="str">
        <x:v>사법</x:v>
      </x:c>
      <x:c r="E107" s="11" t="str">
        <x:v>법을 적용하여 국가와 국민의 법적 문제를 처리하는 활동 분야. 여기서는 국제 협력의 한 분야를 뜻한다.</x:v>
      </x:c>
      <x:c r="F107" s="17" t="str">
        <x:v>* Nghĩa làm việc; cần nguồn định nghĩa</x:v>
      </x:c>
      <x:c r="G107" s="11" t="str">
        <x:v>Mục từ có nghĩa [KO]</x:v>
      </x:c>
      <x:c r="H107" s="11" t="str">
        <x:v>CẦN TRA — chưa xác minh mục từ</x:v>
      </x:c>
      <x:c r="I107" s="11" t="str">
        <x:v>Có mục từ và đã đọc nghĩa</x:v>
      </x:c>
      <x:c r="J107" s="15" t="str">
        <x:v>N4 — 관계·활동</x:v>
      </x:c>
      <x:c r="K107" s="15" t="str">
        <x:v>4.2 | 활동·과정·사건 — Hoạt động, quá trình, sự kiện, lĩnh vực thực hành</x:v>
      </x:c>
      <x:c r="L107" s="11" t="str">
        <x:v>Cần ngữ cảnh song ngữ</x:v>
      </x:c>
      <x:c r="M107" s="11" t="str">
        <x:v>T018</x:v>
      </x:c>
    </x:row>
    <x:row r="108" ht="57" customHeight="1">
      <x:c r="A108" s="14" t="n">
        <x:v>103</x:v>
      </x:c>
      <x:c r="B108" s="11" t="str">
        <x:v>tư tưởng Hồ Chí Minh</x:v>
      </x:c>
      <x:c r="C108" s="11" t="str">
        <x:v>Hệ thống quan điểm của Hồ Chí Minh về cách mạng Việt Nam, phát triển lý luận Marx–Lenin trong điều kiện Việt Nam.</x:v>
      </x:c>
      <x:c r="D108" s="11" t="str">
        <x:v>호찌민 사상</x:v>
      </x:c>
      <x:c r="E108" s="11" t="str">
        <x:v>베트남 혁명의 핵심 문제에 관한 호찌민의 사상 체계로, 베트남 상황에 맞게 마르크스·레닌주의를 발전시킨 관점.</x:v>
      </x:c>
      <x:c r="F108" s="11" t="str">
        <x:v>Định nghĩa chuyên ngành [VI]</x:v>
      </x:c>
      <x:c r="G108" s="17" t="str">
        <x:v>Diễn giải từ định nghĩa VI; cần nguồn KO</x:v>
      </x:c>
      <x:c r="H108" s="11" t="str">
        <x:v>CẦN TRA — chưa xác minh mục từ</x:v>
      </x:c>
      <x:c r="I108" s="11" t="str">
        <x:v>CẦN TRA — chưa xác minh mục từ</x:v>
      </x:c>
      <x:c r="J108" s="15" t="str">
        <x:v>N3 — 제도·이념</x:v>
      </x:c>
      <x:c r="K108" s="15" t="str">
        <x:v>3.2 | 이념 — Tư tưởng</x:v>
      </x:c>
      <x:c r="L108" s="18" t="str">
        <x:v>Ứng viên giữ — có căn cứ khái niệm</x:v>
      </x:c>
      <x:c r="M108" s="11" t="str">
        <x:v>T050</x:v>
      </x:c>
    </x:row>
    <x:row r="109" ht="57" customHeight="1">
      <x:c r="A109" s="14" t="n">
        <x:v>104</x:v>
      </x:c>
      <x:c r="B109" s="11" t="str">
        <x:v>vai trò trung tâm của ASEAN</x:v>
      </x:c>
      <x:c r="C109" s="11" t="str">
        <x:v>Nguyên tắc ASEAN giữ vị trí chủ đạo trong hình thành và thúc đẩy các khuôn khổ hợp tác khu vực.</x:v>
      </x:c>
      <x:c r="D109" s="11" t="str">
        <x:v>아세안 중심성</x:v>
      </x:c>
      <x:c r="E109" s="11" t="str">
        <x:v>지역 협력 체계의 형성과 추진에서 아세안이 중심적인 역할을 맡아야 한다는 원칙.</x:v>
      </x:c>
      <x:c r="F109" s="17" t="str">
        <x:v>Diễn giải từ định nghĩa KO; cần nguồn VI</x:v>
      </x:c>
      <x:c r="G109" s="11" t="str">
        <x:v>Định nghĩa chuyên ngành [KO]</x:v>
      </x:c>
      <x:c r="H109" s="11" t="str">
        <x:v>CẦN TRA — chưa xác minh mục từ</x:v>
      </x:c>
      <x:c r="I109" s="11" t="str">
        <x:v>CẦN TRA — chưa xác minh mục từ</x:v>
      </x:c>
      <x:c r="J109" s="15" t="str">
        <x:v>N3 — 제도·이념</x:v>
      </x:c>
      <x:c r="K109" s="15" t="str">
        <x:v>3.4 | 원칙·규범·권리 — Nguyên tắc, quy phạm, quyền</x:v>
      </x:c>
      <x:c r="L109" s="18" t="str">
        <x:v>Ứng viên giữ — có căn cứ khái niệm</x:v>
      </x:c>
      <x:c r="M109" s="11" t="str">
        <x:v>M006</x:v>
      </x:c>
    </x:row>
    <x:row r="110" ht="57" customHeight="1">
      <x:c r="A110" s="14" t="n">
        <x:v>105</x:v>
      </x:c>
      <x:c r="B110" s="11" t="str">
        <x:v>ASEAN+3</x:v>
      </x:c>
      <x:c r="C110" s="11" t="str">
        <x:v>Khuôn khổ hợp tác ASEAN với Trung Quốc, Nhật Bản và Hàn Quốc.</x:v>
      </x:c>
      <x:c r="D110" s="11" t="str">
        <x:v>아세안+3</x:v>
      </x:c>
      <x:c r="E110" s="11" t="str">
        <x:v>아세안과 중국·일본·한국이 함께 참여하는 지역 협력 틀.</x:v>
      </x:c>
      <x:c r="F110" s="17" t="str">
        <x:v>* Diễn giải mô tả EN</x:v>
      </x:c>
      <x:c r="G110" s="17" t="str">
        <x:v>* Diễn giải mô tả EN</x:v>
      </x:c>
      <x:c r="H110" s="11" t="str">
        <x:v>Tên riêng: có nguồn về đối tượng</x:v>
      </x:c>
      <x:c r="I110" s="11" t="str">
        <x:v>Tên riêng: có nguồn về đối tượng</x:v>
      </x:c>
      <x:c r="J110" s="15" t="str">
        <x:v>N3 — 제도·이념</x:v>
      </x:c>
      <x:c r="K110" s="15" t="str">
        <x:v>3.1 | 제도·체제 — Thể chế, chế độ, cấu trúc cơ chế</x:v>
      </x:c>
      <x:c r="L110" s="18" t="str">
        <x:v>Ứng viên giữ — có căn cứ khái niệm</x:v>
      </x:c>
      <x:c r="M110" s="11" t="str">
        <x:v>M008</x:v>
      </x:c>
    </x:row>
    <x:row r="111" ht="57" customHeight="1">
      <x:c r="A111" s="14" t="n">
        <x:v>106</x:v>
      </x:c>
      <x:c r="B111" s="11" t="str">
        <x:v>Diễn đàn khu vực ASEAN (ARF)</x:v>
      </x:c>
      <x:c r="C111" s="11" t="str">
        <x:v>Diễn đàn tham vấn và hợp tác về chính trị, an ninh khu vực do ASEAN khởi xướng.</x:v>
      </x:c>
      <x:c r="D111" s="11" t="str">
        <x:v>아세안지역포럼</x:v>
      </x:c>
      <x:c r="E111" s="11" t="str">
        <x:v>아세안이 주도하여 지역의 정치·안보 문제를 논의하고 협력하는 다자 협의 틀.</x:v>
      </x:c>
      <x:c r="F111" s="17" t="str">
        <x:v>* Diễn giải mô tả EN</x:v>
      </x:c>
      <x:c r="G111" s="17" t="str">
        <x:v>* Diễn giải mô tả EN</x:v>
      </x:c>
      <x:c r="H111" s="11" t="str">
        <x:v>Tên riêng: có nguồn về đối tượng</x:v>
      </x:c>
      <x:c r="I111" s="11" t="str">
        <x:v>Tên riêng: có nguồn về đối tượng</x:v>
      </x:c>
      <x:c r="J111" s="15" t="str">
        <x:v>N3 — 제도·이념</x:v>
      </x:c>
      <x:c r="K111" s="15" t="str">
        <x:v>3.1 | 제도·체제 — Thể chế, chế độ, cấu trúc cơ chế</x:v>
      </x:c>
      <x:c r="L111" s="18" t="str">
        <x:v>Ứng viên giữ — có căn cứ khái niệm</x:v>
      </x:c>
      <x:c r="M111" s="11" t="str">
        <x:v>M010</x:v>
      </x:c>
    </x:row>
    <x:row r="112" ht="57" customHeight="1">
      <x:c r="A112" s="14" t="n">
        <x:v>107</x:v>
      </x:c>
      <x:c r="B112" s="11" t="str">
        <x:v>đối tác chiến lược</x:v>
      </x:c>
      <x:c r="C112" s="11" t="str">
        <x:v>Danh xưng khuôn khổ quan hệ giữa các bên có mức độ hợp tác và ý nghĩa chiến lược được thỏa thuận.</x:v>
      </x:c>
      <x:c r="D112" s="11" t="str">
        <x:v>전략적 동반자 관계</x:v>
      </x:c>
      <x:c r="E112" s="11" t="str">
        <x:v>국가들이 주요 공동 이익과 장기적 협력을 위해 설정한 전략적 수준의 동반자 관계.</x:v>
      </x:c>
      <x:c r="F112" s="17" t="str">
        <x:v>* Nghĩa làm việc; cần nguồn định nghĩa</x:v>
      </x:c>
      <x:c r="G112" s="17" t="str">
        <x:v>* Nghĩa làm việc; cần nguồn định nghĩa</x:v>
      </x:c>
      <x:c r="H112" s="11" t="str">
        <x:v>CẦN TRA — chưa xác minh mục từ</x:v>
      </x:c>
      <x:c r="I112" s="11" t="str">
        <x:v>CẦN TRA — chưa xác minh mục từ</x:v>
      </x:c>
      <x:c r="J112" s="15" t="str">
        <x:v>N4 — 관계·활동</x:v>
      </x:c>
      <x:c r="K112" s="15" t="str">
        <x:v>4.1 | 관계 — Quan hệ</x:v>
      </x:c>
      <x:c r="L112" s="11" t="str">
        <x:v>Cần ngữ cảnh song ngữ</x:v>
      </x:c>
      <x:c r="M112" s="11" t="str">
        <x:v>T134</x:v>
      </x:c>
    </x:row>
    <x:row r="113" ht="72" customHeight="1">
      <x:c r="A113" s="14" t="n">
        <x:v>108</x:v>
      </x:c>
      <x:c r="B113" s="11" t="str">
        <x:v>đối tác chiến lược toàn diện</x:v>
      </x:c>
      <x:c r="C113" s="11" t="str">
        <x:v>Tên một khuôn khổ quan hệ đối tác được các bên thỏa thuận, nhấn mạnh tính chiến lược và phạm vi hợp tác toàn diện; nội hàm phụ thuộc từng cặp đối tác và văn kiện.</x:v>
      </x:c>
      <x:c r="D113" s="11" t="str">
        <x:v>포괄적 전략적 동반자 관계</x:v>
      </x:c>
      <x:c r="E113" s="11" t="str">
        <x:v>여러 분야의 협력을 포괄하면서 전략적 차원으로 발전시키기로 합의한 국가 간 동반자 관계.</x:v>
      </x:c>
      <x:c r="F113" s="17" t="str">
        <x:v>* Nghĩa làm việc; cần nguồn định nghĩa</x:v>
      </x:c>
      <x:c r="G113" s="17" t="str">
        <x:v>* Nghĩa làm việc; cần nguồn định nghĩa</x:v>
      </x:c>
      <x:c r="H113" s="11" t="str">
        <x:v>CẦN TRA — chưa xác minh mục từ</x:v>
      </x:c>
      <x:c r="I113" s="11" t="str">
        <x:v>CẦN TRA — chưa xác minh mục từ</x:v>
      </x:c>
      <x:c r="J113" s="15" t="str">
        <x:v>N4 — 관계·활동</x:v>
      </x:c>
      <x:c r="K113" s="15" t="str">
        <x:v>4.1 | 관계 — Quan hệ</x:v>
      </x:c>
      <x:c r="L113" s="11" t="str">
        <x:v>Cần ngữ cảnh song ngữ</x:v>
      </x:c>
      <x:c r="M113" s="11" t="str">
        <x:v>T137</x:v>
      </x:c>
    </x:row>
    <x:row r="114" ht="72" customHeight="1">
      <x:c r="A114" s="14" t="n">
        <x:v>109</x:v>
      </x:c>
      <x:c r="B114" s="11" t="str">
        <x:v>đối tác hợp tác chiến lược toàn diện</x:v>
      </x:c>
      <x:c r="C114" s="11" t="str">
        <x:v>Tên chính thức của một khuôn khổ quan hệ đối tác có các thành tố hợp tác, chiến lược và toàn diện; phải xác định theo từng cặp đối tác, không tự coi cao hơn tên không có hợp tác.</x:v>
      </x:c>
      <x:c r="D114" s="11" t="str">
        <x:v>포괄적 전략적 협력 동반자 관계</x:v>
      </x:c>
      <x:c r="E114" s="11" t="str">
        <x:v>베트남과 중국이 채택한 관계 명칭으로, 여러 분야의 협력과 전략적 조율을 포괄하는 동반자 관계.</x:v>
      </x:c>
      <x:c r="F114" s="17" t="str">
        <x:v>* Nghĩa làm việc; cần nguồn định nghĩa</x:v>
      </x:c>
      <x:c r="G114" s="17" t="str">
        <x:v>* Nghĩa làm việc; cần nguồn định nghĩa</x:v>
      </x:c>
      <x:c r="H114" s="11" t="str">
        <x:v>CẦN TRA — chưa xác minh mục từ</x:v>
      </x:c>
      <x:c r="I114" s="11" t="str">
        <x:v>CẦN TRA — chưa xác minh mục từ</x:v>
      </x:c>
      <x:c r="J114" s="15" t="str">
        <x:v>N4 — 관계·활동</x:v>
      </x:c>
      <x:c r="K114" s="15" t="str">
        <x:v>4.1 | 관계 — Quan hệ</x:v>
      </x:c>
      <x:c r="L114" s="11" t="str">
        <x:v>Cần ngữ cảnh song ngữ</x:v>
      </x:c>
      <x:c r="M114" s="11" t="str">
        <x:v>T163</x:v>
      </x:c>
    </x:row>
    <x:row r="115" ht="57" customHeight="1">
      <x:c r="A115" s="14" t="n">
        <x:v>110</x:v>
      </x:c>
      <x:c r="B115" s="11" t="str">
        <x:v>đối tác toàn diện</x:v>
      </x:c>
      <x:c r="C115" s="11" t="str">
        <x:v>Khuôn khổ quan hệ đối tác bao quát nhiều lĩnh vực hợp tác theo thỏa thuận giữa các bên.</x:v>
      </x:c>
      <x:c r="D115" s="11" t="str">
        <x:v>포괄적 동반자 관계</x:v>
      </x:c>
      <x:c r="E115" s="11" t="str">
        <x:v>여러 협력 분야를 폭넓게 포함하도록 국가들이 설정한 동반자 관계의 틀.</x:v>
      </x:c>
      <x:c r="F115" s="17" t="str">
        <x:v>* Nghĩa làm việc; cần nguồn định nghĩa</x:v>
      </x:c>
      <x:c r="G115" s="17" t="str">
        <x:v>* Nghĩa làm việc; cần nguồn định nghĩa</x:v>
      </x:c>
      <x:c r="H115" s="11" t="str">
        <x:v>CẦN TRA — chưa xác minh mục từ</x:v>
      </x:c>
      <x:c r="I115" s="11" t="str">
        <x:v>CẦN TRA — chưa xác minh mục từ</x:v>
      </x:c>
      <x:c r="J115" s="15" t="str">
        <x:v>N4 — 관계·활동</x:v>
      </x:c>
      <x:c r="K115" s="15" t="str">
        <x:v>4.1 | 관계 — Quan hệ</x:v>
      </x:c>
      <x:c r="L115" s="11" t="str">
        <x:v>Cần ngữ cảnh song ngữ</x:v>
      </x:c>
      <x:c r="M115" s="11" t="str">
        <x:v>T150</x:v>
      </x:c>
    </x:row>
    <x:row r="116" ht="57" customHeight="1">
      <x:c r="A116" s="14" t="n">
        <x:v>111</x:v>
      </x:c>
      <x:c r="B116" s="11" t="str">
        <x:v>đối thoại chiến lược</x:v>
      </x:c>
      <x:c r="C116" s="11" t="str">
        <x:v>Trong lượt đã chọn: cơ chế đối thoại 3+3 cấp Bộ trưởng Ngoại giao, Quốc phòng, Công an Việt Nam–Trung Quốc.</x:v>
      </x:c>
      <x:c r="D116" s="11" t="str">
        <x:v>전략대화</x:v>
      </x:c>
      <x:c r="E116" s="11" t="str">
        <x:v>선택된 용례에서는 베트남과 중국의 외교·국방·공안 장관이 참여하는 3+3 전략 협의 체계.</x:v>
      </x:c>
      <x:c r="F116" s="17" t="str">
        <x:v>* Mô tả chính thức</x:v>
      </x:c>
      <x:c r="G116" s="17" t="str">
        <x:v>* Diễn giải mô tả VI</x:v>
      </x:c>
      <x:c r="H116" s="11" t="str">
        <x:v>CẦN TRA — chưa xác minh mục từ</x:v>
      </x:c>
      <x:c r="I116" s="11" t="str">
        <x:v>CẦN TRA — chưa xác minh mục từ</x:v>
      </x:c>
      <x:c r="J116" s="15" t="str">
        <x:v>N3 — 제도·이념</x:v>
      </x:c>
      <x:c r="K116" s="15" t="str">
        <x:v>3.1 | 제도·체제 — Thể chế, chế độ, cấu trúc cơ chế</x:v>
      </x:c>
      <x:c r="L116" s="18" t="str">
        <x:v>Ứng viên giữ — có căn cứ khái niệm</x:v>
      </x:c>
      <x:c r="M116" s="11" t="str">
        <x:v>T161</x:v>
      </x:c>
    </x:row>
    <x:row r="117" ht="57" customHeight="1">
      <x:c r="A117" s="14" t="n">
        <x:v>112</x:v>
      </x:c>
      <x:c r="B117" s="11" t="str">
        <x:v>Hội nghị cấp cao Đông Á (EAS)</x:v>
      </x:c>
      <x:c r="C117" s="11" t="str">
        <x:v>Cơ chế đối thoại cấp lãnh đạo về các vấn đề chiến lược, chính trị và kinh tế ở Đông Á.</x:v>
      </x:c>
      <x:c r="D117" s="11" t="str">
        <x:v>동아시아정상회의</x:v>
      </x:c>
      <x:c r="E117" s="11" t="str">
        <x:v>아세안 및 주요국 정상들이 지역의 전략적·정치적 현안을 협의하는 틀.</x:v>
      </x:c>
      <x:c r="F117" s="17" t="str">
        <x:v>* Diễn giải mô tả KO</x:v>
      </x:c>
      <x:c r="G117" s="17" t="str">
        <x:v>* Mô tả chính thức</x:v>
      </x:c>
      <x:c r="H117" s="11" t="str">
        <x:v>Tên riêng: có nguồn về đối tượng</x:v>
      </x:c>
      <x:c r="I117" s="11" t="str">
        <x:v>Tên riêng: có nguồn về đối tượng</x:v>
      </x:c>
      <x:c r="J117" s="15" t="str">
        <x:v>N3 — 제도·이념</x:v>
      </x:c>
      <x:c r="K117" s="15" t="str">
        <x:v>3.1 | 제도·체제 — Thể chế, chế độ, cấu trúc cơ chế</x:v>
      </x:c>
      <x:c r="L117" s="18" t="str">
        <x:v>Ứng viên giữ — có căn cứ khái niệm</x:v>
      </x:c>
      <x:c r="M117" s="11" t="str">
        <x:v>M009</x:v>
      </x:c>
    </x:row>
    <x:row r="118" ht="57" customHeight="1">
      <x:c r="A118" s="14" t="n">
        <x:v>113</x:v>
      </x:c>
      <x:c r="B118" s="11" t="str">
        <x:v>quan hệ ngoại giao</x:v>
      </x:c>
      <x:c r="C118" s="11" t="str">
        <x:v>Quan hệ chính thức giữa các quốc gia được xác lập bằng sự đồng thuận để tiến hành giao tiếp và đại diện ngoại giao.</x:v>
      </x:c>
      <x:c r="D118" s="11" t="str">
        <x:v>외교관계</x:v>
      </x:c>
      <x:c r="E118" s="11" t="str">
        <x:v>국가들이 공식 외교 접촉과 대표 활동을 수행하기 위해 맺는 관계.</x:v>
      </x:c>
      <x:c r="F118" s="17" t="str">
        <x:v>* Nghĩa làm việc; cần nguồn định nghĩa</x:v>
      </x:c>
      <x:c r="G118" s="17" t="str">
        <x:v>* Nghĩa làm việc; cần nguồn định nghĩa</x:v>
      </x:c>
      <x:c r="H118" s="11" t="str">
        <x:v>CẦN TRA — chưa xác minh mục từ</x:v>
      </x:c>
      <x:c r="I118" s="11" t="str">
        <x:v>CẦN TRA — chưa xác minh mục từ</x:v>
      </x:c>
      <x:c r="J118" s="15" t="str">
        <x:v>N4 — 관계·활동</x:v>
      </x:c>
      <x:c r="K118" s="15" t="str">
        <x:v>4.1 | 관계 — Quan hệ</x:v>
      </x:c>
      <x:c r="L118" s="11" t="str">
        <x:v>Cần ngữ cảnh song ngữ</x:v>
      </x:c>
      <x:c r="M118" s="11" t="str">
        <x:v>T143</x:v>
      </x:c>
    </x:row>
    <x:row r="119" ht="57" customHeight="1">
      <x:c r="A119" s="14" t="n">
        <x:v>114</x:v>
      </x:c>
      <x:c r="B119" s="11" t="str">
        <x:v>bầu cử</x:v>
      </x:c>
      <x:c r="C119" s="11" t="str">
        <x:v>Quá trình lựa chọn người đại diện hoặc người giữ chức vụ bằng việc bỏ phiếu theo thể lệ.</x:v>
      </x:c>
      <x:c r="D119" s="11" t="str">
        <x:v>선거</x:v>
      </x:c>
      <x:c r="E119" s="11" t="str">
        <x:v>조직이나 국가의 대표 또는 공직 담당자를 투표로 선택하는 절차.</x:v>
      </x:c>
      <x:c r="F119" s="17" t="str">
        <x:v>* Nghĩa làm việc; cần nguồn định nghĩa</x:v>
      </x:c>
      <x:c r="G119" s="11" t="str">
        <x:v>Mục từ có nghĩa [KO]</x:v>
      </x:c>
      <x:c r="H119" s="11" t="str">
        <x:v>CẦN TRA — chưa xác minh mục từ</x:v>
      </x:c>
      <x:c r="I119" s="11" t="str">
        <x:v>Có mục từ và đã đọc nghĩa</x:v>
      </x:c>
      <x:c r="J119" s="15" t="str">
        <x:v>N4 — 관계·활동</x:v>
      </x:c>
      <x:c r="K119" s="15" t="str">
        <x:v>4.2 | 활동·과정·사건 — Hoạt động, quá trình, sự kiện, lĩnh vực thực hành</x:v>
      </x:c>
      <x:c r="L119" s="11" t="str">
        <x:v>Cần bổ sung nguồn định nghĩa</x:v>
      </x:c>
      <x:c r="M119" s="11" t="str">
        <x:v>T001</x:v>
      </x:c>
    </x:row>
    <x:row r="120" ht="57" customHeight="1">
      <x:c r="A120" s="14" t="n">
        <x:v>115</x:v>
      </x:c>
      <x:c r="B120" s="11" t="str">
        <x:v>bầu cử đại biểu Quốc hội</x:v>
      </x:c>
      <x:c r="C120" s="11" t="str">
        <x:v>Cuộc bầu cử nhằm lựa chọn các đại biểu vào Quốc hội.</x:v>
      </x:c>
      <x:c r="D120" s="11" t="str">
        <x:v>국회 의원 선거</x:v>
      </x:c>
      <x:c r="E120" s="11" t="str">
        <x:v>국회의 구성원인 의원을 투표로 뽑는 선거.</x:v>
      </x:c>
      <x:c r="F120" s="17" t="str">
        <x:v>* Nghĩa làm việc; cần nguồn định nghĩa</x:v>
      </x:c>
      <x:c r="G120" s="17" t="str">
        <x:v>* Nghĩa làm việc; cần nguồn định nghĩa</x:v>
      </x:c>
      <x:c r="H120" s="11" t="str">
        <x:v>CẦN TRA — chưa xác minh mục từ</x:v>
      </x:c>
      <x:c r="I120" s="11" t="str">
        <x:v>CẦN TRA — chưa xác minh mục từ</x:v>
      </x:c>
      <x:c r="J120" s="15" t="str">
        <x:v>N4 — 관계·활동</x:v>
      </x:c>
      <x:c r="K120" s="15" t="str">
        <x:v>4.2 | 활동·과정·사건 — Hoạt động, quá trình, sự kiện, lĩnh vực thực hành</x:v>
      </x:c>
      <x:c r="L120" s="11" t="str">
        <x:v>Cần bổ sung nguồn định nghĩa</x:v>
      </x:c>
      <x:c r="M120" s="11" t="str">
        <x:v>T004</x:v>
      </x:c>
    </x:row>
    <x:row r="121" ht="57" customHeight="1">
      <x:c r="A121" s="14" t="n">
        <x:v>116</x:v>
      </x:c>
      <x:c r="B121" s="11" t="str">
        <x:v>cải cách hành chính</x:v>
      </x:c>
      <x:c r="C121" s="11" t="str">
        <x:v>Quá trình đổi mới thể chế, tổ chức, thủ tục và phương thức hoạt động của nền hành chính.</x:v>
      </x:c>
      <x:c r="D121" s="11" t="str">
        <x:v>행정 개혁</x:v>
      </x:c>
      <x:c r="E121" s="11" t="str">
        <x:v>행정의 제도, 조직, 절차와 업무 수행 방식을 개선하는 과정.</x:v>
      </x:c>
      <x:c r="F121" s="17" t="str">
        <x:v>* Nghĩa làm việc; cần nguồn định nghĩa</x:v>
      </x:c>
      <x:c r="G121" s="17" t="str">
        <x:v>* Nghĩa làm việc; cần nguồn định nghĩa</x:v>
      </x:c>
      <x:c r="H121" s="11" t="str">
        <x:v>CẦN TRA — chưa xác minh mục từ</x:v>
      </x:c>
      <x:c r="I121" s="11" t="str">
        <x:v>CẦN TRA — chưa xác minh mục từ</x:v>
      </x:c>
      <x:c r="J121" s="15" t="str">
        <x:v>N4 — 관계·활동</x:v>
      </x:c>
      <x:c r="K121" s="15" t="str">
        <x:v>4.2 | 활동·과정·사건 — Hoạt động, quá trình, sự kiện, lĩnh vực thực hành</x:v>
      </x:c>
      <x:c r="L121" s="11" t="str">
        <x:v>Cần bổ sung nguồn định nghĩa</x:v>
      </x:c>
      <x:c r="M121" s="11" t="str">
        <x:v>T041</x:v>
      </x:c>
    </x:row>
    <x:row r="122" ht="57" customHeight="1">
      <x:c r="A122" s="14" t="n">
        <x:v>117</x:v>
      </x:c>
      <x:c r="B122" s="11" t="str">
        <x:v>cải cách thể chế</x:v>
      </x:c>
      <x:c r="C122" s="11" t="str">
        <x:v>Quá trình sửa đổi hoặc đổi mới các quy tắc và thiết chế chi phối hoạt động của một hệ thống.</x:v>
      </x:c>
      <x:c r="D122" s="11" t="str">
        <x:v>제도 개혁</x:v>
      </x:c>
      <x:c r="E122" s="11" t="str">
        <x:v>공공 영역의 활동을 규율하는 제도와 규칙을 수정하거나 새롭게 정비하는 과정.</x:v>
      </x:c>
      <x:c r="F122" s="17" t="str">
        <x:v>* Nghĩa làm việc; cần nguồn định nghĩa</x:v>
      </x:c>
      <x:c r="G122" s="17" t="str">
        <x:v>* Nghĩa làm việc; cần nguồn định nghĩa</x:v>
      </x:c>
      <x:c r="H122" s="11" t="str">
        <x:v>CẦN TRA — chưa xác minh mục từ</x:v>
      </x:c>
      <x:c r="I122" s="11" t="str">
        <x:v>CẦN TRA — chưa xác minh mục từ</x:v>
      </x:c>
      <x:c r="J122" s="15" t="str">
        <x:v>N4 — 관계·활동</x:v>
      </x:c>
      <x:c r="K122" s="15" t="str">
        <x:v>4.2 | 활동·과정·사건 — Hoạt động, quá trình, sự kiện, lĩnh vực thực hành</x:v>
      </x:c>
      <x:c r="L122" s="11" t="str">
        <x:v>Cần bổ sung nguồn định nghĩa</x:v>
      </x:c>
      <x:c r="M122" s="11" t="str">
        <x:v>T060</x:v>
      </x:c>
    </x:row>
    <x:row r="123" ht="57" customHeight="1">
      <x:c r="A123" s="14" t="n">
        <x:v>118</x:v>
      </x:c>
      <x:c r="B123" s="11" t="str">
        <x:v>chào xã giao</x:v>
      </x:c>
      <x:c r="C123" s="11" t="str">
        <x:v>Cuộc tiếp xúc mang tính nghi thức nhằm chào hỏi, thể hiện sự tôn trọng và duy trì quan hệ.</x:v>
      </x:c>
      <x:c r="D123" s="11" t="str">
        <x:v>예방할</x:v>
      </x:c>
      <x:c r="E123" s="11" t="str">
        <x:v>외교적 예의를 표하고 인사를 나누기 위해 상대방을 찾아가는 행위. 원문 예방할은 예방하다의 활용형이다.</x:v>
      </x:c>
      <x:c r="F123" s="17" t="str">
        <x:v>* Nghĩa làm việc; cần nguồn định nghĩa</x:v>
      </x:c>
      <x:c r="G123" s="11" t="str">
        <x:v>Định nghĩa chuyên ngành [KO]</x:v>
      </x:c>
      <x:c r="H123" s="11" t="str">
        <x:v>CẦN TRA — chưa xác minh mục từ</x:v>
      </x:c>
      <x:c r="I123" s="11" t="str">
        <x:v>CẦN TRA — chưa xác minh mục từ</x:v>
      </x:c>
      <x:c r="J123" s="15" t="str">
        <x:v>N4 — 관계·활동</x:v>
      </x:c>
      <x:c r="K123" s="15" t="str">
        <x:v>4.2 | 활동·과정·사건 — Hoạt động, quá trình, sự kiện, lĩnh vực thực hành</x:v>
      </x:c>
      <x:c r="L123" s="11" t="str">
        <x:v>Cần ngữ cảnh song ngữ</x:v>
      </x:c>
      <x:c r="M123" s="11" t="str">
        <x:v>M047</x:v>
      </x:c>
    </x:row>
    <x:row r="124" ht="57" customHeight="1">
      <x:c r="A124" s="14" t="n">
        <x:v>119</x:v>
      </x:c>
      <x:c r="B124" s="11" t="str">
        <x:v>Đại hội đại biểu toàn quốc</x:v>
      </x:c>
      <x:c r="C124" s="11" t="str">
        <x:v>Đại hội đại biểu toàn quốc của chính đảng.</x:v>
      </x:c>
      <x:c r="D124" s="11" t="str">
        <x:v>전국대회</x:v>
      </x:c>
      <x:c r="E124" s="11" t="str">
        <x:v>전국 대표들이 모이는 당대회.</x:v>
      </x:c>
      <x:c r="F124" s="17" t="str">
        <x:v>* Nghĩa làm việc; cần nguồn định nghĩa</x:v>
      </x:c>
      <x:c r="G124" s="17" t="str">
        <x:v>* Nghĩa làm việc; cần nguồn định nghĩa</x:v>
      </x:c>
      <x:c r="H124" s="11" t="str">
        <x:v>CẦN TRA — chưa xác minh mục từ</x:v>
      </x:c>
      <x:c r="I124" s="11" t="str">
        <x:v>CẦN TRA — chưa xác minh mục từ</x:v>
      </x:c>
      <x:c r="J124" s="15" t="str">
        <x:v>N4 — 관계·활동</x:v>
      </x:c>
      <x:c r="K124" s="15" t="str">
        <x:v>4.2 | 활동·과정·사건 — Hoạt động, quá trình, sự kiện, lĩnh vực thực hành</x:v>
      </x:c>
      <x:c r="L124" s="11" t="str">
        <x:v>Cần bổ sung nguồn định nghĩa</x:v>
      </x:c>
      <x:c r="M124" s="11" t="str">
        <x:v>T025</x:v>
      </x:c>
    </x:row>
    <x:row r="125" ht="57" customHeight="1">
      <x:c r="A125" s="14" t="n">
        <x:v>120</x:v>
      </x:c>
      <x:c r="B125" s="11" t="str">
        <x:v>đề cử</x:v>
      </x:c>
      <x:c r="C125" s="11" t="str">
        <x:v>Giới thiệu một người để cơ quan hoặc tập thể có thẩm quyền xem xét lựa chọn vào chức vụ.</x:v>
      </x:c>
      <x:c r="D125" s="11" t="str">
        <x:v>지명한</x:v>
      </x:c>
      <x:c r="E125" s="11" t="str">
        <x:v>특정 인물을 후보나 업무 담당자로 선택하여 이름을 밝히는 행위. 지명한은 지명하다의 활용형이며, 여기서는 정치적 후보 지명의 뜻을 검토한다.</x:v>
      </x:c>
      <x:c r="F125" s="17" t="str">
        <x:v>* Nghĩa làm việc; cần nguồn định nghĩa</x:v>
      </x:c>
      <x:c r="G125" s="17" t="str">
        <x:v>* Nghĩa làm việc; cần nguồn định nghĩa</x:v>
      </x:c>
      <x:c r="H125" s="11" t="str">
        <x:v>CẦN TRA — chưa xác minh mục từ</x:v>
      </x:c>
      <x:c r="I125" s="11" t="str">
        <x:v>CẦN TRA — chưa xác minh mục từ</x:v>
      </x:c>
      <x:c r="J125" s="15" t="str">
        <x:v>N4 — 관계·활동</x:v>
      </x:c>
      <x:c r="K125" s="15" t="str">
        <x:v>4.2 | 활동·과정·사건 — Hoạt động, quá trình, sự kiện, lĩnh vực thực hành</x:v>
      </x:c>
      <x:c r="L125" s="11" t="str">
        <x:v>Cần ngữ cảnh song ngữ</x:v>
      </x:c>
      <x:c r="M125" s="11" t="str">
        <x:v>T012</x:v>
      </x:c>
    </x:row>
    <x:row r="126" ht="57" customHeight="1">
      <x:c r="A126" s="14" t="n">
        <x:v>121</x:v>
      </x:c>
      <x:c r="B126" s="11" t="str">
        <x:v>điện đàm</x:v>
      </x:c>
      <x:c r="C126" s="11" t="str">
        <x:v>Cuộc trao đổi qua điện thoại giữa các chủ thể chính trị hoặc ngoại giao; không bao gồm mọi cuộc gọi thông thường.</x:v>
      </x:c>
      <x:c r="D126" s="11" t="str">
        <x:v>전화 회담</x:v>
      </x:c>
      <x:c r="E126" s="11" t="str">
        <x:v>정치·외교 관계자가 전화로 현안이나 협력 문제를 논의하는 회담.</x:v>
      </x:c>
      <x:c r="F126" s="17" t="str">
        <x:v>* Nghĩa làm việc; cần nguồn định nghĩa</x:v>
      </x:c>
      <x:c r="G126" s="17" t="str">
        <x:v>* Nghĩa làm việc; cần nguồn định nghĩa</x:v>
      </x:c>
      <x:c r="H126" s="11" t="str">
        <x:v>CẦN TRA — chưa xác minh mục từ</x:v>
      </x:c>
      <x:c r="I126" s="11" t="str">
        <x:v>CẦN TRA — chưa xác minh mục từ</x:v>
      </x:c>
      <x:c r="J126" s="15" t="str">
        <x:v>N4 — 관계·활동</x:v>
      </x:c>
      <x:c r="K126" s="15" t="str">
        <x:v>4.2 | 활동·과정·사건 — Hoạt động, quá trình, sự kiện, lĩnh vực thực hành</x:v>
      </x:c>
      <x:c r="L126" s="11" t="str">
        <x:v>Cần bổ sung nguồn định nghĩa</x:v>
      </x:c>
      <x:c r="M126" s="11" t="str">
        <x:v>T153</x:v>
      </x:c>
    </x:row>
    <x:row r="127" ht="57" customHeight="1">
      <x:c r="A127" s="14" t="n">
        <x:v>122</x:v>
      </x:c>
      <x:c r="B127" s="11" t="str">
        <x:v>Đổi mới</x:v>
      </x:c>
      <x:c r="C127" s="11" t="str">
        <x:v>Đường lối và quá trình cải cách toàn diện được Việt Nam triển khai từ Đại hội VI; không chỉ sự thay đổi nói chung.</x:v>
      </x:c>
      <x:c r="D127" s="11" t="str">
        <x:v>도이머이(혁신)</x:v>
      </x:c>
      <x:c r="E127" s="11" t="str">
        <x:v>베트남에서 도이머이로 불리는 개혁·쇄신 과정. 여기서는 그 추진 과정과 성과를 가리킨다.</x:v>
      </x:c>
      <x:c r="F127" s="17" t="str">
        <x:v>* Nghĩa làm việc; cần nguồn định nghĩa</x:v>
      </x:c>
      <x:c r="G127" s="17" t="str">
        <x:v>* Nghĩa làm việc; cần nguồn định nghĩa</x:v>
      </x:c>
      <x:c r="H127" s="11" t="str">
        <x:v>CẦN TRA — chưa xác minh mục từ</x:v>
      </x:c>
      <x:c r="I127" s="11" t="str">
        <x:v>CẦN TRA — chưa xác minh mục từ</x:v>
      </x:c>
      <x:c r="J127" s="15" t="str">
        <x:v>N4 — 관계·활동</x:v>
      </x:c>
      <x:c r="K127" s="15" t="str">
        <x:v>4.2 | 활동·과정·사건 — Hoạt động, quá trình, sự kiện, lĩnh vực thực hành</x:v>
      </x:c>
      <x:c r="L127" s="11" t="str">
        <x:v>Cần ngữ cảnh song ngữ</x:v>
      </x:c>
      <x:c r="M127" s="11" t="str">
        <x:v>T016</x:v>
      </x:c>
    </x:row>
    <x:row r="128" ht="57" customHeight="1">
      <x:c r="A128" s="14" t="n">
        <x:v>123</x:v>
      </x:c>
      <x:c r="B128" s="11" t="str">
        <x:v>đối ngoại quốc phòng</x:v>
      </x:c>
      <x:c r="C128" s="11" t="str">
        <x:v>Hoạt động đối ngoại trong lĩnh vực quốc phòng nhằm xây dựng quan hệ, hợp tác và bảo vệ lợi ích quốc gia.</x:v>
      </x:c>
      <x:c r="D128" s="11" t="str">
        <x:v>국방 외교</x:v>
      </x:c>
      <x:c r="E128" s="11" t="str">
        <x:v>국방 분야의 대외 접촉과 협력을 통해 국가 간 관계 및 안보 이익을 증진하는 활동.</x:v>
      </x:c>
      <x:c r="F128" s="17" t="str">
        <x:v>* Nghĩa làm việc; cần nguồn định nghĩa</x:v>
      </x:c>
      <x:c r="G128" s="17" t="str">
        <x:v>* Nghĩa làm việc; cần nguồn định nghĩa</x:v>
      </x:c>
      <x:c r="H128" s="11" t="str">
        <x:v>CẦN TRA — chưa xác minh mục từ</x:v>
      </x:c>
      <x:c r="I128" s="11" t="str">
        <x:v>CẦN TRA — chưa xác minh mục từ</x:v>
      </x:c>
      <x:c r="J128" s="15" t="str">
        <x:v>N4 — 관계·활동</x:v>
      </x:c>
      <x:c r="K128" s="15" t="str">
        <x:v>4.2 | 활동·과정·사건 — Hoạt động, quá trình, sự kiện, lĩnh vực thực hành</x:v>
      </x:c>
      <x:c r="L128" s="11" t="str">
        <x:v>Cần bổ sung nguồn định nghĩa</x:v>
      </x:c>
      <x:c r="M128" s="11" t="str">
        <x:v>T160</x:v>
      </x:c>
    </x:row>
    <x:row r="129" ht="57" customHeight="1">
      <x:c r="A129" s="14" t="n">
        <x:v>124</x:v>
      </x:c>
      <x:c r="B129" s="11" t="str">
        <x:v>đối thoại chính sách</x:v>
      </x:c>
      <x:c r="C129" s="11" t="str">
        <x:v>Cơ chế hoặc cuộc trao đổi giữa các bên về định hướng, nội dung hoặc việc thực hiện chính sách.</x:v>
      </x:c>
      <x:c r="D129" s="11" t="str">
        <x:v>정책 대화</x:v>
      </x:c>
      <x:c r="E129" s="11" t="str">
        <x:v>관련 당사자들이 정책 방향, 내용 또는 실행 방안에 관해 의견을 교환하는 활동.</x:v>
      </x:c>
      <x:c r="F129" s="17" t="str">
        <x:v>* Nghĩa làm việc; cần nguồn định nghĩa</x:v>
      </x:c>
      <x:c r="G129" s="17" t="str">
        <x:v>* Nghĩa làm việc; cần nguồn định nghĩa</x:v>
      </x:c>
      <x:c r="H129" s="11" t="str">
        <x:v>CẦN TRA — chưa xác minh mục từ</x:v>
      </x:c>
      <x:c r="I129" s="11" t="str">
        <x:v>CẦN TRA — chưa xác minh mục từ</x:v>
      </x:c>
      <x:c r="J129" s="15" t="str">
        <x:v>N4 — 관계·활동</x:v>
      </x:c>
      <x:c r="K129" s="15" t="str">
        <x:v>4.2 | 활동·과정·사건 — Hoạt động, quá trình, sự kiện, lĩnh vực thực hành</x:v>
      </x:c>
      <x:c r="L129" s="11" t="str">
        <x:v>Cần bổ sung nguồn định nghĩa</x:v>
      </x:c>
      <x:c r="M129" s="11" t="str">
        <x:v>T165</x:v>
      </x:c>
    </x:row>
    <x:row r="130" ht="57" customHeight="1">
      <x:c r="A130" s="14" t="n">
        <x:v>125</x:v>
      </x:c>
      <x:c r="B130" s="11" t="str">
        <x:v>giải phóng dân tộc</x:v>
      </x:c>
      <x:c r="C130" s="11" t="str">
        <x:v>Quá trình đấu tranh chấm dứt sự thống trị, áp bức dân tộc để giành quyền tự quyết và độc lập.</x:v>
      </x:c>
      <x:c r="D130" s="11" t="str">
        <x:v>민족 해방</x:v>
      </x:c>
      <x:c r="E130" s="11" t="str">
        <x:v>외부 지배와 민족적 억압을 벗어나 자결과 독립을 이루려는 과정.</x:v>
      </x:c>
      <x:c r="F130" s="17" t="str">
        <x:v>* Nghĩa làm việc; cần nguồn định nghĩa</x:v>
      </x:c>
      <x:c r="G130" s="17" t="str">
        <x:v>* Nghĩa làm việc; cần nguồn định nghĩa</x:v>
      </x:c>
      <x:c r="H130" s="11" t="str">
        <x:v>CẦN TRA — chưa xác minh mục từ</x:v>
      </x:c>
      <x:c r="I130" s="11" t="str">
        <x:v>CẦN TRA — chưa xác minh mục từ</x:v>
      </x:c>
      <x:c r="J130" s="15" t="str">
        <x:v>N4 — 관계·활동</x:v>
      </x:c>
      <x:c r="K130" s="15" t="str">
        <x:v>4.2 | 활동·과정·사건 — Hoạt động, quá trình, sự kiện, lĩnh vực thực hành</x:v>
      </x:c>
      <x:c r="L130" s="11" t="str">
        <x:v>Cần bổ sung nguồn định nghĩa</x:v>
      </x:c>
      <x:c r="M130" s="11" t="str">
        <x:v>T040</x:v>
      </x:c>
    </x:row>
    <x:row r="131" ht="57" customHeight="1">
      <x:c r="A131" s="14" t="n">
        <x:v>126</x:v>
      </x:c>
      <x:c r="B131" s="11" t="str">
        <x:v>giám sát tối cao</x:v>
      </x:c>
      <x:c r="C131" s="11" t="str">
        <x:v>Hoạt động giám sát ở cấp cao nhất của Quốc hội đối với việc thực hiện Hiến pháp, luật và nghị quyết theo thẩm quyền.</x:v>
      </x:c>
      <x:c r="D131" s="11" t="str">
        <x:v>최고 감독</x:v>
      </x:c>
      <x:c r="E131" s="11" t="str">
        <x:v>베트남 국회가 국가기관의 활동에 대하여 최고 수준의 권한으로 수행하는 감독 활동.</x:v>
      </x:c>
      <x:c r="F131" s="17" t="str">
        <x:v>* Nghĩa làm việc; cần nguồn định nghĩa</x:v>
      </x:c>
      <x:c r="G131" s="17" t="str">
        <x:v>* Nghĩa làm việc; cần nguồn định nghĩa</x:v>
      </x:c>
      <x:c r="H131" s="11" t="str">
        <x:v>CẦN TRA — chưa xác minh mục từ</x:v>
      </x:c>
      <x:c r="I131" s="11" t="str">
        <x:v>CẦN TRA — chưa xác minh mục từ</x:v>
      </x:c>
      <x:c r="J131" s="15" t="str">
        <x:v>N4 — 관계·활동</x:v>
      </x:c>
      <x:c r="K131" s="15" t="str">
        <x:v>4.2 | 활동·과정·사건 — Hoạt động, quá trình, sự kiện, lĩnh vực thực hành</x:v>
      </x:c>
      <x:c r="L131" s="11" t="str">
        <x:v>Cần ngữ cảnh song ngữ</x:v>
      </x:c>
      <x:c r="M131" s="11" t="str">
        <x:v>T010</x:v>
      </x:c>
    </x:row>
    <x:row r="132" ht="57" customHeight="1">
      <x:c r="A132" s="14" t="n">
        <x:v>127</x:v>
      </x:c>
      <x:c r="B132" s="11" t="str">
        <x:v>hội đàm</x:v>
      </x:c>
      <x:c r="C132" s="11" t="str">
        <x:v>Cuộc trao đổi chính thức giữa các bên nhằm bàn bạc về quan hệ, vấn đề hoặc phương án hợp tác.</x:v>
      </x:c>
      <x:c r="D132" s="11" t="str">
        <x:v>회담</x:v>
      </x:c>
      <x:c r="E132" s="11" t="str">
        <x:v>관련 당사자들이 모여 공동 관심사나 현안을 공식적으로 논의하는 일.</x:v>
      </x:c>
      <x:c r="F132" s="17" t="str">
        <x:v>* Nghĩa làm việc; cần nguồn định nghĩa</x:v>
      </x:c>
      <x:c r="G132" s="17" t="str">
        <x:v>* Nghĩa làm việc; cần nguồn định nghĩa</x:v>
      </x:c>
      <x:c r="H132" s="11" t="str">
        <x:v>CẦN TRA — chưa xác minh mục từ</x:v>
      </x:c>
      <x:c r="I132" s="11" t="str">
        <x:v>CẦN TRA — chưa xác minh mục từ</x:v>
      </x:c>
      <x:c r="J132" s="15" t="str">
        <x:v>N4 — 관계·활동</x:v>
      </x:c>
      <x:c r="K132" s="15" t="str">
        <x:v>4.2 | 활동·과정·사건 — Hoạt động, quá trình, sự kiện, lĩnh vực thực hành</x:v>
      </x:c>
      <x:c r="L132" s="11" t="str">
        <x:v>Cần bổ sung nguồn định nghĩa</x:v>
      </x:c>
      <x:c r="M132" s="11" t="str">
        <x:v>T141</x:v>
      </x:c>
    </x:row>
    <x:row r="133" ht="57" customHeight="1">
      <x:c r="A133" s="14" t="n">
        <x:v>128</x:v>
      </x:c>
      <x:c r="B133" s="11" t="str">
        <x:v>hội nghị cấp cao</x:v>
      </x:c>
      <x:c r="C133" s="11" t="str">
        <x:v>Hội nghị có sự tham dự của những người lãnh đạo ở cấp cao nhất hoặc cấp được thể thức hội nghị quy định.</x:v>
      </x:c>
      <x:c r="D133" s="11" t="str">
        <x:v>정상회의</x:v>
      </x:c>
      <x:c r="E133" s="11" t="str">
        <x:v>국가 또는 정부의 최고 지도자들이 참여하는 회의. 개별 회의의 참가 자격은 해당 운영 방식에 따른다.</x:v>
      </x:c>
      <x:c r="F133" s="17" t="str">
        <x:v>* Nghĩa làm việc; cần nguồn định nghĩa</x:v>
      </x:c>
      <x:c r="G133" s="17" t="str">
        <x:v>* Nghĩa làm việc; cần nguồn định nghĩa</x:v>
      </x:c>
      <x:c r="H133" s="11" t="str">
        <x:v>CẦN TRA — chưa xác minh mục từ</x:v>
      </x:c>
      <x:c r="I133" s="11" t="str">
        <x:v>CẦN TRA — chưa xác minh mục từ</x:v>
      </x:c>
      <x:c r="J133" s="15" t="str">
        <x:v>N4 — 관계·활동</x:v>
      </x:c>
      <x:c r="K133" s="15" t="str">
        <x:v>4.2 | 활동·과정·사건 — Hoạt động, quá trình, sự kiện, lĩnh vực thực hành</x:v>
      </x:c>
      <x:c r="L133" s="11" t="str">
        <x:v>Cần ngữ cảnh song ngữ</x:v>
      </x:c>
      <x:c r="M133" s="11" t="str">
        <x:v>T148</x:v>
      </x:c>
    </x:row>
    <x:row r="134" ht="57" customHeight="1">
      <x:c r="A134" s="14" t="n">
        <x:v>129</x:v>
      </x:c>
      <x:c r="B134" s="11" t="str">
        <x:v>Hội nghị cấp cao APEC</x:v>
      </x:c>
      <x:c r="C134" s="11" t="str">
        <x:v>Hội nghị của các nhà lãnh đạo các nền kinh tế thành viên APEC.</x:v>
      </x:c>
      <x:c r="D134" s="11" t="str">
        <x:v>APEC 정상회의</x:v>
      </x:c>
      <x:c r="E134" s="11" t="str">
        <x:v>APEC 회원 경제체의 정상들이 주요 지역 협력 의제를 논의하는 회의.</x:v>
      </x:c>
      <x:c r="F134" s="17" t="str">
        <x:v>* Nghĩa làm việc; cần nguồn định nghĩa</x:v>
      </x:c>
      <x:c r="G134" s="17" t="str">
        <x:v>* Nghĩa làm việc; cần nguồn định nghĩa</x:v>
      </x:c>
      <x:c r="H134" s="11" t="str">
        <x:v>CẦN TRA — chưa xác minh mục từ</x:v>
      </x:c>
      <x:c r="I134" s="11" t="str">
        <x:v>CẦN TRA — chưa xác minh mục từ</x:v>
      </x:c>
      <x:c r="J134" s="15" t="str">
        <x:v>N4 — 관계·활동</x:v>
      </x:c>
      <x:c r="K134" s="15" t="str">
        <x:v>4.2 | 활동·과정·사건 — Hoạt động, quá trình, sự kiện, lĩnh vực thực hành</x:v>
      </x:c>
      <x:c r="L134" s="11" t="str">
        <x:v>Cần bổ sung nguồn định nghĩa</x:v>
      </x:c>
      <x:c r="M134" s="11" t="str">
        <x:v>M004</x:v>
      </x:c>
    </x:row>
    <x:row r="135" ht="57" customHeight="1">
      <x:c r="A135" s="14" t="n">
        <x:v>130</x:v>
      </x:c>
      <x:c r="B135" s="11" t="str">
        <x:v>Hội nghị cấp cao Mekong–Hàn Quốc</x:v>
      </x:c>
      <x:c r="C135" s="11" t="str">
        <x:v>Hội nghị cấp lãnh đạo trong khuôn khổ hợp tác Mekong–Hàn Quốc.</x:v>
      </x:c>
      <x:c r="D135" s="11" t="str">
        <x:v>메콩-한 정상회의</x:v>
      </x:c>
      <x:c r="E135" s="11" t="str">
        <x:v>메콩 지역 국가들과 한국의 정상들이 협력 방향을 논의하는 정상회의.</x:v>
      </x:c>
      <x:c r="F135" s="17" t="str">
        <x:v>* Nghĩa làm việc; cần nguồn định nghĩa</x:v>
      </x:c>
      <x:c r="G135" s="17" t="str">
        <x:v>* Nghĩa làm việc; cần nguồn định nghĩa</x:v>
      </x:c>
      <x:c r="H135" s="11" t="str">
        <x:v>CẦN TRA — chưa xác minh mục từ</x:v>
      </x:c>
      <x:c r="I135" s="11" t="str">
        <x:v>CẦN TRA — chưa xác minh mục từ</x:v>
      </x:c>
      <x:c r="J135" s="15" t="str">
        <x:v>N4 — 관계·활동</x:v>
      </x:c>
      <x:c r="K135" s="15" t="str">
        <x:v>4.2 | 활동·과정·사건 — Hoạt động, quá trình, sự kiện, lĩnh vực thực hành</x:v>
      </x:c>
      <x:c r="L135" s="11" t="str">
        <x:v>Cần bổ sung nguồn định nghĩa</x:v>
      </x:c>
      <x:c r="M135" s="11" t="str">
        <x:v>M019</x:v>
      </x:c>
    </x:row>
    <x:row r="136" ht="57" customHeight="1">
      <x:c r="A136" s="14" t="n">
        <x:v>131</x:v>
      </x:c>
      <x:c r="B136" s="11" t="str">
        <x:v>hội nhập quốc tế</x:v>
      </x:c>
      <x:c r="C136" s="11" t="str">
        <x:v>Quá trình một quốc gia tham gia ngày càng sâu vào các quan hệ, thể chế và cơ chế hợp tác quốc tế.</x:v>
      </x:c>
      <x:c r="D136" s="11" t="str">
        <x:v>국제 통합</x:v>
      </x:c>
      <x:c r="E136" s="11" t="str">
        <x:v>국가가 국제 관계와 제도, 협력 틀에 참여하고 상호 연계를 심화하는 과정.</x:v>
      </x:c>
      <x:c r="F136" s="17" t="str">
        <x:v>* Nghĩa làm việc; cần nguồn định nghĩa</x:v>
      </x:c>
      <x:c r="G136" s="17" t="str">
        <x:v>* Nghĩa làm việc; cần nguồn định nghĩa</x:v>
      </x:c>
      <x:c r="H136" s="11" t="str">
        <x:v>CẦN TRA — chưa xác minh mục từ</x:v>
      </x:c>
      <x:c r="I136" s="11" t="str">
        <x:v>CẦN TRA — chưa xác minh mục từ</x:v>
      </x:c>
      <x:c r="J136" s="15" t="str">
        <x:v>N4 — 관계·활동</x:v>
      </x:c>
      <x:c r="K136" s="15" t="str">
        <x:v>4.2 | 활동·과정·사건 — Hoạt động, quá trình, sự kiện, lĩnh vực thực hành</x:v>
      </x:c>
      <x:c r="L136" s="11" t="str">
        <x:v>Cần bổ sung nguồn định nghĩa</x:v>
      </x:c>
      <x:c r="M136" s="11" t="str">
        <x:v>T138</x:v>
      </x:c>
    </x:row>
    <x:row r="137" ht="57" customHeight="1">
      <x:c r="A137" s="14" t="n">
        <x:v>132</x:v>
      </x:c>
      <x:c r="B137" s="11" t="str">
        <x:v>hợp tác đa phương</x:v>
      </x:c>
      <x:c r="C137" s="11" t="str">
        <x:v>Hoạt động hợp tác có sự tham gia của nhiều quốc gia hoặc nhiều bên trong một khuôn khổ chung.</x:v>
      </x:c>
      <x:c r="D137" s="11" t="str">
        <x:v>다자 협력</x:v>
      </x:c>
      <x:c r="E137" s="11" t="str">
        <x:v>여러 국가나 당사자가 공동 목표를 위해 함께 수행하는 협력 활동.</x:v>
      </x:c>
      <x:c r="F137" s="17" t="str">
        <x:v>* Nghĩa làm việc; cần nguồn định nghĩa</x:v>
      </x:c>
      <x:c r="G137" s="17" t="str">
        <x:v>* Nghĩa làm việc; cần nguồn định nghĩa</x:v>
      </x:c>
      <x:c r="H137" s="11" t="str">
        <x:v>CẦN TRA — chưa xác minh mục từ</x:v>
      </x:c>
      <x:c r="I137" s="11" t="str">
        <x:v>CẦN TRA — chưa xác minh mục từ</x:v>
      </x:c>
      <x:c r="J137" s="15" t="str">
        <x:v>N4 — 관계·활동</x:v>
      </x:c>
      <x:c r="K137" s="15" t="str">
        <x:v>4.2 | 활동·과정·사건 — Hoạt động, quá trình, sự kiện, lĩnh vực thực hành</x:v>
      </x:c>
      <x:c r="L137" s="11" t="str">
        <x:v>Cần bổ sung nguồn định nghĩa</x:v>
      </x:c>
      <x:c r="M137" s="11" t="str">
        <x:v>M003</x:v>
      </x:c>
    </x:row>
    <x:row r="138" ht="57" customHeight="1">
      <x:c r="A138" s="14" t="n">
        <x:v>133</x:v>
      </x:c>
      <x:c r="B138" s="11" t="str">
        <x:v>hợp tác nghị viện</x:v>
      </x:c>
      <x:c r="C138" s="11" t="str">
        <x:v>Hoạt động phối hợp, trao đổi và hỗ trợ giữa các nghị viện hoặc cơ quan nghị viện.</x:v>
      </x:c>
      <x:c r="D138" s="11" t="str">
        <x:v>의회 협력</x:v>
      </x:c>
      <x:c r="E138" s="11" t="str">
        <x:v>의회와 의회 관계자들이 교류·협의하며 공동 과제를 추진하는 활동.</x:v>
      </x:c>
      <x:c r="F138" s="17" t="str">
        <x:v>* Nghĩa làm việc; cần nguồn định nghĩa</x:v>
      </x:c>
      <x:c r="G138" s="17" t="str">
        <x:v>* Nghĩa làm việc; cần nguồn định nghĩa</x:v>
      </x:c>
      <x:c r="H138" s="11" t="str">
        <x:v>CẦN TRA — chưa xác minh mục từ</x:v>
      </x:c>
      <x:c r="I138" s="11" t="str">
        <x:v>CẦN TRA — chưa xác minh mục từ</x:v>
      </x:c>
      <x:c r="J138" s="15" t="str">
        <x:v>N4 — 관계·활동</x:v>
      </x:c>
      <x:c r="K138" s="15" t="str">
        <x:v>4.2 | 활동·과정·사건 — Hoạt động, quá trình, sự kiện, lĩnh vực thực hành</x:v>
      </x:c>
      <x:c r="L138" s="11" t="str">
        <x:v>Cần bổ sung nguồn định nghĩa</x:v>
      </x:c>
      <x:c r="M138" s="11" t="str">
        <x:v>M035</x:v>
      </x:c>
    </x:row>
    <x:row r="139" ht="57" customHeight="1">
      <x:c r="A139" s="14" t="n">
        <x:v>134</x:v>
      </x:c>
      <x:c r="B139" s="11" t="str">
        <x:v>hợp tác quốc phòng</x:v>
      </x:c>
      <x:c r="C139" s="11" t="str">
        <x:v>Hoạt động phối hợp và hỗ trợ giữa các bên trong lĩnh vực quốc phòng.</x:v>
      </x:c>
      <x:c r="D139" s="11" t="str">
        <x:v>국방 협력</x:v>
      </x:c>
      <x:c r="E139" s="11" t="str">
        <x:v>국가나 관련 기관들이 국방 분야에서 공동 활동과 교류를 수행하는 협력.</x:v>
      </x:c>
      <x:c r="F139" s="17" t="str">
        <x:v>* Nghĩa làm việc; cần nguồn định nghĩa</x:v>
      </x:c>
      <x:c r="G139" s="17" t="str">
        <x:v>* Nghĩa làm việc; cần nguồn định nghĩa</x:v>
      </x:c>
      <x:c r="H139" s="11" t="str">
        <x:v>CẦN TRA — chưa xác minh mục từ</x:v>
      </x:c>
      <x:c r="I139" s="11" t="str">
        <x:v>CẦN TRA — chưa xác minh mục từ</x:v>
      </x:c>
      <x:c r="J139" s="15" t="str">
        <x:v>N4 — 관계·활동</x:v>
      </x:c>
      <x:c r="K139" s="15" t="str">
        <x:v>4.2 | 활동·과정·사건 — Hoạt động, quá trình, sự kiện, lĩnh vực thực hành</x:v>
      </x:c>
      <x:c r="L139" s="11" t="str">
        <x:v>Cần bổ sung nguồn định nghĩa</x:v>
      </x:c>
      <x:c r="M139" s="11" t="str">
        <x:v>T178</x:v>
      </x:c>
    </x:row>
    <x:row r="140" ht="57" customHeight="1">
      <x:c r="A140" s="14" t="n">
        <x:v>135</x:v>
      </x:c>
      <x:c r="B140" s="11" t="str">
        <x:v>lập pháp</x:v>
      </x:c>
      <x:c r="C140" s="11" t="str">
        <x:v>Hoạt động xây dựng, ban hành hoặc sửa đổi luật.</x:v>
      </x:c>
      <x:c r="D140" s="11" t="str">
        <x:v>입법</x:v>
      </x:c>
      <x:c r="E140" s="11" t="str">
        <x:v>권한을 가진 기관이 법률을 만들거나 개정하여 확정하는 활동.</x:v>
      </x:c>
      <x:c r="F140" s="17" t="str">
        <x:v>* Nghĩa làm việc; cần nguồn định nghĩa</x:v>
      </x:c>
      <x:c r="G140" s="11" t="str">
        <x:v>Mục từ có nghĩa [KO]</x:v>
      </x:c>
      <x:c r="H140" s="11" t="str">
        <x:v>CẦN TRA — chưa xác minh mục từ</x:v>
      </x:c>
      <x:c r="I140" s="11" t="str">
        <x:v>Có mục từ và đã đọc nghĩa</x:v>
      </x:c>
      <x:c r="J140" s="15" t="str">
        <x:v>N4 — 관계·활동</x:v>
      </x:c>
      <x:c r="K140" s="15" t="str">
        <x:v>4.2 | 활동·과정·사건 — Hoạt động, quá trình, sự kiện, lĩnh vực thực hành</x:v>
      </x:c>
      <x:c r="L140" s="11" t="str">
        <x:v>Cần bổ sung nguồn định nghĩa</x:v>
      </x:c>
      <x:c r="M140" s="11" t="str">
        <x:v>T030</x:v>
      </x:c>
    </x:row>
    <x:row r="141" ht="57" customHeight="1">
      <x:c r="A141" s="14" t="n">
        <x:v>136</x:v>
      </x:c>
      <x:c r="B141" s="11" t="str">
        <x:v>lễ đón chính thức</x:v>
      </x:c>
      <x:c r="C141" s="11" t="str">
        <x:v>Nghi lễ chính thức được tổ chức để đón khách theo chương trình và thể thức lễ tân.</x:v>
      </x:c>
      <x:c r="D141" s="11" t="str">
        <x:v>공식 환영식</x:v>
      </x:c>
      <x:c r="E141" s="11" t="str">
        <x:v>공식 방문객을 맞이하기 위해 정해진 의전 절차에 따라 진행하는 환영 행사.</x:v>
      </x:c>
      <x:c r="F141" s="17" t="str">
        <x:v>* Nghĩa làm việc; cần nguồn định nghĩa</x:v>
      </x:c>
      <x:c r="G141" s="17" t="str">
        <x:v>* Nghĩa làm việc; cần nguồn định nghĩa</x:v>
      </x:c>
      <x:c r="H141" s="11" t="str">
        <x:v>CẦN TRA — chưa xác minh mục từ</x:v>
      </x:c>
      <x:c r="I141" s="11" t="str">
        <x:v>CẦN TRA — chưa xác minh mục từ</x:v>
      </x:c>
      <x:c r="J141" s="15" t="str">
        <x:v>N4 — 관계·활동</x:v>
      </x:c>
      <x:c r="K141" s="15" t="str">
        <x:v>4.2 | 활동·과정·사건 — Hoạt động, quá trình, sự kiện, lĩnh vực thực hành</x:v>
      </x:c>
      <x:c r="L141" s="11" t="str">
        <x:v>Cần bổ sung nguồn định nghĩa</x:v>
      </x:c>
      <x:c r="M141" s="11" t="str">
        <x:v>M012</x:v>
      </x:c>
    </x:row>
    <x:row r="142" ht="57" customHeight="1">
      <x:c r="A142" s="14" t="n">
        <x:v>137</x:v>
      </x:c>
      <x:c r="B142" s="11" t="str">
        <x:v>nâng cấp quan hệ</x:v>
      </x:c>
      <x:c r="C142" s="11" t="str">
        <x:v>Việc các bên thỏa thuận đưa quan hệ lên một khuôn khổ hoặc cấp độ hợp tác cao hơn.</x:v>
      </x:c>
      <x:c r="D142" s="11" t="str">
        <x:v>관계가 포괄적 전략적 동반자 관계로 격상된</x:v>
      </x:c>
      <x:c r="E142" s="11" t="str">
        <x:v>당사자들이 기존 관계를 더 높은 협력 단계로 발전시키는 행위. 원문은 포괄적 전략적 동반자 관계로의 격상을 서술한다.</x:v>
      </x:c>
      <x:c r="F142" s="17" t="str">
        <x:v>* Nghĩa làm việc; cần nguồn định nghĩa</x:v>
      </x:c>
      <x:c r="G142" s="17" t="str">
        <x:v>* Nghĩa làm việc; cần nguồn định nghĩa</x:v>
      </x:c>
      <x:c r="H142" s="11" t="str">
        <x:v>CẦN TRA — chưa xác minh mục từ</x:v>
      </x:c>
      <x:c r="I142" s="11" t="str">
        <x:v>CẦN TRA — chưa xác minh mục từ</x:v>
      </x:c>
      <x:c r="J142" s="15" t="str">
        <x:v>N4 — 관계·활동</x:v>
      </x:c>
      <x:c r="K142" s="15" t="str">
        <x:v>4.2 | 활동·과정·사건 — Hoạt động, quá trình, sự kiện, lĩnh vực thực hành</x:v>
      </x:c>
      <x:c r="L142" s="11" t="str">
        <x:v>Biểu thức ngữ liệu — cần chuẩn hóa</x:v>
      </x:c>
      <x:c r="M142" s="11" t="str">
        <x:v>T146</x:v>
      </x:c>
    </x:row>
    <x:row r="143" ht="57" customHeight="1">
      <x:c r="A143" s="14" t="n">
        <x:v>138</x:v>
      </x:c>
      <x:c r="B143" s="11" t="str">
        <x:v>ngoại giao</x:v>
      </x:c>
      <x:c r="C143" s="11" t="str">
        <x:v>Hoạt động chính thức trong quan hệ quốc tế nhằm đại diện, thương lượng và bảo vệ lợi ích của quốc gia bằng biện pháp hòa bình.</x:v>
      </x:c>
      <x:c r="D143" s="11" t="str">
        <x:v>외교</x:v>
      </x:c>
      <x:c r="E143" s="11" t="str">
        <x:v>국가가 대외 이익을 추구하며 다른 국가·국제 주체와 교섭하고 관계를 운영하는 활동.</x:v>
      </x:c>
      <x:c r="F143" s="17" t="str">
        <x:v>* Nghĩa làm việc; cần nguồn định nghĩa</x:v>
      </x:c>
      <x:c r="G143" s="17" t="str">
        <x:v>* Nghĩa làm việc; cần nguồn định nghĩa</x:v>
      </x:c>
      <x:c r="H143" s="11" t="str">
        <x:v>CẦN TRA — chưa xác minh mục từ</x:v>
      </x:c>
      <x:c r="I143" s="11" t="str">
        <x:v>CẦN TRA — chưa xác minh mục từ</x:v>
      </x:c>
      <x:c r="J143" s="15" t="str">
        <x:v>N4 — 관계·활동</x:v>
      </x:c>
      <x:c r="K143" s="15" t="str">
        <x:v>4.2 | 활동·과정·사건 — Hoạt động, quá trình, sự kiện, lĩnh vực thực hành</x:v>
      </x:c>
      <x:c r="L143" s="11" t="str">
        <x:v>Cần bổ sung nguồn định nghĩa</x:v>
      </x:c>
      <x:c r="M143" s="11" t="str">
        <x:v>T131</x:v>
      </x:c>
    </x:row>
    <x:row r="144" ht="57" customHeight="1">
      <x:c r="A144" s="14" t="n">
        <x:v>139</x:v>
      </x:c>
      <x:c r="B144" s="11" t="str">
        <x:v>ngoại giao đa phương</x:v>
      </x:c>
      <x:c r="C144" s="11" t="str">
        <x:v>Hoạt động ngoại giao tiến hành trong khuôn khổ có nhiều quốc gia hoặc chủ thể cùng tham gia.</x:v>
      </x:c>
      <x:c r="D144" s="11" t="str">
        <x:v>다자외교</x:v>
      </x:c>
      <x:c r="E144" s="11" t="str">
        <x:v>여러 국가 또는 국제 주체가 참여하는 회의·기구 등의 틀에서 수행하는 외교 활동.</x:v>
      </x:c>
      <x:c r="F144" s="17" t="str">
        <x:v>* Nghĩa làm việc; cần nguồn định nghĩa</x:v>
      </x:c>
      <x:c r="G144" s="17" t="str">
        <x:v>* Nghĩa làm việc; cần nguồn định nghĩa</x:v>
      </x:c>
      <x:c r="H144" s="11" t="str">
        <x:v>CẦN TRA — chưa xác minh mục từ</x:v>
      </x:c>
      <x:c r="I144" s="11" t="str">
        <x:v>CẦN TRA — chưa xác minh mục từ</x:v>
      </x:c>
      <x:c r="J144" s="15" t="str">
        <x:v>N4 — 관계·활동</x:v>
      </x:c>
      <x:c r="K144" s="15" t="str">
        <x:v>4.2 | 활동·과정·사건 — Hoạt động, quá trình, sự kiện, lĩnh vực thực hành</x:v>
      </x:c>
      <x:c r="L144" s="11" t="str">
        <x:v>Cần bổ sung nguồn định nghĩa</x:v>
      </x:c>
      <x:c r="M144" s="11" t="str">
        <x:v>T172</x:v>
      </x:c>
    </x:row>
    <x:row r="145" ht="57" customHeight="1">
      <x:c r="A145" s="14" t="n">
        <x:v>140</x:v>
      </x:c>
      <x:c r="B145" s="11" t="str">
        <x:v>ngoại giao kinh tế</x:v>
      </x:c>
      <x:c r="C145" s="11" t="str">
        <x:v>Hoạt động ngoại giao phục vụ mục tiêu kinh tế và sử dụng công cụ kinh tế trong quan hệ đối ngoại.</x:v>
      </x:c>
      <x:c r="D145" s="11" t="str">
        <x:v>경제외교</x:v>
      </x:c>
      <x:c r="E145" s="11" t="str">
        <x:v>경제적 이익과 발전 목표를 지원하고 대외 경제 관계를 증진하기 위한 외교 활동.</x:v>
      </x:c>
      <x:c r="F145" s="17" t="str">
        <x:v>* Nghĩa làm việc; cần nguồn định nghĩa</x:v>
      </x:c>
      <x:c r="G145" s="17" t="str">
        <x:v>* Nghĩa làm việc; cần nguồn định nghĩa</x:v>
      </x:c>
      <x:c r="H145" s="11" t="str">
        <x:v>CẦN TRA — chưa xác minh mục từ</x:v>
      </x:c>
      <x:c r="I145" s="11" t="str">
        <x:v>CẦN TRA — chưa xác minh mục từ</x:v>
      </x:c>
      <x:c r="J145" s="15" t="str">
        <x:v>N4 — 관계·활동</x:v>
      </x:c>
      <x:c r="K145" s="15" t="str">
        <x:v>4.2 | 활동·과정·사건 — Hoạt động, quá trình, sự kiện, lĩnh vực thực hành</x:v>
      </x:c>
      <x:c r="L145" s="11" t="str">
        <x:v>Cần bổ sung nguồn định nghĩa</x:v>
      </x:c>
      <x:c r="M145" s="11" t="str">
        <x:v>T156</x:v>
      </x:c>
    </x:row>
    <x:row r="146" ht="57" customHeight="1">
      <x:c r="A146" s="14" t="n">
        <x:v>141</x:v>
      </x:c>
      <x:c r="B146" s="11" t="str">
        <x:v>ngoại giao nghị viện</x:v>
      </x:c>
      <x:c r="C146" s="11" t="str">
        <x:v>Hoạt động đối ngoại do nghị viện, nghị sĩ và các cơ quan nghị viện thực hiện.</x:v>
      </x:c>
      <x:c r="D146" s="11" t="str">
        <x:v>의회 외교</x:v>
      </x:c>
      <x:c r="E146" s="11" t="str">
        <x:v>의회와 의원이 의회 간 접촉·교류 및 국제 활동을 통해 수행하는 외교.</x:v>
      </x:c>
      <x:c r="F146" s="17" t="str">
        <x:v>* Nghĩa làm việc; cần nguồn định nghĩa</x:v>
      </x:c>
      <x:c r="G146" s="17" t="str">
        <x:v>* Nghĩa làm việc; cần nguồn định nghĩa</x:v>
      </x:c>
      <x:c r="H146" s="11" t="str">
        <x:v>CẦN TRA — chưa xác minh mục từ</x:v>
      </x:c>
      <x:c r="I146" s="11" t="str">
        <x:v>CẦN TRA — chưa xác minh mục từ</x:v>
      </x:c>
      <x:c r="J146" s="15" t="str">
        <x:v>N4 — 관계·활동</x:v>
      </x:c>
      <x:c r="K146" s="15" t="str">
        <x:v>4.2 | 활동·과정·사건 — Hoạt động, quá trình, sự kiện, lĩnh vực thực hành</x:v>
      </x:c>
      <x:c r="L146" s="11" t="str">
        <x:v>Cần bổ sung nguồn định nghĩa</x:v>
      </x:c>
      <x:c r="M146" s="11" t="str">
        <x:v>T167</x:v>
      </x:c>
    </x:row>
    <x:row r="147" ht="57" customHeight="1">
      <x:c r="A147" s="14" t="n">
        <x:v>142</x:v>
      </x:c>
      <x:c r="B147" s="11" t="str">
        <x:v>ngoại giao nhân dân</x:v>
      </x:c>
      <x:c r="C147" s="11" t="str">
        <x:v>Hoạt động đối ngoại thông qua các tổ chức nhân dân và giao tiếp giữa nhân dân các nước.</x:v>
      </x:c>
      <x:c r="D147" s="11" t="str">
        <x:v>인민외교</x:v>
      </x:c>
      <x:c r="E147" s="11" t="str">
        <x:v>정부 간 외교 외에 인민단체와 시민 간 교류를 통해 국제적 이해와 우호를 증진하는 대외 활동.</x:v>
      </x:c>
      <x:c r="F147" s="17" t="str">
        <x:v>* Nghĩa làm việc; cần nguồn định nghĩa</x:v>
      </x:c>
      <x:c r="G147" s="17" t="str">
        <x:v>* Nghĩa làm việc; cần nguồn định nghĩa</x:v>
      </x:c>
      <x:c r="H147" s="11" t="str">
        <x:v>CẦN TRA — chưa xác minh mục từ</x:v>
      </x:c>
      <x:c r="I147" s="11" t="str">
        <x:v>CẦN TRA — chưa xác minh mục từ</x:v>
      </x:c>
      <x:c r="J147" s="15" t="str">
        <x:v>N4 — 관계·활동</x:v>
      </x:c>
      <x:c r="K147" s="15" t="str">
        <x:v>4.2 | 활동·과정·사건 — Hoạt động, quá trình, sự kiện, lĩnh vực thực hành</x:v>
      </x:c>
      <x:c r="L147" s="11" t="str">
        <x:v>Cần ngữ cảnh song ngữ</x:v>
      </x:c>
      <x:c r="M147" s="11" t="str">
        <x:v>T168</x:v>
      </x:c>
    </x:row>
    <x:row r="148" ht="57" customHeight="1">
      <x:c r="A148" s="14" t="n">
        <x:v>143</x:v>
      </x:c>
      <x:c r="B148" s="11" t="str">
        <x:v>ngoại giao văn hóa</x:v>
      </x:c>
      <x:c r="C148" s="11" t="str">
        <x:v>Hoạt động ngoại giao sử dụng văn hóa và giao lưu văn hóa nhằm tăng hiểu biết, quan hệ và ảnh hưởng quốc tế.</x:v>
      </x:c>
      <x:c r="D148" s="11" t="str">
        <x:v>문화 외교</x:v>
      </x:c>
      <x:c r="E148" s="11" t="str">
        <x:v>문화 교류와 문화적 자원을 통해 국가 간 이해와 관계를 증진하는 외교 활동.</x:v>
      </x:c>
      <x:c r="F148" s="17" t="str">
        <x:v>* Nghĩa làm việc; cần nguồn định nghĩa</x:v>
      </x:c>
      <x:c r="G148" s="17" t="str">
        <x:v>* Nghĩa làm việc; cần nguồn định nghĩa</x:v>
      </x:c>
      <x:c r="H148" s="11" t="str">
        <x:v>CẦN TRA — chưa xác minh mục từ</x:v>
      </x:c>
      <x:c r="I148" s="11" t="str">
        <x:v>CẦN TRA — chưa xác minh mục từ</x:v>
      </x:c>
      <x:c r="J148" s="15" t="str">
        <x:v>N4 — 관계·활동</x:v>
      </x:c>
      <x:c r="K148" s="15" t="str">
        <x:v>4.2 | 활동·과정·사건 — Hoạt động, quá trình, sự kiện, lĩnh vực thực hành</x:v>
      </x:c>
      <x:c r="L148" s="11" t="str">
        <x:v>Cần bổ sung nguồn định nghĩa</x:v>
      </x:c>
      <x:c r="M148" s="11" t="str">
        <x:v>T162</x:v>
      </x:c>
    </x:row>
    <x:row r="149" ht="57" customHeight="1">
      <x:c r="A149" s="14" t="n">
        <x:v>144</x:v>
      </x:c>
      <x:c r="B149" s="11" t="str">
        <x:v>phòng, chống tham nhũng</x:v>
      </x:c>
      <x:c r="C149" s="11" t="str">
        <x:v>Hoạt động phòng ngừa, phát hiện và xử lý hành vi tham nhũng.</x:v>
      </x:c>
      <x:c r="D149" s="11" t="str">
        <x:v>부패 방지 및 통제</x:v>
      </x:c>
      <x:c r="E149" s="11" t="str">
        <x:v>부패를 예방하고 적발하며 관련 위법 행위를 처리하는 활동.</x:v>
      </x:c>
      <x:c r="F149" s="17" t="str">
        <x:v>* Nghĩa làm việc; cần nguồn định nghĩa</x:v>
      </x:c>
      <x:c r="G149" s="17" t="str">
        <x:v>* Nghĩa làm việc; cần nguồn định nghĩa</x:v>
      </x:c>
      <x:c r="H149" s="11" t="str">
        <x:v>CẦN TRA — chưa xác minh mục từ</x:v>
      </x:c>
      <x:c r="I149" s="11" t="str">
        <x:v>CẦN TRA — chưa xác minh mục từ</x:v>
      </x:c>
      <x:c r="J149" s="15" t="str">
        <x:v>N4 — 관계·활동</x:v>
      </x:c>
      <x:c r="K149" s="15" t="str">
        <x:v>4.2 | 활동·과정·사건 — Hoạt động, quá trình, sự kiện, lĩnh vực thực hành</x:v>
      </x:c>
      <x:c r="L149" s="11" t="str">
        <x:v>Cần bổ sung nguồn định nghĩa</x:v>
      </x:c>
      <x:c r="M149" s="11" t="str">
        <x:v>T032</x:v>
      </x:c>
    </x:row>
    <x:row r="150" ht="57" customHeight="1">
      <x:c r="A150" s="14" t="n">
        <x:v>145</x:v>
      </x:c>
      <x:c r="B150" s="11" t="str">
        <x:v>quản lý nhà nước</x:v>
      </x:c>
      <x:c r="C150" s="11" t="str">
        <x:v>Hoạt động điều hành xã hội bằng quyền lực nhà nước.</x:v>
      </x:c>
      <x:c r="D150" s="11" t="str">
        <x:v>국가 운영</x:v>
      </x:c>
      <x:c r="E150" s="11" t="str">
        <x:v>국가의 정책과 공적 사무를 조직하고 이끄는 활동.</x:v>
      </x:c>
      <x:c r="F150" s="17" t="str">
        <x:v>* Nghĩa làm việc; cần nguồn định nghĩa</x:v>
      </x:c>
      <x:c r="G150" s="17" t="str">
        <x:v>* Nghĩa làm việc; cần nguồn định nghĩa</x:v>
      </x:c>
      <x:c r="H150" s="11" t="str">
        <x:v>CẦN TRA — chưa xác minh mục từ</x:v>
      </x:c>
      <x:c r="I150" s="11" t="str">
        <x:v>CẦN TRA — chưa xác minh mục từ</x:v>
      </x:c>
      <x:c r="J150" s="15" t="str">
        <x:v>N4 — 관계·활동</x:v>
      </x:c>
      <x:c r="K150" s="15" t="str">
        <x:v>4.2 | 활동·과정·사건 — Hoạt động, quá trình, sự kiện, lĩnh vực thực hành</x:v>
      </x:c>
      <x:c r="L150" s="20" t="str">
        <x:v>Cần đối chiếu/sửa cặp</x:v>
      </x:c>
      <x:c r="M150" s="11" t="str">
        <x:v>T033</x:v>
      </x:c>
    </x:row>
    <x:row r="151" ht="57" customHeight="1">
      <x:c r="A151" s="14" t="n">
        <x:v>146</x:v>
      </x:c>
      <x:c r="B151" s="11" t="str">
        <x:v>quản trị quốc gia</x:v>
      </x:c>
      <x:c r="C151" s="11" t="str">
        <x:v>Quá trình tổ chức, phối hợp và điều hành các công việc chung của quốc gia với sự tham gia của các chủ thể có liên quan.</x:v>
      </x:c>
      <x:c r="D151" s="11" t="str">
        <x:v>국가 거버넌스</x:v>
      </x:c>
      <x:c r="E151" s="11" t="str">
        <x:v>국가의 공적 사안을 여러 주체가 조직·조정하고 운영하는 과정.</x:v>
      </x:c>
      <x:c r="F151" s="17" t="str">
        <x:v>* Nghĩa làm việc; cần nguồn định nghĩa</x:v>
      </x:c>
      <x:c r="G151" s="17" t="str">
        <x:v>* Nghĩa làm việc; cần nguồn định nghĩa</x:v>
      </x:c>
      <x:c r="H151" s="11" t="str">
        <x:v>CẦN TRA — chưa xác minh mục từ</x:v>
      </x:c>
      <x:c r="I151" s="11" t="str">
        <x:v>CẦN TRA — chưa xác minh mục từ</x:v>
      </x:c>
      <x:c r="J151" s="15" t="str">
        <x:v>N4 — 관계·활동</x:v>
      </x:c>
      <x:c r="K151" s="15" t="str">
        <x:v>4.2 | 활동·과정·사건 — Hoạt động, quá trình, sự kiện, lĩnh vực thực hành</x:v>
      </x:c>
      <x:c r="L151" s="11" t="str">
        <x:v>Cần bổ sung nguồn định nghĩa</x:v>
      </x:c>
      <x:c r="M151" s="11" t="str">
        <x:v>T045</x:v>
      </x:c>
    </x:row>
    <x:row r="152" ht="57" customHeight="1">
      <x:c r="A152" s="14" t="n">
        <x:v>147</x:v>
      </x:c>
      <x:c r="B152" s="11" t="str">
        <x:v>tái đắc cử</x:v>
      </x:c>
      <x:c r="C152" s="11" t="str">
        <x:v>Sự kiện hoặc kết quả một người được bầu lại vào chức vụ mà người đó đã được bầu giữ trước đó.</x:v>
      </x:c>
      <x:c r="D152" s="11" t="str">
        <x:v>재선</x:v>
      </x:c>
      <x:c r="E152" s="11" t="str">
        <x:v>이미 선출되었던 사람이 같은 직위에 다시 선출되는 일.</x:v>
      </x:c>
      <x:c r="F152" s="17" t="str">
        <x:v>* Nghĩa làm việc; cần nguồn định nghĩa</x:v>
      </x:c>
      <x:c r="G152" s="17" t="str">
        <x:v>* Nghĩa làm việc; cần nguồn định nghĩa</x:v>
      </x:c>
      <x:c r="H152" s="11" t="str">
        <x:v>CẦN TRA — chưa xác minh mục từ</x:v>
      </x:c>
      <x:c r="I152" s="11" t="str">
        <x:v>CẦN TRA — chưa xác minh mục từ</x:v>
      </x:c>
      <x:c r="J152" s="15" t="str">
        <x:v>N4 — 관계·활동</x:v>
      </x:c>
      <x:c r="K152" s="15" t="str">
        <x:v>4.2 | 활동·과정·사건 — Hoạt động, quá trình, sự kiện, lĩnh vực thực hành</x:v>
      </x:c>
      <x:c r="L152" s="11" t="str">
        <x:v>Cần bổ sung nguồn định nghĩa</x:v>
      </x:c>
      <x:c r="M152" s="11" t="str">
        <x:v>CGI004</x:v>
      </x:c>
    </x:row>
    <x:row r="153" ht="57" customHeight="1">
      <x:c r="A153" s="14" t="n">
        <x:v>148</x:v>
      </x:c>
      <x:c r="B153" s="11" t="str">
        <x:v>thăm cấp Nhà nước</x:v>
      </x:c>
      <x:c r="C153" s="11" t="str">
        <x:v>Chuyến thăm ở cấp nghi lễ nhà nước cao, dành cho nguyên thủ theo lời mời và quy định lễ tân của nước chủ nhà.</x:v>
      </x:c>
      <x:c r="D153" s="11" t="str">
        <x:v>국빈 방문</x:v>
      </x:c>
      <x:c r="E153" s="11" t="str">
        <x:v>국가원수 등이 국가 차원의 특별한 의전과 공식 초청에 따라 실시하는 방문.</x:v>
      </x:c>
      <x:c r="F153" s="17" t="str">
        <x:v>* Nghĩa làm việc; cần nguồn định nghĩa</x:v>
      </x:c>
      <x:c r="G153" s="17" t="str">
        <x:v>* Nghĩa làm việc; cần nguồn định nghĩa</x:v>
      </x:c>
      <x:c r="H153" s="11" t="str">
        <x:v>CẦN TRA — chưa xác minh mục từ</x:v>
      </x:c>
      <x:c r="I153" s="11" t="str">
        <x:v>CẦN TRA — chưa xác minh mục từ</x:v>
      </x:c>
      <x:c r="J153" s="15" t="str">
        <x:v>N4 — 관계·활동</x:v>
      </x:c>
      <x:c r="K153" s="15" t="str">
        <x:v>4.2 | 활동·과정·사건 — Hoạt động, quá trình, sự kiện, lĩnh vực thực hành</x:v>
      </x:c>
      <x:c r="L153" s="11" t="str">
        <x:v>Cần bổ sung nguồn định nghĩa</x:v>
      </x:c>
      <x:c r="M153" s="11" t="str">
        <x:v>T136</x:v>
      </x:c>
    </x:row>
    <x:row r="154" ht="57" customHeight="1">
      <x:c r="A154" s="14" t="n">
        <x:v>149</x:v>
      </x:c>
      <x:c r="B154" s="11" t="str">
        <x:v>thăm chính thức</x:v>
      </x:c>
      <x:c r="C154" s="11" t="str">
        <x:v>Chuyến thăm được tổ chức chính thức theo lời mời và chương trình làm việc, với chế độ lễ tân được quy định.</x:v>
      </x:c>
      <x:c r="D154" s="11" t="str">
        <x:v>공식 방문</x:v>
      </x:c>
      <x:c r="E154" s="11" t="str">
        <x:v>공식 초청과 합의된 일정 및 의전 절차에 따라 수행되는 대외 방문.</x:v>
      </x:c>
      <x:c r="F154" s="17" t="str">
        <x:v>* Nghĩa làm việc; cần nguồn định nghĩa</x:v>
      </x:c>
      <x:c r="G154" s="17" t="str">
        <x:v>* Nghĩa làm việc; cần nguồn định nghĩa</x:v>
      </x:c>
      <x:c r="H154" s="11" t="str">
        <x:v>CẦN TRA — chưa xác minh mục từ</x:v>
      </x:c>
      <x:c r="I154" s="11" t="str">
        <x:v>CẦN TRA — chưa xác minh mục từ</x:v>
      </x:c>
      <x:c r="J154" s="15" t="str">
        <x:v>N4 — 관계·활동</x:v>
      </x:c>
      <x:c r="K154" s="15" t="str">
        <x:v>4.2 | 활동·과정·사건 — Hoạt động, quá trình, sự kiện, lĩnh vực thực hành</x:v>
      </x:c>
      <x:c r="L154" s="11" t="str">
        <x:v>Cần bổ sung nguồn định nghĩa</x:v>
      </x:c>
      <x:c r="M154" s="11" t="str">
        <x:v>T139</x:v>
      </x:c>
    </x:row>
    <x:row r="155" ht="57" customHeight="1">
      <x:c r="A155" s="14" t="n">
        <x:v>150</x:v>
      </x:c>
      <x:c r="B155" s="11" t="str">
        <x:v>thiết lập quan hệ ngoại giao</x:v>
      </x:c>
      <x:c r="C155" s="11" t="str">
        <x:v>Hành động các quốc gia thỏa thuận chính thức hình thành quan hệ ngoại giao.</x:v>
      </x:c>
      <x:c r="D155" s="11" t="str">
        <x:v>수교</x:v>
      </x:c>
      <x:c r="E155" s="11" t="str">
        <x:v>국가들이 공식 외교 관계를 새로 맺는 행위.</x:v>
      </x:c>
      <x:c r="F155" s="17" t="str">
        <x:v>* Nghĩa làm việc; cần nguồn định nghĩa</x:v>
      </x:c>
      <x:c r="G155" s="17" t="str">
        <x:v>* Nghĩa làm việc; cần nguồn định nghĩa</x:v>
      </x:c>
      <x:c r="H155" s="11" t="str">
        <x:v>CẦN TRA — chưa xác minh mục từ</x:v>
      </x:c>
      <x:c r="I155" s="11" t="str">
        <x:v>CẦN TRA — chưa xác minh mục từ</x:v>
      </x:c>
      <x:c r="J155" s="15" t="str">
        <x:v>N4 — 관계·활동</x:v>
      </x:c>
      <x:c r="K155" s="15" t="str">
        <x:v>4.2 | 활동·과정·사건 — Hoạt động, quá trình, sự kiện, lĩnh vực thực hành</x:v>
      </x:c>
      <x:c r="L155" s="11" t="str">
        <x:v>Cần bổ sung nguồn định nghĩa</x:v>
      </x:c>
      <x:c r="M155" s="11" t="str">
        <x:v>T144</x:v>
      </x:c>
    </x:row>
    <x:row r="156" ht="57" customHeight="1">
      <x:c r="A156" s="14" t="n">
        <x:v>151</x:v>
      </x:c>
      <x:c r="B156" s="11" t="str">
        <x:v>thông tin đối ngoại</x:v>
      </x:c>
      <x:c r="C156" s="11" t="str">
        <x:v>Hoạt động cung cấp, truyền đạt thông tin phục vụ quan hệ đối ngoại và sự hiểu biết giữa trong nước với quốc tế.</x:v>
      </x:c>
      <x:c r="D156" s="11" t="str">
        <x:v>대외 정보</x:v>
      </x:c>
      <x:c r="E156" s="11" t="str">
        <x:v>이 연구의 베트남 문맥에서는 외국 대중에게 국가에 관한 정보를 제공하는 대외 소통 활동을 뜻한다.</x:v>
      </x:c>
      <x:c r="F156" s="17" t="str">
        <x:v>* Nghĩa làm việc; cần nguồn định nghĩa</x:v>
      </x:c>
      <x:c r="G156" s="17" t="str">
        <x:v>* Nghĩa làm việc; cần nguồn định nghĩa</x:v>
      </x:c>
      <x:c r="H156" s="11" t="str">
        <x:v>CẦN TRA — chưa xác minh mục từ</x:v>
      </x:c>
      <x:c r="I156" s="11" t="str">
        <x:v>CẦN TRA — chưa xác minh mục từ</x:v>
      </x:c>
      <x:c r="J156" s="15" t="str">
        <x:v>N4 — 관계·활동</x:v>
      </x:c>
      <x:c r="K156" s="15" t="str">
        <x:v>4.2 | 활동·과정·사건 — Hoạt động, quá trình, sự kiện, lĩnh vực thực hành</x:v>
      </x:c>
      <x:c r="L156" s="11" t="str">
        <x:v>Cần ngữ cảnh song ngữ</x:v>
      </x:c>
      <x:c r="M156" s="11" t="str">
        <x:v>T180</x:v>
      </x:c>
    </x:row>
    <x:row r="157" ht="57" customHeight="1">
      <x:c r="A157" s="14" t="n">
        <x:v>152</x:v>
      </x:c>
      <x:c r="B157" s="11" t="str">
        <x:v>thực thi pháp luật trên biển</x:v>
      </x:c>
      <x:c r="C157" s="11" t="str">
        <x:v>Hoạt động kiểm tra, ngăn chặn và xử lý vi phạm, bảo đảm tuân thủ pháp luật trên biển theo thẩm quyền.</x:v>
      </x:c>
      <x:c r="D157" s="11" t="str">
        <x:v>해양 법 집행</x:v>
      </x:c>
      <x:c r="E157" s="11" t="str">
        <x:v>권한 있는 기관이 해상에서 법 위반을 감시·예방·처리하여 법 준수를 확보하는 활동.</x:v>
      </x:c>
      <x:c r="F157" s="17" t="str">
        <x:v>* Nghĩa làm việc; cần nguồn định nghĩa</x:v>
      </x:c>
      <x:c r="G157" s="17" t="str">
        <x:v>* Nghĩa làm việc; cần nguồn định nghĩa</x:v>
      </x:c>
      <x:c r="H157" s="11" t="str">
        <x:v>CẦN TRA — chưa xác minh mục từ</x:v>
      </x:c>
      <x:c r="I157" s="11" t="str">
        <x:v>CẦN TRA — chưa xác minh mục từ</x:v>
      </x:c>
      <x:c r="J157" s="15" t="str">
        <x:v>N4 — 관계·활동</x:v>
      </x:c>
      <x:c r="K157" s="15" t="str">
        <x:v>4.2 | 활동·과정·사건 — Hoạt động, quá trình, sự kiện, lĩnh vực thực hành</x:v>
      </x:c>
      <x:c r="L157" s="11" t="str">
        <x:v>Cần bổ sung nguồn định nghĩa</x:v>
      </x:c>
      <x:c r="M157" s="11" t="str">
        <x:v>M045</x:v>
      </x:c>
    </x:row>
    <x:row r="158" ht="57" customHeight="1">
      <x:c r="A158" s="14" t="n">
        <x:v>153</x:v>
      </x:c>
      <x:c r="B158" s="11" t="str">
        <x:v>tinh giản biên chế</x:v>
      </x:c>
      <x:c r="C158" s="11" t="str">
        <x:v>Việc đánh giá, sắp xếp và giảm số người thuộc biên chế theo tiêu chuẩn, đối tượng và quy trình quy định.</x:v>
      </x:c>
      <x:c r="D158" s="11" t="str">
        <x:v>인력 감축</x:v>
      </x:c>
      <x:c r="E158" s="11" t="str">
        <x:v>기관이나 조직에서 일하는 인원의 규모를 줄이는 일. 베트남 공공부문의 정원 감축이라는 구체적 뜻은 문맥이 뒷받침해야 한다.</x:v>
      </x:c>
      <x:c r="F158" s="17" t="str">
        <x:v>* Nghĩa làm việc; cần nguồn định nghĩa</x:v>
      </x:c>
      <x:c r="G158" s="17" t="str">
        <x:v>* Nghĩa làm việc; cần nguồn định nghĩa</x:v>
      </x:c>
      <x:c r="H158" s="11" t="str">
        <x:v>CẦN TRA — chưa xác minh mục từ</x:v>
      </x:c>
      <x:c r="I158" s="11" t="str">
        <x:v>CẦN TRA — chưa xác minh mục từ</x:v>
      </x:c>
      <x:c r="J158" s="15" t="str">
        <x:v>N4 — 관계·활동</x:v>
      </x:c>
      <x:c r="K158" s="15" t="str">
        <x:v>4.2 | 활동·과정·사건 — Hoạt động, quá trình, sự kiện, lĩnh vực thực hành</x:v>
      </x:c>
      <x:c r="L158" s="20" t="str">
        <x:v>Cần đối chiếu/sửa cặp</x:v>
      </x:c>
      <x:c r="M158" s="11" t="str">
        <x:v>T069</x:v>
      </x:c>
    </x:row>
    <x:row r="159" ht="57" customHeight="1">
      <x:c r="A159" s="14" t="n">
        <x:v>154</x:v>
      </x:c>
      <x:c r="B159" s="11" t="str">
        <x:v>tổng tuyển cử</x:v>
      </x:c>
      <x:c r="C159" s="11" t="str">
        <x:v>Cuộc bầu cử chung trên phạm vi cả nước để lựa chọn cơ quan đại diện theo quy định.</x:v>
      </x:c>
      <x:c r="D159" s="11" t="str">
        <x:v>총선</x:v>
      </x:c>
      <x:c r="E159" s="11" t="str">
        <x:v>국회의원 등 국가 대표기관의 구성원을 전국 단위에서 함께 선출하는 선거.</x:v>
      </x:c>
      <x:c r="F159" s="17" t="str">
        <x:v>* Nghĩa làm việc; cần nguồn định nghĩa</x:v>
      </x:c>
      <x:c r="G159" s="17" t="str">
        <x:v>* Nghĩa làm việc; cần nguồn định nghĩa</x:v>
      </x:c>
      <x:c r="H159" s="11" t="str">
        <x:v>CẦN TRA — chưa xác minh mục từ</x:v>
      </x:c>
      <x:c r="I159" s="11" t="str">
        <x:v>CẦN TRA — chưa xác minh mục từ</x:v>
      </x:c>
      <x:c r="J159" s="15" t="str">
        <x:v>N4 — 관계·활동</x:v>
      </x:c>
      <x:c r="K159" s="15" t="str">
        <x:v>4.2 | 활동·과정·사건 — Hoạt động, quá trình, sự kiện, lĩnh vực thực hành</x:v>
      </x:c>
      <x:c r="L159" s="11" t="str">
        <x:v>Cần bổ sung nguồn định nghĩa</x:v>
      </x:c>
      <x:c r="M159" s="11" t="str">
        <x:v>T014</x:v>
      </x:c>
    </x:row>
    <x:row r="160" ht="57" customHeight="1">
      <x:c r="A160" s="14" t="n">
        <x:v>155</x:v>
      </x:c>
      <x:c r="B160" s="11" t="str">
        <x:v>trao đổi đoàn cấp cao</x:v>
      </x:c>
      <x:c r="C160" s="11" t="str">
        <x:v>Hoạt động các bên cử và tiếp nhận đoàn đại biểu ở cấp cao để thúc đẩy quan hệ.</x:v>
      </x:c>
      <x:c r="D160" s="11" t="str">
        <x:v>고위급 대표단 교류</x:v>
      </x:c>
      <x:c r="E160" s="11" t="str">
        <x:v>고위급 대표단을 서로 파견하고 맞이하여 협의와 관계 증진을 도모하는 활동.</x:v>
      </x:c>
      <x:c r="F160" s="17" t="str">
        <x:v>* Nghĩa làm việc; cần nguồn định nghĩa</x:v>
      </x:c>
      <x:c r="G160" s="17" t="str">
        <x:v>* Nghĩa làm việc; cần nguồn định nghĩa</x:v>
      </x:c>
      <x:c r="H160" s="11" t="str">
        <x:v>CẦN TRA — chưa xác minh mục từ</x:v>
      </x:c>
      <x:c r="I160" s="11" t="str">
        <x:v>CẦN TRA — chưa xác minh mục từ</x:v>
      </x:c>
      <x:c r="J160" s="15" t="str">
        <x:v>N4 — 관계·활동</x:v>
      </x:c>
      <x:c r="K160" s="15" t="str">
        <x:v>4.2 | 활동·과정·사건 — Hoạt động, quá trình, sự kiện, lĩnh vực thực hành</x:v>
      </x:c>
      <x:c r="L160" s="11" t="str">
        <x:v>Cần bổ sung nguồn định nghĩa</x:v>
      </x:c>
      <x:c r="M160" s="11" t="str">
        <x:v>T176</x:v>
      </x:c>
    </x:row>
    <x:row r="161" ht="57" customHeight="1">
      <x:c r="A161" s="14" t="n">
        <x:v>156</x:v>
      </x:c>
      <x:c r="B161" s="11" t="str">
        <x:v>xây dựng Đảng</x:v>
      </x:c>
      <x:c r="C161" s="11" t="str">
        <x:v>Củng cố tổ chức, tư tưởng và hoạt động Đảng.</x:v>
      </x:c>
      <x:c r="D161" s="11" t="str">
        <x:v>당 건설</x:v>
      </x:c>
      <x:c r="E161" s="11" t="str">
        <x:v>당의 조직·사상·활동을 강화하는 과정.</x:v>
      </x:c>
      <x:c r="F161" s="17" t="str">
        <x:v>* Nghĩa làm việc; cần nguồn định nghĩa</x:v>
      </x:c>
      <x:c r="G161" s="17" t="str">
        <x:v>* Nghĩa làm việc; cần nguồn định nghĩa</x:v>
      </x:c>
      <x:c r="H161" s="11" t="str">
        <x:v>CẦN TRA — chưa xác minh mục từ</x:v>
      </x:c>
      <x:c r="I161" s="11" t="str">
        <x:v>CẦN TRA — chưa xác minh mục từ</x:v>
      </x:c>
      <x:c r="J161" s="15" t="str">
        <x:v>N4 — 관계·활동</x:v>
      </x:c>
      <x:c r="K161" s="15" t="str">
        <x:v>4.2 | 활동·과정·사건 — Hoạt động, quá trình, sự kiện, lĩnh vực thực hành</x:v>
      </x:c>
      <x:c r="L161" s="11" t="str">
        <x:v>Cần bổ sung nguồn định nghĩa</x:v>
      </x:c>
      <x:c r="M161" s="11" t="str">
        <x:v>T026</x:v>
      </x:c>
    </x:row>
    <x:row r="162" ht="57" customHeight="1">
      <x:c r="A162" s="14" t="n">
        <x:v>157</x:v>
      </x:c>
      <x:c r="B162" s="11" t="str">
        <x:v>bản ghi nhớ</x:v>
      </x:c>
      <x:c r="C162" s="11" t="str">
        <x:v>Văn bản ghi lại sự hiểu biết hoặc các nội dung được các bên thống nhất; hiệu lực pháp lý tùy nội dung và hình thức cụ thể.</x:v>
      </x:c>
      <x:c r="D162" s="11" t="str">
        <x:v>양해각서</x:v>
      </x:c>
      <x:c r="E162" s="11" t="str">
        <x:v>당사자들이 합의한 협력 내용이나 실행 사항을 기록한 문서. 법적 성격은 개별 문서를 확인해야 한다.</x:v>
      </x:c>
      <x:c r="F162" s="17" t="str">
        <x:v>Diễn giải từ định nghĩa EN; cần nguồn VI</x:v>
      </x:c>
      <x:c r="G162" s="17" t="str">
        <x:v>Diễn giải từ định nghĩa EN; cần nguồn KO</x:v>
      </x:c>
      <x:c r="H162" s="11" t="str">
        <x:v>CẦN TRA — chưa xác minh mục từ</x:v>
      </x:c>
      <x:c r="I162" s="11" t="str">
        <x:v>Có mục từ và đã đọc nghĩa</x:v>
      </x:c>
      <x:c r="J162" s="15" t="str">
        <x:v>N5 — 문서</x:v>
      </x:c>
      <x:c r="K162" s="15" t="str">
        <x:v>5.1 | 문서 유형 — Loại văn bản</x:v>
      </x:c>
      <x:c r="L162" s="18" t="str">
        <x:v>Ứng viên giữ — có căn cứ khái niệm</x:v>
      </x:c>
      <x:c r="M162" s="11" t="str">
        <x:v>M020</x:v>
      </x:c>
    </x:row>
    <x:row r="163" ht="57" customHeight="1">
      <x:c r="A163" s="14" t="n">
        <x:v>158</x:v>
      </x:c>
      <x:c r="B163" s="11" t="str">
        <x:v>báo cáo chính trị</x:v>
      </x:c>
      <x:c r="C163" s="11" t="str">
        <x:v>Loại văn kiện chính trị trình bày đánh giá tình hình và phương hướng, nhiệm vụ, được trình và thảo luận tại Đại hội Đảng.</x:v>
      </x:c>
      <x:c r="D163" s="11" t="str">
        <x:v>정치 보고서</x:v>
      </x:c>
      <x:c r="E163" s="11" t="str">
        <x:v>정치 상황과 활동 성과를 평가하고 향후 방향·과제를 제시하여 당대회 등에 제출하는 보고 문건.</x:v>
      </x:c>
      <x:c r="F163" s="17" t="str">
        <x:v>* Nghĩa làm việc; cần nguồn định nghĩa</x:v>
      </x:c>
      <x:c r="G163" s="17" t="str">
        <x:v>* Nghĩa làm việc; cần nguồn định nghĩa</x:v>
      </x:c>
      <x:c r="H163" s="11" t="str">
        <x:v>CẦN TRA — chưa xác minh mục từ</x:v>
      </x:c>
      <x:c r="I163" s="11" t="str">
        <x:v>CẦN TRA — chưa xác minh mục từ</x:v>
      </x:c>
      <x:c r="J163" s="15" t="str">
        <x:v>N5 — 문서</x:v>
      </x:c>
      <x:c r="K163" s="15" t="str">
        <x:v>5.1 | 문서 유형 — Loại văn bản</x:v>
      </x:c>
      <x:c r="L163" s="11" t="str">
        <x:v>Cần bổ sung nguồn định nghĩa</x:v>
      </x:c>
      <x:c r="M163" s="11" t="str">
        <x:v>CGI001</x:v>
      </x:c>
    </x:row>
    <x:row r="164" ht="57" customHeight="1">
      <x:c r="A164" s="14" t="n">
        <x:v>159</x:v>
      </x:c>
      <x:c r="B164" s="11" t="str">
        <x:v>Công ước Liên hợp quốc về Luật Biển</x:v>
      </x:c>
      <x:c r="C164" s="11" t="str">
        <x:v>Công ước của Liên hợp quốc quy định khuôn khổ pháp lý về các vùng biển và việc sử dụng, bảo vệ biển, thường viết tắt là UNCLOS.</x:v>
      </x:c>
      <x:c r="D164" s="11" t="str">
        <x:v>1982년 유엔해양법협약(UNCLOS)</x:v>
      </x:c>
      <x:c r="E164" s="11" t="str">
        <x:v>해양 구역과 해양 이용에 관한 국가의 권리·의무를 규정하는 1982년 유엔 협약.</x:v>
      </x:c>
      <x:c r="F164" s="17" t="str">
        <x:v>* Nghĩa làm việc; cần nguồn định nghĩa</x:v>
      </x:c>
      <x:c r="G164" s="17" t="str">
        <x:v>* Nghĩa làm việc; cần nguồn định nghĩa</x:v>
      </x:c>
      <x:c r="H164" s="11" t="str">
        <x:v>CẦN TRA — chưa xác minh mục từ</x:v>
      </x:c>
      <x:c r="I164" s="11" t="str">
        <x:v>CẦN TRA — chưa xác minh mục từ</x:v>
      </x:c>
      <x:c r="J164" s="15" t="str">
        <x:v>N5 — 문서</x:v>
      </x:c>
      <x:c r="K164" s="15" t="str">
        <x:v>5.2 | 특정 문건·문건집 — Văn kiện/tập văn kiện cụ thể</x:v>
      </x:c>
      <x:c r="L164" s="11" t="str">
        <x:v>Cần bổ sung nguồn định nghĩa</x:v>
      </x:c>
      <x:c r="M164" s="11" t="str">
        <x:v>T158</x:v>
      </x:c>
    </x:row>
    <x:row r="165" ht="57" customHeight="1">
      <x:c r="A165" s="14" t="n">
        <x:v>160</x:v>
      </x:c>
      <x:c r="B165" s="11" t="str">
        <x:v>cương lĩnh</x:v>
      </x:c>
      <x:c r="C165" s="11" t="str">
        <x:v>Văn kiện nêu mục tiêu, phương hướng và nhiệm vụ cơ bản của một đảng hoặc tổ chức chính trị.</x:v>
      </x:c>
      <x:c r="D165" s="11" t="str">
        <x:v>강령</x:v>
      </x:c>
      <x:c r="E165" s="11" t="str">
        <x:v>정치 조직의 기본 원칙과 목표. 이 연구에서는 베트남 공산당의 목표·노선을 담은 강령 문건을 선택한다.</x:v>
      </x:c>
      <x:c r="F165" s="17" t="str">
        <x:v>* Nghĩa làm việc; cần nguồn định nghĩa</x:v>
      </x:c>
      <x:c r="G165" s="17" t="str">
        <x:v>Mục từ có nghĩa [KO]; nghĩa chọn cần đối chiếu</x:v>
      </x:c>
      <x:c r="H165" s="11" t="str">
        <x:v>CẦN TRA — chưa xác minh mục từ</x:v>
      </x:c>
      <x:c r="I165" s="11" t="str">
        <x:v>Có mục từ và đã đọc nghĩa</x:v>
      </x:c>
      <x:c r="J165" s="15" t="str">
        <x:v>N5 — 문서</x:v>
      </x:c>
      <x:c r="K165" s="15" t="str">
        <x:v>5.1 | 문서 유형 — Loại văn bản</x:v>
      </x:c>
      <x:c r="L165" s="11" t="str">
        <x:v>Cần ngữ cảnh song ngữ</x:v>
      </x:c>
      <x:c r="M165" s="11" t="str">
        <x:v>T054</x:v>
      </x:c>
    </x:row>
    <x:row r="166" ht="57" customHeight="1">
      <x:c r="A166" s="14" t="n">
        <x:v>161</x:v>
      </x:c>
      <x:c r="B166" s="11" t="str">
        <x:v>Điều lệ Đảng</x:v>
      </x:c>
      <x:c r="C166" s="11" t="str">
        <x:v>Văn kiện quy định tổ chức và sinh hoạt Đảng.</x:v>
      </x:c>
      <x:c r="D166" s="11" t="str">
        <x:v>당 규약</x:v>
      </x:c>
      <x:c r="E166" s="11" t="str">
        <x:v>당 조직과 활동의 규칙을 정한 문건.</x:v>
      </x:c>
      <x:c r="F166" s="17" t="str">
        <x:v>* Nghĩa làm việc; cần nguồn định nghĩa</x:v>
      </x:c>
      <x:c r="G166" s="17" t="str">
        <x:v>* Nghĩa làm việc; cần nguồn định nghĩa</x:v>
      </x:c>
      <x:c r="H166" s="11" t="str">
        <x:v>CẦN TRA — chưa xác minh mục từ</x:v>
      </x:c>
      <x:c r="I166" s="11" t="str">
        <x:v>CẦN TRA — chưa xác minh mục từ</x:v>
      </x:c>
      <x:c r="J166" s="15" t="str">
        <x:v>N5 — 문서</x:v>
      </x:c>
      <x:c r="K166" s="15" t="str">
        <x:v>5.2 | 특정 문건·문건집 — Văn kiện/tập văn kiện cụ thể</x:v>
      </x:c>
      <x:c r="L166" s="11" t="str">
        <x:v>Cần bổ sung nguồn định nghĩa</x:v>
      </x:c>
      <x:c r="M166" s="11" t="str">
        <x:v>T058</x:v>
      </x:c>
    </x:row>
    <x:row r="167" ht="57" customHeight="1">
      <x:c r="A167" s="14" t="n">
        <x:v>162</x:v>
      </x:c>
      <x:c r="B167" s="11" t="str">
        <x:v>Hiến chương Liên hợp quốc</x:v>
      </x:c>
      <x:c r="C167" s="11" t="str">
        <x:v>Điều ước nền tảng quy định mục đích, nguyên tắc, cơ cấu và hoạt động của Liên hợp quốc.</x:v>
      </x:c>
      <x:c r="D167" s="11" t="str">
        <x:v>유엔 헌장</x:v>
      </x:c>
      <x:c r="E167" s="11" t="str">
        <x:v>유엔의 목적, 원칙과 주요 기관의 구성·권한을 규정하는 설립 조약.</x:v>
      </x:c>
      <x:c r="F167" s="17" t="str">
        <x:v>* Nghĩa làm việc; cần nguồn định nghĩa</x:v>
      </x:c>
      <x:c r="G167" s="17" t="str">
        <x:v>* Nghĩa làm việc; cần nguồn định nghĩa</x:v>
      </x:c>
      <x:c r="H167" s="11" t="str">
        <x:v>CẦN TRA — chưa xác minh mục từ</x:v>
      </x:c>
      <x:c r="I167" s="11" t="str">
        <x:v>CẦN TRA — chưa xác minh mục từ</x:v>
      </x:c>
      <x:c r="J167" s="15" t="str">
        <x:v>N5 — 문서</x:v>
      </x:c>
      <x:c r="K167" s="15" t="str">
        <x:v>5.2 | 특정 문건·문건집 — Văn kiện/tập văn kiện cụ thể</x:v>
      </x:c>
      <x:c r="L167" s="11" t="str">
        <x:v>Cần bổ sung nguồn định nghĩa</x:v>
      </x:c>
      <x:c r="M167" s="11" t="str">
        <x:v>T152</x:v>
      </x:c>
    </x:row>
    <x:row r="168" ht="57" customHeight="1">
      <x:c r="A168" s="14" t="n">
        <x:v>163</x:v>
      </x:c>
      <x:c r="B168" s="11" t="str">
        <x:v>Hiến pháp</x:v>
      </x:c>
      <x:c r="C168" s="11" t="str">
        <x:v>Đạo luật cơ bản, có hiệu lực pháp lý cao nhất.</x:v>
      </x:c>
      <x:c r="D168" s="11" t="str">
        <x:v>헌법</x:v>
      </x:c>
      <x:c r="E168" s="11" t="str">
        <x:v>국가의 기본 조직과 국민의 기본권 등을 규정하는 최상위 법규. 여기서는 그 법문을 뜻한다.</x:v>
      </x:c>
      <x:c r="F168" s="17" t="str">
        <x:v>* Nghĩa làm việc; cần nguồn định nghĩa</x:v>
      </x:c>
      <x:c r="G168" s="11" t="str">
        <x:v>Mục từ có nghĩa [KO]</x:v>
      </x:c>
      <x:c r="H168" s="11" t="str">
        <x:v>CẦN TRA — chưa xác minh mục từ</x:v>
      </x:c>
      <x:c r="I168" s="11" t="str">
        <x:v>Có mục từ và đã đọc nghĩa</x:v>
      </x:c>
      <x:c r="J168" s="15" t="str">
        <x:v>N5 — 문서</x:v>
      </x:c>
      <x:c r="K168" s="15" t="str">
        <x:v>5.1 | 문서 유형 — Loại văn bản</x:v>
      </x:c>
      <x:c r="L168" s="11" t="str">
        <x:v>Cần bổ sung nguồn định nghĩa</x:v>
      </x:c>
      <x:c r="M168" s="11" t="str">
        <x:v>T044</x:v>
      </x:c>
    </x:row>
    <x:row r="169" ht="57" customHeight="1">
      <x:c r="A169" s="14" t="n">
        <x:v>164</x:v>
      </x:c>
      <x:c r="B169" s="11" t="str">
        <x:v>Kế hoạch hành động ASEAN–Hàn Quốc</x:v>
      </x:c>
      <x:c r="C169" s="11" t="str">
        <x:v>Văn kiện xác lập các định hướng và biện pháp triển khai hợp tác ASEAN–Hàn Quốc trong một giai đoạn; giai đoạn là metadata của văn kiện.</x:v>
      </x:c>
      <x:c r="D169" s="11" t="str">
        <x:v>한-아세안 행동계획</x:v>
      </x:c>
      <x:c r="E169" s="11" t="str">
        <x:v>특정 기간의 ASEAN–한국 협력 방향과 이행 과제를 명시한 공동 행동계획 문건.</x:v>
      </x:c>
      <x:c r="F169" s="17" t="str">
        <x:v>* Nghĩa làm việc; cần nguồn định nghĩa</x:v>
      </x:c>
      <x:c r="G169" s="17" t="str">
        <x:v>* Nghĩa làm việc; cần nguồn định nghĩa</x:v>
      </x:c>
      <x:c r="H169" s="11" t="str">
        <x:v>CẦN TRA — chưa xác minh mục từ</x:v>
      </x:c>
      <x:c r="I169" s="11" t="str">
        <x:v>CẦN TRA — chưa xác minh mục từ</x:v>
      </x:c>
      <x:c r="J169" s="15" t="str">
        <x:v>N5 — 문서</x:v>
      </x:c>
      <x:c r="K169" s="15" t="str">
        <x:v>5.2 | 특정 문건·문건집 — Văn kiện/tập văn kiện cụ thể</x:v>
      </x:c>
      <x:c r="L169" s="11" t="str">
        <x:v>Cần bổ sung nguồn định nghĩa</x:v>
      </x:c>
      <x:c r="M169" s="11" t="str">
        <x:v>M018</x:v>
      </x:c>
    </x:row>
    <x:row r="170" ht="57" customHeight="1">
      <x:c r="A170" s="14" t="n">
        <x:v>165</x:v>
      </x:c>
      <x:c r="B170" s="11" t="str">
        <x:v>nghị quyết</x:v>
      </x:c>
      <x:c r="C170" s="11" t="str">
        <x:v>Văn bản ghi quyết định tập thể đã thông qua.</x:v>
      </x:c>
      <x:c r="D170" s="11" t="str">
        <x:v>결의안</x:v>
      </x:c>
      <x:c r="E170" s="11" t="str">
        <x:v>집단적 결정을 담은 문서안. 채택 여부는 문맥에 따른다.</x:v>
      </x:c>
      <x:c r="F170" s="17" t="str">
        <x:v>* Nghĩa làm việc; cần nguồn định nghĩa</x:v>
      </x:c>
      <x:c r="G170" s="17" t="str">
        <x:v>* Nghĩa làm việc; cần nguồn định nghĩa</x:v>
      </x:c>
      <x:c r="H170" s="11" t="str">
        <x:v>CẦN TRA — chưa xác minh mục từ</x:v>
      </x:c>
      <x:c r="I170" s="11" t="str">
        <x:v>CẦN TRA — chưa xác minh mục từ</x:v>
      </x:c>
      <x:c r="J170" s="15" t="str">
        <x:v>N5 — 문서</x:v>
      </x:c>
      <x:c r="K170" s="15" t="str">
        <x:v>5.1 | 문서 유형 — Loại văn bản</x:v>
      </x:c>
      <x:c r="L170" s="11" t="str">
        <x:v>Cần ngữ cảnh song ngữ</x:v>
      </x:c>
      <x:c r="M170" s="11" t="str">
        <x:v>T015</x:v>
      </x:c>
    </x:row>
    <x:row r="171" ht="57" customHeight="1">
      <x:c r="A171" s="14" t="n">
        <x:v>166</x:v>
      </x:c>
      <x:c r="B171" s="11" t="str">
        <x:v>Tầm nhìn ASEAN về Ấn Độ Dương–Thái Bình Dương</x:v>
      </x:c>
      <x:c r="C171" s="11" t="str">
        <x:v>Văn kiện của ASEAN trình bày quan điểm và định hướng hợp tác đối với khu vực Ấn Độ Dương–Thái Bình Dương.</x:v>
      </x:c>
      <x:c r="D171" s="11" t="str">
        <x:v>인도-태평양에 대한 아세안 관점</x:v>
      </x:c>
      <x:c r="E171" s="11" t="str">
        <x:v>ASEAN이 인도·태평양 지역에 대한 관점과 협력 방향을 제시한 공식 문건.</x:v>
      </x:c>
      <x:c r="F171" s="17" t="str">
        <x:v>* Nghĩa làm việc; cần nguồn định nghĩa</x:v>
      </x:c>
      <x:c r="G171" s="17" t="str">
        <x:v>* Nghĩa làm việc; cần nguồn định nghĩa</x:v>
      </x:c>
      <x:c r="H171" s="11" t="str">
        <x:v>CẦN TRA — chưa xác minh mục từ</x:v>
      </x:c>
      <x:c r="I171" s="11" t="str">
        <x:v>CẦN TRA — chưa xác minh mục từ</x:v>
      </x:c>
      <x:c r="J171" s="15" t="str">
        <x:v>N5 — 문서</x:v>
      </x:c>
      <x:c r="K171" s="15" t="str">
        <x:v>5.2 | 특정 문건·문건집 — Văn kiện/tập văn kiện cụ thể</x:v>
      </x:c>
      <x:c r="L171" s="11" t="str">
        <x:v>Cần bổ sung nguồn định nghĩa</x:v>
      </x:c>
      <x:c r="M171" s="11" t="str">
        <x:v>M007</x:v>
      </x:c>
    </x:row>
    <x:row r="172" ht="57" customHeight="1">
      <x:c r="A172" s="14" t="n">
        <x:v>167</x:v>
      </x:c>
      <x:c r="B172" s="11" t="str">
        <x:v>Văn kiện Đại hội</x:v>
      </x:c>
      <x:c r="C172" s="11" t="str">
        <x:v>Các văn bản chính thức được trình, thảo luận hoặc thông qua tại đại hội của Đảng.</x:v>
      </x:c>
      <x:c r="D172" s="11" t="str">
        <x:v>제14차 전국당대회 문건</x:v>
      </x:c>
      <x:c r="E172" s="11" t="str">
        <x:v>베트남 공산당 제14차 전국당대회의 공식 문건들을 묶어 가리키는 명칭.</x:v>
      </x:c>
      <x:c r="F172" s="17" t="str">
        <x:v>* Nghĩa làm việc; cần nguồn định nghĩa</x:v>
      </x:c>
      <x:c r="G172" s="17" t="str">
        <x:v>* Nghĩa làm việc; cần nguồn định nghĩa</x:v>
      </x:c>
      <x:c r="H172" s="11" t="str">
        <x:v>CẦN TRA — chưa xác minh mục từ</x:v>
      </x:c>
      <x:c r="I172" s="11" t="str">
        <x:v>CẦN TRA — chưa xác minh mục từ</x:v>
      </x:c>
      <x:c r="J172" s="15" t="str">
        <x:v>N5 — 문서</x:v>
      </x:c>
      <x:c r="K172" s="15" t="str">
        <x:v>5.2 | 특정 문건·문건집 — Văn kiện/tập văn kiện cụ thể</x:v>
      </x:c>
      <x:c r="L172" s="11" t="str">
        <x:v>Cần bổ sung nguồn định nghĩa</x:v>
      </x:c>
      <x:c r="M172" s="11" t="str">
        <x:v>T039</x:v>
      </x:c>
    </x:row>
    <x:row r="173" ht="57" customHeight="1">
      <x:c r="A173" s="14" t="n">
        <x:v>168</x:v>
      </x:c>
      <x:c r="B173" s="11" t="str">
        <x:v>nhà ngoại giao</x:v>
      </x:c>
      <x:c r="C173" s="11" t="str">
        <x:v>Người đại diện cho quốc gia để thực hiện công việc ngoại giao.</x:v>
      </x:c>
      <x:c r="D173" s="11" t="str">
        <x:v>외교관</x:v>
      </x:c>
      <x:c r="E173" s="11" t="str">
        <x:v>자국을 대표하여 외교 업무를 수행하는 사람.</x:v>
      </x:c>
      <x:c r="F173" s="17" t="str">
        <x:v>Diễn giải từ định nghĩa KO; cần nguồn VI</x:v>
      </x:c>
      <x:c r="G173" s="11" t="str">
        <x:v>Mục từ có nghĩa [KO]</x:v>
      </x:c>
      <x:c r="H173" s="11" t="str">
        <x:v>CẦN TRA — chưa xác minh mục từ</x:v>
      </x:c>
      <x:c r="I173" s="11" t="str">
        <x:v>Có mục từ và đã đọc nghĩa</x:v>
      </x:c>
      <x:c r="J173" s="15" t="str">
        <x:v>N1 — 인물</x:v>
      </x:c>
      <x:c r="K173" s="15" t="str">
        <x:v>1.2 | 역할·신분 — Vai trò, tư cách</x:v>
      </x:c>
      <x:c r="L173" s="18" t="str">
        <x:v>Ứng viên giữ — có căn cứ khái niệm</x:v>
      </x:c>
      <x:c r="M173" s="11" t="str">
        <x:v>C001</x:v>
      </x:c>
    </x:row>
    <x:row r="174" ht="57" customHeight="1">
      <x:c r="A174" s="14" t="n">
        <x:v>169</x:v>
      </x:c>
      <x:c r="B174" s="11" t="str">
        <x:v>đặc phái viên</x:v>
      </x:c>
      <x:c r="C174" s="11" t="str">
        <x:v>Người được cử thực hiện một nhiệm vụ đặc biệt với tư cách đại diện.</x:v>
      </x:c>
      <x:c r="D174" s="11" t="str">
        <x:v>특사</x:v>
      </x:c>
      <x:c r="E174" s="11" t="str">
        <x:v>특정 임무를 수행하도록 임시로 파견되는 특별 사절.</x:v>
      </x:c>
      <x:c r="F174" s="17" t="str">
        <x:v>Diễn giải từ định nghĩa KO; cần nguồn VI</x:v>
      </x:c>
      <x:c r="G174" s="11" t="str">
        <x:v>Mục từ có nghĩa [KO]</x:v>
      </x:c>
      <x:c r="H174" s="11" t="str">
        <x:v>CẦN TRA — chưa xác minh mục từ</x:v>
      </x:c>
      <x:c r="I174" s="11" t="str">
        <x:v>Có mục từ và đã đọc nghĩa</x:v>
      </x:c>
      <x:c r="J174" s="15" t="str">
        <x:v>N1 — 인물</x:v>
      </x:c>
      <x:c r="K174" s="15" t="str">
        <x:v>1.2 | 역할·신분 — Vai trò, tư cách</x:v>
      </x:c>
      <x:c r="L174" s="18" t="str">
        <x:v>Ứng viên giữ — có căn cứ khái niệm</x:v>
      </x:c>
      <x:c r="M174" s="11" t="str">
        <x:v>C002</x:v>
      </x:c>
    </x:row>
    <x:row r="175" ht="57" customHeight="1">
      <x:c r="A175" s="14" t="n">
        <x:v>170</x:v>
      </x:c>
      <x:c r="B175" s="11" t="str">
        <x:v>Tổng lãnh sự</x:v>
      </x:c>
      <x:c r="C175" s="11" t="str">
        <x:v>Viên chức lãnh sự đứng đầu tổng lãnh sự quán, thuộc cấp tổng lãnh sự.</x:v>
      </x:c>
      <x:c r="D175" s="11" t="str">
        <x:v>총영사</x:v>
      </x:c>
      <x:c r="E175" s="11" t="str">
        <x:v>총영사관을 이끄는 영사 직급의 장으로 자국과 국민의 이익을 보호하는 사람.</x:v>
      </x:c>
      <x:c r="F175" s="17" t="str">
        <x:v>Diễn giải từ định nghĩa KO; cần nguồn VI</x:v>
      </x:c>
      <x:c r="G175" s="11" t="str">
        <x:v>Mục từ có nghĩa [KO]</x:v>
      </x:c>
      <x:c r="H175" s="11" t="str">
        <x:v>CẦN TRA — chưa xác minh mục từ</x:v>
      </x:c>
      <x:c r="I175" s="11" t="str">
        <x:v>Có mục từ và đã đọc nghĩa</x:v>
      </x:c>
      <x:c r="J175" s="15" t="str">
        <x:v>N1 — 인물</x:v>
      </x:c>
      <x:c r="K175" s="15" t="str">
        <x:v>1.1 | 직위·직함 — Chức vụ, chức danh</x:v>
      </x:c>
      <x:c r="L175" s="18" t="str">
        <x:v>Ứng viên giữ — có căn cứ khái niệm</x:v>
      </x:c>
      <x:c r="M175" s="11" t="str">
        <x:v>C003</x:v>
      </x:c>
    </x:row>
    <x:row r="176" ht="57" customHeight="1">
      <x:c r="A176" s="14" t="n">
        <x:v>171</x:v>
      </x:c>
      <x:c r="B176" s="11" t="str">
        <x:v>Lãnh sự danh dự</x:v>
      </x:c>
      <x:c r="C176" s="11" t="str">
        <x:v>Người được bổ nhiệm làm lãnh sự theo chế độ danh dự, không thuộc ngạch lãnh sự chuyên nghiệp.</x:v>
      </x:c>
      <x:c r="D176" s="11" t="str">
        <x:v>명예영사</x:v>
      </x:c>
      <x:c r="E176" s="11" t="str">
        <x:v>직업 영사가 아닌 지위에서 위촉되어 파견국의 이익과 국민을 위한 영사 업무를 맡는 사람.</x:v>
      </x:c>
      <x:c r="F176" s="17" t="str">
        <x:v>* Mô tả chính thức</x:v>
      </x:c>
      <x:c r="G176" s="17" t="str">
        <x:v>* Mô tả chính thức</x:v>
      </x:c>
      <x:c r="H176" s="11" t="str">
        <x:v>CẦN TRA — chưa xác minh mục từ</x:v>
      </x:c>
      <x:c r="I176" s="11" t="str">
        <x:v>CẦN TRA — chưa xác minh mục từ</x:v>
      </x:c>
      <x:c r="J176" s="15" t="str">
        <x:v>N1 — 인물</x:v>
      </x:c>
      <x:c r="K176" s="15" t="str">
        <x:v>1.1 | 직위·직함 — Chức vụ, chức danh</x:v>
      </x:c>
      <x:c r="L176" s="18" t="str">
        <x:v>Ứng viên giữ — có căn cứ khái niệm</x:v>
      </x:c>
      <x:c r="M176" s="11" t="str">
        <x:v>C004</x:v>
      </x:c>
    </x:row>
    <x:row r="177" ht="57" customHeight="1">
      <x:c r="A177" s="14" t="n">
        <x:v>172</x:v>
      </x:c>
      <x:c r="B177" s="11" t="str">
        <x:v>Đại biện</x:v>
      </x:c>
      <x:c r="C177" s="11" t="str">
        <x:v>Người đứng đầu cơ quan đại diện ngoại giao thuộc cấp đại biện, được cử bên cạnh Bộ trưởng Ngoại giao nước tiếp nhận.</x:v>
      </x:c>
      <x:c r="D177" s="11" t="str">
        <x:v>대리대사</x:v>
      </x:c>
      <x:c r="E177" s="11" t="str">
        <x:v>접수국 외교장관에게 신임을 받는 대리대사급 외교공관장. 임시 대행과는 구별하여 뜻을 정한다.</x:v>
      </x:c>
      <x:c r="F177" s="17" t="str">
        <x:v>Diễn giải từ định nghĩa EN; cần nguồn VI</x:v>
      </x:c>
      <x:c r="G177" s="17" t="str">
        <x:v>Diễn giải từ định nghĩa EN; cần nguồn KO</x:v>
      </x:c>
      <x:c r="H177" s="11" t="str">
        <x:v>CẦN TRA — chưa xác minh mục từ</x:v>
      </x:c>
      <x:c r="I177" s="11" t="str">
        <x:v>CẦN TRA — chưa xác minh mục từ</x:v>
      </x:c>
      <x:c r="J177" s="15" t="str">
        <x:v>N1 — 인물</x:v>
      </x:c>
      <x:c r="K177" s="15" t="str">
        <x:v>1.1 | 직위·직함 — Chức vụ, chức danh</x:v>
      </x:c>
      <x:c r="L177" s="11" t="str">
        <x:v>Cần khóa nghĩa để chốt nhóm</x:v>
      </x:c>
      <x:c r="M177" s="11" t="str">
        <x:v>C006</x:v>
      </x:c>
    </x:row>
    <x:row r="178" ht="57" customHeight="1">
      <x:c r="A178" s="14" t="n">
        <x:v>173</x:v>
      </x:c>
      <x:c r="B178" s="11" t="str">
        <x:v>Đại biện lâm thời</x:v>
      </x:c>
      <x:c r="C178" s="11" t="str">
        <x:v>Người tạm thời điều hành cơ quan đại diện ngoại giao khi vị trí người đứng đầu khuyết hoặc người đứng đầu không thể làm nhiệm vụ.</x:v>
      </x:c>
      <x:c r="D178" s="11" t="str">
        <x:v>임시대리대사</x:v>
      </x:c>
      <x:c r="E178" s="11" t="str">
        <x:v>공관장 자리가 비거나 공관장이 직무를 수행할 수 없을 때 공관을 임시로 지휘하는 외교관.</x:v>
      </x:c>
      <x:c r="F178" s="17" t="str">
        <x:v>Diễn giải từ định nghĩa EN; cần nguồn VI</x:v>
      </x:c>
      <x:c r="G178" s="17" t="str">
        <x:v>Diễn giải từ định nghĩa EN; cần nguồn KO</x:v>
      </x:c>
      <x:c r="H178" s="11" t="str">
        <x:v>CẦN TRA — chưa xác minh mục từ</x:v>
      </x:c>
      <x:c r="I178" s="11" t="str">
        <x:v>CẦN TRA — chưa xác minh mục từ</x:v>
      </x:c>
      <x:c r="J178" s="15" t="str">
        <x:v>N1 — 인물</x:v>
      </x:c>
      <x:c r="K178" s="15" t="str">
        <x:v>1.1 | 직위·직함 — Chức vụ, chức danh</x:v>
      </x:c>
      <x:c r="L178" s="18" t="str">
        <x:v>Ứng viên giữ — có căn cứ khái niệm</x:v>
      </x:c>
      <x:c r="M178" s="11" t="str">
        <x:v>C007</x:v>
      </x:c>
    </x:row>
    <x:row r="179" ht="57" customHeight="1">
      <x:c r="A179" s="14" t="n">
        <x:v>174</x:v>
      </x:c>
      <x:c r="B179" s="11" t="str">
        <x:v>Trưởng đại diện</x:v>
      </x:c>
      <x:c r="C179" s="11" t="str">
        <x:v>Người đứng đầu một cơ quan hoặc bộ phận đại diện; bản thân cụm từ chưa xác định tính thường trú hay tổ chức tiếp nhận.</x:v>
      </x:c>
      <x:c r="D179" s="11" t="str">
        <x:v>상주대표</x:v>
      </x:c>
      <x:c r="E179" s="11" t="str">
        <x:v>국제기구에 상주하며 자국의 상설 대표부를 이끄는 대표.</x:v>
      </x:c>
      <x:c r="F179" s="17" t="str">
        <x:v>* Nghĩa làm việc; cần nguồn định nghĩa</x:v>
      </x:c>
      <x:c r="G179" s="17" t="str">
        <x:v>Diễn giải từ định nghĩa EN; cần nguồn KO</x:v>
      </x:c>
      <x:c r="H179" s="11" t="str">
        <x:v>CẦN TRA — chưa xác minh mục từ</x:v>
      </x:c>
      <x:c r="I179" s="11" t="str">
        <x:v>CẦN TRA — chưa xác minh mục từ</x:v>
      </x:c>
      <x:c r="J179" s="15" t="str">
        <x:v>N1 — 인물</x:v>
      </x:c>
      <x:c r="K179" s="15" t="str">
        <x:v>1.2 | 역할·신분 — Vai trò, tư cách</x:v>
      </x:c>
      <x:c r="L179" s="20" t="str">
        <x:v>Cần đối chiếu/sửa cặp</x:v>
      </x:c>
      <x:c r="M179" s="11" t="str">
        <x:v>C009</x:v>
      </x:c>
    </x:row>
    <x:row r="180" ht="57" customHeight="1">
      <x:c r="A180" s="14" t="n">
        <x:v>175</x:v>
      </x:c>
      <x:c r="B180" s="11" t="str">
        <x:v>trưởng đoàn</x:v>
      </x:c>
      <x:c r="C180" s="11" t="str">
        <x:v>Trong ngữ cảnh đối ngoại, người được giao đứng đầu và đại diện cho một đoàn đại biểu khi thực hiện nhiệm vụ.</x:v>
      </x:c>
      <x:c r="D180" s="11" t="str">
        <x:v>대표단장</x:v>
      </x:c>
      <x:c r="E180" s="11" t="str">
        <x:v>외교 문맥에서 특정 임무를 수행하는 대표단을 이끌고 대표하는 사람.</x:v>
      </x:c>
      <x:c r="F180" s="17" t="str">
        <x:v>* Nghĩa làm việc; cần nguồn định nghĩa</x:v>
      </x:c>
      <x:c r="G180" s="17" t="str">
        <x:v>* Nghĩa làm việc; cần nguồn định nghĩa</x:v>
      </x:c>
      <x:c r="H180" s="11" t="str">
        <x:v>CẦN TRA — chưa xác minh mục từ</x:v>
      </x:c>
      <x:c r="I180" s="11" t="str">
        <x:v>CẦN TRA — chưa xác minh mục từ</x:v>
      </x:c>
      <x:c r="J180" s="15" t="str">
        <x:v>N1 — 인물</x:v>
      </x:c>
      <x:c r="K180" s="15" t="str">
        <x:v>1.2 | 역할·신분 — Vai trò, tư cách</x:v>
      </x:c>
      <x:c r="L180" s="11" t="str">
        <x:v>Cần ngữ cảnh song ngữ</x:v>
      </x:c>
      <x:c r="M180" s="11" t="str">
        <x:v>C010</x:v>
      </x:c>
    </x:row>
    <x:row r="181" ht="57" customHeight="1">
      <x:c r="A181" s="14" t="n">
        <x:v>176</x:v>
      </x:c>
      <x:c r="B181" s="11" t="str">
        <x:v>thượng nghị sĩ</x:v>
      </x:c>
      <x:c r="C181" s="11" t="str">
        <x:v>Người là thành viên Thượng viện.</x:v>
      </x:c>
      <x:c r="D181" s="11" t="str">
        <x:v>상원의원</x:v>
      </x:c>
      <x:c r="E181" s="11" t="str">
        <x:v>상원을 구성하는 의원.</x:v>
      </x:c>
      <x:c r="F181" s="17" t="str">
        <x:v>Diễn giải từ định nghĩa EN; cần nguồn VI</x:v>
      </x:c>
      <x:c r="G181" s="17" t="str">
        <x:v>Diễn giải từ định nghĩa EN; cần nguồn KO</x:v>
      </x:c>
      <x:c r="H181" s="11" t="str">
        <x:v>CẦN TRA — chưa xác minh mục từ</x:v>
      </x:c>
      <x:c r="I181" s="11" t="str">
        <x:v>CẦN TRA — chưa xác minh mục từ</x:v>
      </x:c>
      <x:c r="J181" s="15" t="str">
        <x:v>N1 — 인물</x:v>
      </x:c>
      <x:c r="K181" s="15" t="str">
        <x:v>1.2 | 역할·신분 — Vai trò, tư cách</x:v>
      </x:c>
      <x:c r="L181" s="11" t="str">
        <x:v>Cần ngữ cảnh song ngữ</x:v>
      </x:c>
      <x:c r="M181" s="11" t="str">
        <x:v>C012</x:v>
      </x:c>
    </x:row>
    <x:row r="182" ht="57" customHeight="1">
      <x:c r="A182" s="14" t="n">
        <x:v>177</x:v>
      </x:c>
      <x:c r="B182" s="11" t="str">
        <x:v>Chủ tịch Hạ viện</x:v>
      </x:c>
      <x:c r="C182" s="11" t="str">
        <x:v>Người giữ chức danh chủ trì hoạt động của Hạ viện.</x:v>
      </x:c>
      <x:c r="D182" s="11" t="str">
        <x:v>하원의장</x:v>
      </x:c>
      <x:c r="E182" s="11" t="str">
        <x:v>하원의 회의를 주재하는 의장 직책을 맡은 사람.</x:v>
      </x:c>
      <x:c r="F182" s="17" t="str">
        <x:v>* Diễn giải mô tả EN</x:v>
      </x:c>
      <x:c r="G182" s="17" t="str">
        <x:v>* Diễn giải mô tả EN</x:v>
      </x:c>
      <x:c r="H182" s="11" t="str">
        <x:v>CẦN TRA — chưa xác minh mục từ</x:v>
      </x:c>
      <x:c r="I182" s="11" t="str">
        <x:v>CẦN TRA — chưa xác minh mục từ</x:v>
      </x:c>
      <x:c r="J182" s="15" t="str">
        <x:v>N1 — 인물</x:v>
      </x:c>
      <x:c r="K182" s="15" t="str">
        <x:v>1.1 | 직위·직함 — Chức vụ, chức danh</x:v>
      </x:c>
      <x:c r="L182" s="11" t="str">
        <x:v>Cần ngữ cảnh song ngữ</x:v>
      </x:c>
      <x:c r="M182" s="11" t="str">
        <x:v>C013</x:v>
      </x:c>
    </x:row>
    <x:row r="183" ht="57" customHeight="1">
      <x:c r="A183" s="14" t="n">
        <x:v>178</x:v>
      </x:c>
      <x:c r="B183" s="11" t="str">
        <x:v>Chủ tịch Thượng viện</x:v>
      </x:c>
      <x:c r="C183" s="11" t="str">
        <x:v>Người giữ chức danh chủ trì hoạt động của Thượng viện, với quyền hạn tùy thể chế.</x:v>
      </x:c>
      <x:c r="D183" s="11" t="str">
        <x:v>상원의장</x:v>
      </x:c>
      <x:c r="E183" s="11" t="str">
        <x:v>상원의 회의를 주재하는 의장 직책을 맡은 사람. 권한은 국가의 제도에 따라 다르다.</x:v>
      </x:c>
      <x:c r="F183" s="17" t="str">
        <x:v>* Diễn giải mô tả EN</x:v>
      </x:c>
      <x:c r="G183" s="17" t="str">
        <x:v>* Diễn giải mô tả EN</x:v>
      </x:c>
      <x:c r="H183" s="11" t="str">
        <x:v>CẦN TRA — chưa xác minh mục từ</x:v>
      </x:c>
      <x:c r="I183" s="11" t="str">
        <x:v>CẦN TRA — chưa xác minh mục từ</x:v>
      </x:c>
      <x:c r="J183" s="15" t="str">
        <x:v>N1 — 인물</x:v>
      </x:c>
      <x:c r="K183" s="15" t="str">
        <x:v>1.1 | 직위·직함 — Chức vụ, chức danh</x:v>
      </x:c>
      <x:c r="L183" s="11" t="str">
        <x:v>Cần ngữ cảnh song ngữ</x:v>
      </x:c>
      <x:c r="M183" s="11" t="str">
        <x:v>C014</x:v>
      </x:c>
    </x:row>
    <x:row r="184" ht="57" customHeight="1">
      <x:c r="A184" s="14" t="n">
        <x:v>179</x:v>
      </x:c>
      <x:c r="B184" s="11" t="str">
        <x:v>Quốc vương</x:v>
      </x:c>
      <x:c r="C184" s="11" t="str">
        <x:v>Danh hiệu người đứng đầu một vương quốc theo chế độ quân chủ; quyền hạn cụ thể phụ thuộc thể chế của quốc gia đó.</x:v>
      </x:c>
      <x:c r="D184" s="11" t="str">
        <x:v>국왕</x:v>
      </x:c>
      <x:c r="E184" s="11" t="str">
        <x:v>왕국의 군주를 가리키는 지위 또는 그 지위를 가진 사람. 구체적인 권한은 해당 국가의 제도에 따른다.</x:v>
      </x:c>
      <x:c r="F184" s="17" t="str">
        <x:v>* Nghĩa làm việc; cần nguồn định nghĩa</x:v>
      </x:c>
      <x:c r="G184" s="17" t="str">
        <x:v>* Nghĩa làm việc; cần nguồn định nghĩa</x:v>
      </x:c>
      <x:c r="H184" s="11" t="str">
        <x:v>CẦN TRA — chưa xác minh mục từ</x:v>
      </x:c>
      <x:c r="I184" s="11" t="str">
        <x:v>CẦN TRA — chưa xác minh mục từ</x:v>
      </x:c>
      <x:c r="J184" s="15" t="str">
        <x:v>N1 — 인물</x:v>
      </x:c>
      <x:c r="K184" s="15" t="str">
        <x:v>1.1 | 직위·직함 — Chức vụ, chức danh</x:v>
      </x:c>
      <x:c r="L184" s="11" t="str">
        <x:v>Cần bổ sung nguồn định nghĩa</x:v>
      </x:c>
      <x:c r="M184" s="11" t="str">
        <x:v>C015</x:v>
      </x:c>
    </x:row>
    <x:row r="185" ht="72" customHeight="1">
      <x:c r="A185" s="14" t="n">
        <x:v>180</x:v>
      </x:c>
      <x:c r="B185" s="11" t="str">
        <x:v>Cố vấn An ninh Quốc gia</x:v>
      </x:c>
      <x:c r="C185" s="11" t="str">
        <x:v>Trong cơ cấu Hoa Kỳ được đối chiếu, chức danh trợ lý Tổng thống về an ninh quốc gia, có nhiệm vụ tham mưu và điều phối công việc của Hội đồng An ninh Quốc gia theo chỉ đạo của Tổng thống.</x:v>
      </x:c>
      <x:c r="D185" s="11" t="str">
        <x:v>국가안보보좌관</x:v>
      </x:c>
      <x:c r="E185" s="11" t="str">
        <x:v>이 자료에서 대조한 미국 제도에서는 대통령의 국가안보 업무를 보좌하고 대통령의 지시에 따라 국가안보회의의 업무를 조정하는 대통령 보좌관 직책이다.</x:v>
      </x:c>
      <x:c r="F185" s="17" t="str">
        <x:v>* Diễn giải mô tả EN</x:v>
      </x:c>
      <x:c r="G185" s="17" t="str">
        <x:v>* Diễn giải mô tả EN</x:v>
      </x:c>
      <x:c r="H185" s="11" t="str">
        <x:v>CẦN TRA — chưa xác minh mục từ</x:v>
      </x:c>
      <x:c r="I185" s="11" t="str">
        <x:v>CẦN TRA — chưa xác minh mục từ</x:v>
      </x:c>
      <x:c r="J185" s="15" t="str">
        <x:v>N1 — 인물</x:v>
      </x:c>
      <x:c r="K185" s="15" t="str">
        <x:v>1.1 | 직위·직함 — Chức vụ, chức danh</x:v>
      </x:c>
      <x:c r="L185" s="11" t="str">
        <x:v>Cần khóa nghĩa để chốt nhóm</x:v>
      </x:c>
      <x:c r="M185" s="11" t="str">
        <x:v>C016</x:v>
      </x:c>
    </x:row>
    <x:row r="186" ht="57" customHeight="1">
      <x:c r="A186" s="14" t="n">
        <x:v>181</x:v>
      </x:c>
      <x:c r="B186" s="11" t="str">
        <x:v>tổ chức quốc tế</x:v>
      </x:c>
      <x:c r="C186" s="11" t="str">
        <x:v>Tổ chức được thiết lập bằng điều ước hoặc văn kiện chịu sự điều chỉnh của luật quốc tế và có tư cách pháp nhân quốc tế riêng.</x:v>
      </x:c>
      <x:c r="D186" s="11" t="str">
        <x:v>국제기구</x:v>
      </x:c>
      <x:c r="E186" s="11" t="str">
        <x:v>국제법의 적용을 받는 조약이나 문서로 설립되며 독자적 국제법인격을 갖는 조직.</x:v>
      </x:c>
      <x:c r="F186" s="17" t="str">
        <x:v>Diễn giải từ định nghĩa EN; cần nguồn VI</x:v>
      </x:c>
      <x:c r="G186" s="17" t="str">
        <x:v>Diễn giải từ định nghĩa EN; cần nguồn KO</x:v>
      </x:c>
      <x:c r="H186" s="11" t="str">
        <x:v>CẦN TRA — chưa xác minh mục từ</x:v>
      </x:c>
      <x:c r="I186" s="11" t="str">
        <x:v>CẦN TRA — chưa xác minh mục từ</x:v>
      </x:c>
      <x:c r="J186" s="15" t="str">
        <x:v>N2 — 기관·조직</x:v>
      </x:c>
      <x:c r="K186" s="15" t="str">
        <x:v>2.3 | 국제기구 — Tổ chức quốc tế và cơ quan thuộc tổ chức</x:v>
      </x:c>
      <x:c r="L186" s="11" t="str">
        <x:v>Cần ngữ cảnh song ngữ</x:v>
      </x:c>
      <x:c r="M186" s="11" t="str">
        <x:v>C019</x:v>
      </x:c>
    </x:row>
    <x:row r="187" ht="57" customHeight="1">
      <x:c r="A187" s="14" t="n">
        <x:v>182</x:v>
      </x:c>
      <x:c r="B187" s="11" t="str">
        <x:v>tổ chức phi Chính phủ</x:v>
      </x:c>
      <x:c r="C187" s="11" t="str">
        <x:v>Tổ chức tự nguyện, phi lợi nhuận của người dân, hoạt động ở cấp địa phương, quốc gia hoặc quốc tế.</x:v>
      </x:c>
      <x:c r="D187" s="11" t="str">
        <x:v>비정부기구</x:v>
      </x:c>
      <x:c r="E187" s="11" t="str">
        <x:v>시민들이 자발적으로 조직하여 지역·국가·국제 수준에서 활동하는 비영리 단체.</x:v>
      </x:c>
      <x:c r="F187" s="17" t="str">
        <x:v>Diễn giải từ định nghĩa EN; cần nguồn VI</x:v>
      </x:c>
      <x:c r="G187" s="17" t="str">
        <x:v>Diễn giải từ định nghĩa EN; cần nguồn KO</x:v>
      </x:c>
      <x:c r="H187" s="11" t="str">
        <x:v>CẦN TRA — chưa xác minh mục từ</x:v>
      </x:c>
      <x:c r="I187" s="11" t="str">
        <x:v>CẦN TRA — chưa xác minh mục từ</x:v>
      </x:c>
      <x:c r="J187" s="15" t="str">
        <x:v>N2 — 기관·조직</x:v>
      </x:c>
      <x:c r="K187" s="15" t="str">
        <x:v>2.4 | 기타 조직 — Tổ chức khác</x:v>
      </x:c>
      <x:c r="L187" s="11" t="str">
        <x:v>Cần ngữ cảnh song ngữ</x:v>
      </x:c>
      <x:c r="M187" s="11" t="str">
        <x:v>C020</x:v>
      </x:c>
    </x:row>
    <x:row r="188" ht="57" customHeight="1">
      <x:c r="A188" s="14" t="n">
        <x:v>183</x:v>
      </x:c>
      <x:c r="B188" s="11" t="str">
        <x:v>chính đảng</x:v>
      </x:c>
      <x:c r="C188" s="11" t="str">
        <x:v>Tổ chức của những người có quan điểm chính trị chung, hướng tới nắm giữ quyền lực và thực hiện mục tiêu chính trị.</x:v>
      </x:c>
      <x:c r="D188" s="11" t="str">
        <x:v>정당</x:v>
      </x:c>
      <x:c r="E188" s="11" t="str">
        <x:v>공통된 정치적 견해를 가진 사람들이 권력 획득과 정치적 목적 실현을 위해 구성한 단체.</x:v>
      </x:c>
      <x:c r="F188" s="17" t="str">
        <x:v>Diễn giải từ định nghĩa KO; cần nguồn VI</x:v>
      </x:c>
      <x:c r="G188" s="11" t="str">
        <x:v>Mục từ có nghĩa [KO]</x:v>
      </x:c>
      <x:c r="H188" s="11" t="str">
        <x:v>CẦN TRA — chưa xác minh mục từ</x:v>
      </x:c>
      <x:c r="I188" s="11" t="str">
        <x:v>Có mục từ và đã đọc nghĩa</x:v>
      </x:c>
      <x:c r="J188" s="15" t="str">
        <x:v>N2 — 기관·조직</x:v>
      </x:c>
      <x:c r="K188" s="15" t="str">
        <x:v>2.2 | 정당 — Chính đảng</x:v>
      </x:c>
      <x:c r="L188" s="18" t="str">
        <x:v>Ứng viên giữ — có căn cứ khái niệm</x:v>
      </x:c>
      <x:c r="M188" s="11" t="str">
        <x:v>C021</x:v>
      </x:c>
    </x:row>
    <x:row r="189" ht="57" customHeight="1">
      <x:c r="A189" s="14" t="n">
        <x:v>184</x:v>
      </x:c>
      <x:c r="B189" s="11" t="str">
        <x:v>Đảng cầm quyền</x:v>
      </x:c>
      <x:c r="C189" s="11" t="str">
        <x:v>Chính đảng đang nắm và thực thi quyền lực cầm quyền trong một nhà nước.</x:v>
      </x:c>
      <x:c r="D189" s="11" t="str">
        <x:v>집권당</x:v>
      </x:c>
      <x:c r="E189" s="11" t="str">
        <x:v>정권을 맡아 행사하는 정당.</x:v>
      </x:c>
      <x:c r="F189" s="17" t="str">
        <x:v>* Nghĩa làm việc; cần nguồn định nghĩa</x:v>
      </x:c>
      <x:c r="G189" s="17" t="str">
        <x:v>* Nghĩa làm việc; cần nguồn định nghĩa</x:v>
      </x:c>
      <x:c r="H189" s="11" t="str">
        <x:v>CẦN TRA — chưa xác minh mục từ</x:v>
      </x:c>
      <x:c r="I189" s="11" t="str">
        <x:v>Có đầu mục; chưa đọc được nghĩa</x:v>
      </x:c>
      <x:c r="J189" s="15" t="str">
        <x:v>N2 — 기관·조직</x:v>
      </x:c>
      <x:c r="K189" s="15" t="str">
        <x:v>2.2 | 정당 — Chính đảng</x:v>
      </x:c>
      <x:c r="L189" s="11" t="str">
        <x:v>Cần bổ sung nguồn định nghĩa</x:v>
      </x:c>
      <x:c r="M189" s="11" t="str">
        <x:v>C022</x:v>
      </x:c>
    </x:row>
    <x:row r="190" ht="57" customHeight="1">
      <x:c r="A190" s="14" t="n">
        <x:v>185</x:v>
      </x:c>
      <x:c r="B190" s="11" t="str">
        <x:v>tư pháp</x:v>
      </x:c>
      <x:c r="C190" s="11" t="str">
        <x:v>Lĩnh vực thực hiện pháp luật, xét xử và bảo vệ công lý.</x:v>
      </x:c>
      <x:c r="D190" s="11" t="str">
        <x:v>사법부</x:v>
      </x:c>
      <x:c r="E190" s="11" t="str">
        <x:v>대법원과 그에 속한 법원 등 사법권을 행사하는 국가기관의 총체.</x:v>
      </x:c>
      <x:c r="F190" s="17" t="str">
        <x:v>* Nghĩa làm việc; cần nguồn định nghĩa</x:v>
      </x:c>
      <x:c r="G190" s="11" t="str">
        <x:v>Mục từ có nghĩa [KO]</x:v>
      </x:c>
      <x:c r="H190" s="11" t="str">
        <x:v>CẦN TRA — chưa xác minh mục từ</x:v>
      </x:c>
      <x:c r="I190" s="11" t="str">
        <x:v>Có mục từ và đã đọc nghĩa</x:v>
      </x:c>
      <x:c r="J190" s="21" t="str">
        <x:v>Cần xem xét</x:v>
      </x:c>
      <x:c r="K190" s="21" t="str"/>
      <x:c r="L190" s="20" t="str">
        <x:v>Cần đối chiếu/sửa cặp</x:v>
      </x:c>
      <x:c r="M190" s="11" t="str">
        <x:v>C026</x:v>
      </x:c>
    </x:row>
    <x:row r="191" ht="57" customHeight="1">
      <x:c r="A191" s="14" t="n">
        <x:v>186</x:v>
      </x:c>
      <x:c r="B191" s="11" t="str">
        <x:v>Tổng lãnh sự quán</x:v>
      </x:c>
      <x:c r="C191" s="11" t="str">
        <x:v>Cơ quan lãnh sự thuộc loại tổng lãnh sự quán, thực hiện nhiệm vụ lãnh sự tại địa bàn được giao.</x:v>
      </x:c>
      <x:c r="D191" s="11" t="str">
        <x:v>총영사관</x:v>
      </x:c>
      <x:c r="E191" s="11" t="str">
        <x:v>총영사가 이끌며 담당 관할지역에서 영사 업무를 수행하는 영사기관.</x:v>
      </x:c>
      <x:c r="F191" s="17" t="str">
        <x:v>* Diễn giải mô tả EN</x:v>
      </x:c>
      <x:c r="G191" s="17" t="str">
        <x:v>* Diễn giải mô tả EN</x:v>
      </x:c>
      <x:c r="H191" s="11" t="str">
        <x:v>CẦN TRA — chưa xác minh mục từ</x:v>
      </x:c>
      <x:c r="I191" s="11" t="str">
        <x:v>CẦN TRA — chưa xác minh mục từ</x:v>
      </x:c>
      <x:c r="J191" s="15" t="str">
        <x:v>N2 — 기관·조직</x:v>
      </x:c>
      <x:c r="K191" s="15" t="str">
        <x:v>2.1 | 국가기관 — Cơ quan nhà nước</x:v>
      </x:c>
      <x:c r="L191" s="18" t="str">
        <x:v>Ứng viên giữ — có căn cứ khái niệm</x:v>
      </x:c>
      <x:c r="M191" s="11" t="str">
        <x:v>C031</x:v>
      </x:c>
    </x:row>
    <x:row r="192" ht="57" customHeight="1">
      <x:c r="A192" s="14" t="n">
        <x:v>187</x:v>
      </x:c>
      <x:c r="B192" s="11" t="str">
        <x:v>cơ quan đại diện ngoại giao</x:v>
      </x:c>
      <x:c r="C192" s="11" t="str">
        <x:v>Cơ quan của quốc gia cử tại nước tiếp nhận để đại diện, trao đổi và thực hiện chức năng ngoại giao.</x:v>
      </x:c>
      <x:c r="D192" s="11" t="str">
        <x:v>외교공관</x:v>
      </x:c>
      <x:c r="E192" s="11" t="str">
        <x:v>파견국을 대표하고 접수국에서 외교 업무를 수행하는 국가기관.</x:v>
      </x:c>
      <x:c r="F192" s="17" t="str">
        <x:v>* Diễn giải mô tả EN</x:v>
      </x:c>
      <x:c r="G192" s="17" t="str">
        <x:v>* Diễn giải mô tả EN</x:v>
      </x:c>
      <x:c r="H192" s="11" t="str">
        <x:v>CẦN TRA — chưa xác minh mục từ</x:v>
      </x:c>
      <x:c r="I192" s="11" t="str">
        <x:v>CẦN TRA — chưa xác minh mục từ</x:v>
      </x:c>
      <x:c r="J192" s="15" t="str">
        <x:v>N2 — 기관·조직</x:v>
      </x:c>
      <x:c r="K192" s="15" t="str">
        <x:v>2.1 | 국가기관 — Cơ quan nhà nước</x:v>
      </x:c>
      <x:c r="L192" s="18" t="str">
        <x:v>Ứng viên giữ — có căn cứ khái niệm</x:v>
      </x:c>
      <x:c r="M192" s="11" t="str">
        <x:v>C032</x:v>
      </x:c>
    </x:row>
    <x:row r="193" ht="57" customHeight="1">
      <x:c r="A193" s="14" t="n">
        <x:v>188</x:v>
      </x:c>
      <x:c r="B193" s="11" t="str">
        <x:v>Phái đoàn thường trực</x:v>
      </x:c>
      <x:c r="C193" s="11" t="str">
        <x:v>Cơ quan đại diện thường xuyên của một quốc gia bên cạnh một tổ chức quốc tế.</x:v>
      </x:c>
      <x:c r="D193" s="11" t="str">
        <x:v>상임대표부</x:v>
      </x:c>
      <x:c r="E193" s="11" t="str">
        <x:v>국제기구에 설치된 한 국가의 상설 대표기관.</x:v>
      </x:c>
      <x:c r="F193" s="17" t="str">
        <x:v>* Diễn giải mô tả EN</x:v>
      </x:c>
      <x:c r="G193" s="17" t="str">
        <x:v>* Diễn giải mô tả EN</x:v>
      </x:c>
      <x:c r="H193" s="11" t="str">
        <x:v>CẦN TRA — chưa xác minh mục từ</x:v>
      </x:c>
      <x:c r="I193" s="11" t="str">
        <x:v>CẦN TRA — chưa xác minh mục từ</x:v>
      </x:c>
      <x:c r="J193" s="15" t="str">
        <x:v>N2 — 기관·조직</x:v>
      </x:c>
      <x:c r="K193" s="15" t="str">
        <x:v>2.1 | 국가기관 — Cơ quan nhà nước</x:v>
      </x:c>
      <x:c r="L193" s="18" t="str">
        <x:v>Ứng viên giữ — có căn cứ khái niệm</x:v>
      </x:c>
      <x:c r="M193" s="11" t="str">
        <x:v>C034</x:v>
      </x:c>
    </x:row>
    <x:row r="194" ht="57" customHeight="1">
      <x:c r="A194" s="14" t="n">
        <x:v>189</x:v>
      </x:c>
      <x:c r="B194" s="11" t="str">
        <x:v>Đoàn Ngoại giao</x:v>
      </x:c>
      <x:c r="C194" s="11" t="str">
        <x:v>Tập thể các nhà ngoại giao đại diện cho các nước tại cùng một nước tiếp nhận.</x:v>
      </x:c>
      <x:c r="D194" s="11" t="str">
        <x:v>외교단</x:v>
      </x:c>
      <x:c r="E194" s="11" t="str">
        <x:v>같은 접수국에 주재하는 여러 나라 외교관들의 집단.</x:v>
      </x:c>
      <x:c r="F194" s="17" t="str">
        <x:v>* Nghĩa làm việc; cần nguồn định nghĩa</x:v>
      </x:c>
      <x:c r="G194" s="17" t="str">
        <x:v>* Nghĩa làm việc; cần nguồn định nghĩa</x:v>
      </x:c>
      <x:c r="H194" s="11" t="str">
        <x:v>CẦN TRA — chưa xác minh mục từ</x:v>
      </x:c>
      <x:c r="I194" s="11" t="str">
        <x:v>CẦN TRA — chưa xác minh mục từ</x:v>
      </x:c>
      <x:c r="J194" s="15" t="str">
        <x:v>N2 — 기관·조직</x:v>
      </x:c>
      <x:c r="K194" s="15" t="str">
        <x:v>2.4 | 기타 조직 — Tổ chức khác</x:v>
      </x:c>
      <x:c r="L194" s="11" t="str">
        <x:v>Cần khóa nghĩa để chốt nhóm</x:v>
      </x:c>
      <x:c r="M194" s="11" t="str">
        <x:v>C036</x:v>
      </x:c>
    </x:row>
    <x:row r="195" ht="57" customHeight="1">
      <x:c r="A195" s="14" t="n">
        <x:v>190</x:v>
      </x:c>
      <x:c r="B195" s="11" t="str">
        <x:v>Tổ chức Thương mại thế giới</x:v>
      </x:c>
      <x:c r="C195" s="11" t="str">
        <x:v>Tổ chức quốc tế quản lý hệ thống quy tắc thương mại giữa các thành viên.</x:v>
      </x:c>
      <x:c r="D195" s="11" t="str">
        <x:v>세계무역기구</x:v>
      </x:c>
      <x:c r="E195" s="11" t="str">
        <x:v>회원 사이의 무역 규범과 협정 체제를 다루는 국제기구.</x:v>
      </x:c>
      <x:c r="F195" s="17" t="str">
        <x:v>* Diễn giải mô tả EN</x:v>
      </x:c>
      <x:c r="G195" s="17" t="str">
        <x:v>* Diễn giải mô tả EN</x:v>
      </x:c>
      <x:c r="H195" s="11" t="str">
        <x:v>Tên riêng: có nguồn về đối tượng</x:v>
      </x:c>
      <x:c r="I195" s="11" t="str">
        <x:v>Tên riêng: có nguồn về đối tượng</x:v>
      </x:c>
      <x:c r="J195" s="15" t="str">
        <x:v>N2 — 기관·조직</x:v>
      </x:c>
      <x:c r="K195" s="15" t="str">
        <x:v>2.3 | 국제기구 — Tổ chức quốc tế và cơ quan thuộc tổ chức</x:v>
      </x:c>
      <x:c r="L195" s="18" t="str">
        <x:v>Ứng viên giữ — có căn cứ khái niệm</x:v>
      </x:c>
      <x:c r="M195" s="11" t="str">
        <x:v>C039</x:v>
      </x:c>
    </x:row>
    <x:row r="196" ht="57" customHeight="1">
      <x:c r="A196" s="14" t="n">
        <x:v>191</x:v>
      </x:c>
      <x:c r="B196" s="11" t="str">
        <x:v>Tổ chức Y tế thế giới</x:v>
      </x:c>
      <x:c r="C196" s="11" t="str">
        <x:v>Cơ quan chuyên môn của Liên hợp quốc phụ trách hợp tác và điều phối y tế quốc tế.</x:v>
      </x:c>
      <x:c r="D196" s="11" t="str">
        <x:v>세계보건기구</x:v>
      </x:c>
      <x:c r="E196" s="11" t="str">
        <x:v>국제 보건 협력을 이끌고 조정하는 유엔 전문기구.</x:v>
      </x:c>
      <x:c r="F196" s="17" t="str">
        <x:v>* Diễn giải mô tả EN</x:v>
      </x:c>
      <x:c r="G196" s="17" t="str">
        <x:v>* Diễn giải mô tả EN</x:v>
      </x:c>
      <x:c r="H196" s="11" t="str">
        <x:v>Tên riêng: có nguồn về đối tượng</x:v>
      </x:c>
      <x:c r="I196" s="11" t="str">
        <x:v>Tên riêng: có nguồn về đối tượng</x:v>
      </x:c>
      <x:c r="J196" s="15" t="str">
        <x:v>N2 — 기관·조직</x:v>
      </x:c>
      <x:c r="K196" s="15" t="str">
        <x:v>2.3 | 국제기구 — Tổ chức quốc tế và cơ quan thuộc tổ chức</x:v>
      </x:c>
      <x:c r="L196" s="18" t="str">
        <x:v>Ứng viên giữ — có căn cứ khái niệm</x:v>
      </x:c>
      <x:c r="M196" s="11" t="str">
        <x:v>C040</x:v>
      </x:c>
    </x:row>
    <x:row r="197" ht="57" customHeight="1">
      <x:c r="A197" s="14" t="n">
        <x:v>192</x:v>
      </x:c>
      <x:c r="B197" s="11" t="str">
        <x:v>Cơ quan quyền lực đáy đại dương</x:v>
      </x:c>
      <x:c r="C197" s="11" t="str">
        <x:v>Tổ chức quốc tế điều phối và kiểm soát hoạt động khoáng sản tại đáy biển ngoài quyền tài phán quốc gia.</x:v>
      </x:c>
      <x:c r="D197" s="11" t="str">
        <x:v>국제해저기구</x:v>
      </x:c>
      <x:c r="E197" s="11" t="str">
        <x:v>국가 관할권 밖 심해저에서 광물자원 관련 활동을 조직하고 관리하는 국제기구.</x:v>
      </x:c>
      <x:c r="F197" s="17" t="str">
        <x:v>* Diễn giải mô tả EN</x:v>
      </x:c>
      <x:c r="G197" s="17" t="str">
        <x:v>* Diễn giải mô tả EN</x:v>
      </x:c>
      <x:c r="H197" s="11" t="str">
        <x:v>Tên riêng: có nguồn về đối tượng</x:v>
      </x:c>
      <x:c r="I197" s="11" t="str">
        <x:v>Tên riêng: có nguồn về đối tượng</x:v>
      </x:c>
      <x:c r="J197" s="15" t="str">
        <x:v>N2 — 기관·조직</x:v>
      </x:c>
      <x:c r="K197" s="15" t="str">
        <x:v>2.3 | 국제기구 — Tổ chức quốc tế và cơ quan thuộc tổ chức</x:v>
      </x:c>
      <x:c r="L197" s="18" t="str">
        <x:v>Ứng viên giữ — có căn cứ khái niệm</x:v>
      </x:c>
      <x:c r="M197" s="11" t="str">
        <x:v>C044</x:v>
      </x:c>
    </x:row>
    <x:row r="198" ht="57" customHeight="1">
      <x:c r="A198" s="14" t="n">
        <x:v>193</x:v>
      </x:c>
      <x:c r="B198" s="11" t="str">
        <x:v>Tổ chức Hợp tác Thượng Hải</x:v>
      </x:c>
      <x:c r="C198" s="11" t="str">
        <x:v>Tổ chức liên chính phủ thường trực mang tên Hợp tác Thượng Hải, thúc đẩy hợp tác giữa các thành viên.</x:v>
      </x:c>
      <x:c r="D198" s="11" t="str">
        <x:v>상하이협력기구</x:v>
      </x:c>
      <x:c r="E198" s="11" t="str">
        <x:v>회원국 간 협력을 추진하는 상설 정부간 국제기구인 상하이협력기구.</x:v>
      </x:c>
      <x:c r="F198" s="17" t="str">
        <x:v>* Diễn giải mô tả EN</x:v>
      </x:c>
      <x:c r="G198" s="17" t="str">
        <x:v>* Diễn giải mô tả EN</x:v>
      </x:c>
      <x:c r="H198" s="11" t="str">
        <x:v>Tên riêng: có nguồn về đối tượng</x:v>
      </x:c>
      <x:c r="I198" s="11" t="str">
        <x:v>Tên riêng: có nguồn về đối tượng</x:v>
      </x:c>
      <x:c r="J198" s="15" t="str">
        <x:v>N2 — 기관·조직</x:v>
      </x:c>
      <x:c r="K198" s="15" t="str">
        <x:v>2.3 | 국제기구 — Tổ chức quốc tế và cơ quan thuộc tổ chức</x:v>
      </x:c>
      <x:c r="L198" s="18" t="str">
        <x:v>Ứng viên giữ — có căn cứ khái niệm</x:v>
      </x:c>
      <x:c r="M198" s="11" t="str">
        <x:v>C047</x:v>
      </x:c>
    </x:row>
    <x:row r="199" ht="57" customHeight="1">
      <x:c r="A199" s="14" t="n">
        <x:v>194</x:v>
      </x:c>
      <x:c r="B199" s="11" t="str">
        <x:v>Nghị viện châu Âu</x:v>
      </x:c>
      <x:c r="C199" s="11" t="str">
        <x:v>Cơ quan của Liên minh châu Âu do cử tri trực tiếp bầu, thực hiện chức năng lập pháp, giám sát và ngân sách.</x:v>
      </x:c>
      <x:c r="D199" s="11" t="str">
        <x:v>유럽의회</x:v>
      </x:c>
      <x:c r="E199" s="11" t="str">
        <x:v>직접 선거로 구성되며 입법·감독·예산 기능을 수행하는 유럽연합의 기관.</x:v>
      </x:c>
      <x:c r="F199" s="17" t="str">
        <x:v>* Diễn giải mô tả EN</x:v>
      </x:c>
      <x:c r="G199" s="17" t="str">
        <x:v>* Diễn giải mô tả EN</x:v>
      </x:c>
      <x:c r="H199" s="11" t="str">
        <x:v>Tên riêng: có nguồn về đối tượng</x:v>
      </x:c>
      <x:c r="I199" s="11" t="str">
        <x:v>Tên riêng: có nguồn về đối tượng</x:v>
      </x:c>
      <x:c r="J199" s="15" t="str">
        <x:v>N2 — 기관·조직</x:v>
      </x:c>
      <x:c r="K199" s="15" t="str">
        <x:v>2.3 | 국제기구 — Tổ chức quốc tế và cơ quan thuộc tổ chức</x:v>
      </x:c>
      <x:c r="L199" s="18" t="str">
        <x:v>Ứng viên giữ — có căn cứ khái niệm</x:v>
      </x:c>
      <x:c r="M199" s="11" t="str">
        <x:v>C048</x:v>
      </x:c>
    </x:row>
    <x:row r="200" ht="57" customHeight="1">
      <x:c r="A200" s="14" t="n">
        <x:v>195</x:v>
      </x:c>
      <x:c r="B200" s="11" t="str">
        <x:v>Chương trình phát triển Liên hợp quốc</x:v>
      </x:c>
      <x:c r="C200" s="11" t="str">
        <x:v>Tổ chức thuộc Liên hợp quốc thực hiện hoạt động phát triển quốc tế và hỗ trợ phát triển bền vững.</x:v>
      </x:c>
      <x:c r="D200" s="11" t="str">
        <x:v>유엔개발계획</x:v>
      </x:c>
      <x:c r="E200" s="11" t="str">
        <x:v>국제 개발과 지속가능한 발전을 지원하는 유엔의 개발 기구.</x:v>
      </x:c>
      <x:c r="F200" s="17" t="str">
        <x:v>* Diễn giải mô tả EN</x:v>
      </x:c>
      <x:c r="G200" s="17" t="str">
        <x:v>* Diễn giải mô tả EN</x:v>
      </x:c>
      <x:c r="H200" s="11" t="str">
        <x:v>Tên riêng: có nguồn về đối tượng</x:v>
      </x:c>
      <x:c r="I200" s="11" t="str">
        <x:v>Tên riêng: có nguồn về đối tượng</x:v>
      </x:c>
      <x:c r="J200" s="15" t="str">
        <x:v>N2 — 기관·조직</x:v>
      </x:c>
      <x:c r="K200" s="15" t="str">
        <x:v>2.3 | 국제기구 — Tổ chức quốc tế và cơ quan thuộc tổ chức</x:v>
      </x:c>
      <x:c r="L200" s="18" t="str">
        <x:v>Ứng viên giữ — có căn cứ khái niệm</x:v>
      </x:c>
      <x:c r="M200" s="11" t="str">
        <x:v>C049</x:v>
      </x:c>
    </x:row>
    <x:row r="201" ht="57" customHeight="1">
      <x:c r="A201" s="14" t="n">
        <x:v>196</x:v>
      </x:c>
      <x:c r="B201" s="11" t="str">
        <x:v>cơ quan lập pháp</x:v>
      </x:c>
      <x:c r="C201" s="11" t="str">
        <x:v>Cơ quan nhà nước có chức năng xây dựng và ban hành luật.</x:v>
      </x:c>
      <x:c r="D201" s="11" t="str">
        <x:v>입법기관</x:v>
      </x:c>
      <x:c r="E201" s="11" t="str">
        <x:v>국가의 법률을 제정하는 권한과 기능을 맡는 기관.</x:v>
      </x:c>
      <x:c r="F201" s="17" t="str">
        <x:v>* Diễn giải mô tả KO</x:v>
      </x:c>
      <x:c r="G201" s="11" t="str">
        <x:v>Định nghĩa chuyên ngành [KO]</x:v>
      </x:c>
      <x:c r="H201" s="11" t="str">
        <x:v>CẦN TRA — chưa xác minh mục từ</x:v>
      </x:c>
      <x:c r="I201" s="11" t="str">
        <x:v>CẦN TRA — chưa xác minh mục từ</x:v>
      </x:c>
      <x:c r="J201" s="15" t="str">
        <x:v>N2 — 기관·조직</x:v>
      </x:c>
      <x:c r="K201" s="15" t="str">
        <x:v>2.1 | 국가기관 — Cơ quan nhà nước</x:v>
      </x:c>
      <x:c r="L201" s="18" t="str">
        <x:v>Ứng viên giữ — có căn cứ khái niệm</x:v>
      </x:c>
      <x:c r="M201" s="11" t="str">
        <x:v>C056</x:v>
      </x:c>
    </x:row>
    <x:row r="202" ht="57" customHeight="1">
      <x:c r="A202" s="14" t="n">
        <x:v>197</x:v>
      </x:c>
      <x:c r="B202" s="11" t="str">
        <x:v>tổ chức khu vực</x:v>
      </x:c>
      <x:c r="C202" s="11" t="str">
        <x:v>Theo nghĩa ngoại giao được chọn, tổ chức quốc tế tập hợp các quốc gia trong một khu vực để thực hiện mục tiêu hợp tác chung.</x:v>
      </x:c>
      <x:c r="D202" s="11" t="str">
        <x:v>지역기구</x:v>
      </x:c>
      <x:c r="E202" s="11" t="str">
        <x:v>이 자료에서 선택한 외교적 의미로는 특정 지역의 국가들이 공동 과제와 협력을 위해 구성한 국제적 조직이다.</x:v>
      </x:c>
      <x:c r="F202" s="17" t="str">
        <x:v>* Nghĩa làm việc; cần nguồn định nghĩa</x:v>
      </x:c>
      <x:c r="G202" s="17" t="str">
        <x:v>* Nghĩa làm việc; cần nguồn định nghĩa</x:v>
      </x:c>
      <x:c r="H202" s="11" t="str">
        <x:v>CẦN TRA — chưa xác minh mục từ</x:v>
      </x:c>
      <x:c r="I202" s="11" t="str">
        <x:v>CẦN TRA — chưa xác minh mục từ</x:v>
      </x:c>
      <x:c r="J202" s="15" t="str">
        <x:v>N2 — 기관·조직</x:v>
      </x:c>
      <x:c r="K202" s="15" t="str">
        <x:v>2.3 | 국제기구 — Tổ chức quốc tế và cơ quan thuộc tổ chức</x:v>
      </x:c>
      <x:c r="L202" s="11" t="str">
        <x:v>Cần khóa nghĩa để chốt nhóm</x:v>
      </x:c>
      <x:c r="M202" s="11" t="str">
        <x:v>C057</x:v>
      </x:c>
    </x:row>
    <x:row r="203" ht="72" customHeight="1">
      <x:c r="A203" s="14" t="n">
        <x:v>198</x:v>
      </x:c>
      <x:c r="B203" s="11" t="str">
        <x:v>Hội đồng Hòa bình về Gaza</x:v>
      </x:c>
      <x:c r="C203" s="11" t="str">
        <x:v>Tên gọi cần xác định quy chiếu; nếu là Board of Peace trong báo cáo S/2026/418, đó là tổ chức được lập để thực hiện nhiệm vụ hòa bình và phục hồi Gaza.</x:v>
      </x:c>
      <x:c r="D203" s="11" t="str">
        <x:v>가자 평화위원회</x:v>
      </x:c>
      <x:c r="E203" s="11" t="str">
        <x:v>지시 대상을 확인해야 하는 명칭. S/2026/418의 Board of Peace를 뜻한다면 가자 평화와 재건 관련 임무를 수행하는 조직이다.</x:v>
      </x:c>
      <x:c r="F203" s="17" t="str">
        <x:v>* Diễn giải mô tả EN</x:v>
      </x:c>
      <x:c r="G203" s="17" t="str">
        <x:v>* Diễn giải mô tả EN</x:v>
      </x:c>
      <x:c r="H203" s="11" t="str">
        <x:v>CẦN TRA — chưa xác minh mục từ</x:v>
      </x:c>
      <x:c r="I203" s="11" t="str">
        <x:v>CẦN TRA — chưa xác minh mục từ</x:v>
      </x:c>
      <x:c r="J203" s="15" t="str">
        <x:v>N2 — 기관·조직</x:v>
      </x:c>
      <x:c r="K203" s="15" t="str">
        <x:v>2.3 | 국제기구 — Tổ chức quốc tế và cơ quan thuộc tổ chức</x:v>
      </x:c>
      <x:c r="L203" s="11" t="str">
        <x:v>Cần khóa nghĩa để chốt nhóm</x:v>
      </x:c>
      <x:c r="M203" s="11" t="str">
        <x:v>C059</x:v>
      </x:c>
    </x:row>
    <x:row r="204" ht="57" customHeight="1">
      <x:c r="A204" s="14" t="n">
        <x:v>199</x:v>
      </x:c>
      <x:c r="B204" s="11" t="str">
        <x:v>không can thiệp vào công việc nội bộ của mỗi quốc gia</x:v>
      </x:c>
      <x:c r="C204" s="11" t="str">
        <x:v>Nguyên tắc không áp đặt, cưỡng ép hoặc can thiệp vào công việc thuộc quyền quyết định của quốc gia khác.</x:v>
      </x:c>
      <x:c r="D204" s="11" t="str">
        <x:v>내정 불간섭</x:v>
      </x:c>
      <x:c r="E204" s="11" t="str">
        <x:v>다른 국가가 스스로 결정할 내정에 외부 국가가 간섭하거나 강요하지 않아야 한다는 원칙.</x:v>
      </x:c>
      <x:c r="F204" s="17" t="str">
        <x:v>* Diễn giải mô tả EN</x:v>
      </x:c>
      <x:c r="G204" s="17" t="str">
        <x:v>* Diễn giải mô tả EN</x:v>
      </x:c>
      <x:c r="H204" s="11" t="str">
        <x:v>CẦN TRA — chưa xác minh mục từ</x:v>
      </x:c>
      <x:c r="I204" s="11" t="str">
        <x:v>CẦN TRA — chưa xác minh mục từ</x:v>
      </x:c>
      <x:c r="J204" s="15" t="str">
        <x:v>N3 — 제도·이념</x:v>
      </x:c>
      <x:c r="K204" s="15" t="str">
        <x:v>3.4 | 원칙·규범·권리 — Nguyên tắc, quy phạm, quyền</x:v>
      </x:c>
      <x:c r="L204" s="18" t="str">
        <x:v>Ứng viên giữ — có căn cứ khái niệm</x:v>
      </x:c>
      <x:c r="M204" s="11" t="str">
        <x:v>C060</x:v>
      </x:c>
    </x:row>
    <x:row r="205" ht="57" customHeight="1">
      <x:c r="A205" s="14" t="n">
        <x:v>200</x:v>
      </x:c>
      <x:c r="B205" s="11" t="str">
        <x:v>bình đẳng chủ quyền</x:v>
      </x:c>
      <x:c r="C205" s="11" t="str">
        <x:v>Nguyên tắc các quốc gia bình đẳng về địa vị chủ quyền trong quan hệ quốc tế.</x:v>
      </x:c>
      <x:c r="D205" s="11" t="str">
        <x:v>주권 평등</x:v>
      </x:c>
      <x:c r="E205" s="11" t="str">
        <x:v>각 국가가 주권국으로서 동등한 지위를 가진다는 국제법상 원칙.</x:v>
      </x:c>
      <x:c r="F205" s="17" t="str">
        <x:v>* Diễn giải mô tả EN</x:v>
      </x:c>
      <x:c r="G205" s="17" t="str">
        <x:v>* Diễn giải mô tả EN</x:v>
      </x:c>
      <x:c r="H205" s="11" t="str">
        <x:v>CẦN TRA — chưa xác minh mục từ</x:v>
      </x:c>
      <x:c r="I205" s="11" t="str">
        <x:v>CẦN TRA — chưa xác minh mục từ</x:v>
      </x:c>
      <x:c r="J205" s="15" t="str">
        <x:v>N3 — 제도·이념</x:v>
      </x:c>
      <x:c r="K205" s="15" t="str">
        <x:v>3.4 | 원칙·규범·권리 — Nguyên tắc, quy phạm, quyền</x:v>
      </x:c>
      <x:c r="L205" s="18" t="str">
        <x:v>Ứng viên giữ — có căn cứ khái niệm</x:v>
      </x:c>
      <x:c r="M205" s="11" t="str">
        <x:v>C061</x:v>
      </x:c>
    </x:row>
    <x:row r="206" ht="57" customHeight="1">
      <x:c r="A206" s="14" t="n">
        <x:v>201</x:v>
      </x:c>
      <x:c r="B206" s="11" t="str">
        <x:v>quyền tài phán</x:v>
      </x:c>
      <x:c r="C206" s="11" t="str">
        <x:v>Thẩm quyền pháp lý của quốc gia hoặc cơ quan có thẩm quyền đối với người, lãnh thổ hay vụ việc thuộc phạm vi luật định.</x:v>
      </x:c>
      <x:c r="D206" s="11" t="str">
        <x:v>관할권</x:v>
      </x:c>
      <x:c r="E206" s="11" t="str">
        <x:v>특정 사건을 법원이 처리할 수 있는 법적 권한.</x:v>
      </x:c>
      <x:c r="F206" s="17" t="str">
        <x:v>* Nghĩa làm việc; cần nguồn định nghĩa</x:v>
      </x:c>
      <x:c r="G206" s="11" t="str">
        <x:v>Mục từ có nghĩa [KO]</x:v>
      </x:c>
      <x:c r="H206" s="11" t="str">
        <x:v>CẦN TRA — chưa xác minh mục từ</x:v>
      </x:c>
      <x:c r="I206" s="11" t="str">
        <x:v>Có mục từ và đã đọc nghĩa</x:v>
      </x:c>
      <x:c r="J206" s="15" t="str">
        <x:v>N3 — 제도·이념</x:v>
      </x:c>
      <x:c r="K206" s="15" t="str">
        <x:v>3.4 | 원칙·규범·권리 — Nguyên tắc, quy phạm, quyền</x:v>
      </x:c>
      <x:c r="L206" s="20" t="str">
        <x:v>Cần đối chiếu/sửa cặp</x:v>
      </x:c>
      <x:c r="M206" s="11" t="str">
        <x:v>C063</x:v>
      </x:c>
    </x:row>
    <x:row r="207" ht="57" customHeight="1">
      <x:c r="A207" s="14" t="n">
        <x:v>202</x:v>
      </x:c>
      <x:c r="B207" s="11" t="str">
        <x:v>tự do hàng hải</x:v>
      </x:c>
      <x:c r="C207" s="11" t="str">
        <x:v>Quyền cho tàu thuyền đi lại tại các vùng biển nơi luật quốc tế công nhận tự do hàng hải.</x:v>
      </x:c>
      <x:c r="D207" s="11" t="str">
        <x:v>항행의 자유</x:v>
      </x:c>
      <x:c r="E207" s="11" t="str">
        <x:v>국제법이 인정하는 해역에서 선박을 항행시킬 수 있는 자유.</x:v>
      </x:c>
      <x:c r="F207" s="17" t="str">
        <x:v>* Diễn giải mô tả EN</x:v>
      </x:c>
      <x:c r="G207" s="17" t="str">
        <x:v>* Diễn giải mô tả EN</x:v>
      </x:c>
      <x:c r="H207" s="11" t="str">
        <x:v>CẦN TRA — chưa xác minh mục từ</x:v>
      </x:c>
      <x:c r="I207" s="11" t="str">
        <x:v>CẦN TRA — chưa xác minh mục từ</x:v>
      </x:c>
      <x:c r="J207" s="15" t="str">
        <x:v>N3 — 제도·이념</x:v>
      </x:c>
      <x:c r="K207" s="15" t="str">
        <x:v>3.4 | 원칙·규범·권리 — Nguyên tắc, quy phạm, quyền</x:v>
      </x:c>
      <x:c r="L207" s="18" t="str">
        <x:v>Ứng viên giữ — có căn cứ khái niệm</x:v>
      </x:c>
      <x:c r="M207" s="11" t="str">
        <x:v>C064</x:v>
      </x:c>
    </x:row>
    <x:row r="208" ht="57" customHeight="1">
      <x:c r="A208" s="14" t="n">
        <x:v>203</x:v>
      </x:c>
      <x:c r="B208" s="11" t="str">
        <x:v>giải quyết tranh chấp bằng biện pháp hòa bình</x:v>
      </x:c>
      <x:c r="C208" s="11" t="str">
        <x:v>Ở nghĩa nguyên tắc: yêu cầu xử lý tranh chấp quốc tế bằng phương thức hòa bình; cũng có thể chỉ quá trình giải quyết cụ thể.</x:v>
      </x:c>
      <x:c r="D208" s="11" t="str">
        <x:v>분쟁의 평화적 해결</x:v>
      </x:c>
      <x:c r="E208" s="11" t="str">
        <x:v>국제 분쟁을 무력 대신 평화적인 수단으로 해결한다는 원칙 또는 그 해결 과정.</x:v>
      </x:c>
      <x:c r="F208" s="17" t="str">
        <x:v>* Diễn giải mô tả EN</x:v>
      </x:c>
      <x:c r="G208" s="17" t="str">
        <x:v>* Diễn giải mô tả EN</x:v>
      </x:c>
      <x:c r="H208" s="11" t="str">
        <x:v>CẦN TRA — chưa xác minh mục từ</x:v>
      </x:c>
      <x:c r="I208" s="11" t="str">
        <x:v>CẦN TRA — chưa xác minh mục từ</x:v>
      </x:c>
      <x:c r="J208" s="15" t="str">
        <x:v>N3 — 제도·이념</x:v>
      </x:c>
      <x:c r="K208" s="15" t="str">
        <x:v>3.4 | 원칙·규범·권리 — Nguyên tắc, quy phạm, quyền</x:v>
      </x:c>
      <x:c r="L208" s="11" t="str">
        <x:v>Cần khóa nghĩa để chốt nhóm</x:v>
      </x:c>
      <x:c r="M208" s="11" t="str">
        <x:v>C067</x:v>
      </x:c>
    </x:row>
    <x:row r="209" ht="57" customHeight="1">
      <x:c r="A209" s="14" t="n">
        <x:v>204</x:v>
      </x:c>
      <x:c r="B209" s="11" t="str">
        <x:v>an ninh phi truyền thống</x:v>
      </x:c>
      <x:c r="C209" s="11" t="str">
        <x:v>Phạm vi vấn đề an ninh gắn với đe dọa chủ yếu phi quân sự đối với con người và quốc gia.</x:v>
      </x:c>
      <x:c r="D209" s="11" t="str">
        <x:v>비전통 안보</x:v>
      </x:c>
      <x:c r="E209" s="11" t="str">
        <x:v>사람과 국가의 생존·복지를 위협하는 비군사적 문제를 다루는 안보 개념.</x:v>
      </x:c>
      <x:c r="F209" s="17" t="str">
        <x:v>Diễn giải từ định nghĩa EN; cần nguồn VI</x:v>
      </x:c>
      <x:c r="G209" s="17" t="str">
        <x:v>Diễn giải từ định nghĩa EN; cần nguồn KO</x:v>
      </x:c>
      <x:c r="H209" s="11" t="str">
        <x:v>CẦN TRA — chưa xác minh mục từ</x:v>
      </x:c>
      <x:c r="I209" s="11" t="str">
        <x:v>CẦN TRA — chưa xác minh mục từ</x:v>
      </x:c>
      <x:c r="J209" s="21" t="str">
        <x:v>Cần xem xét</x:v>
      </x:c>
      <x:c r="K209" s="21" t="str"/>
      <x:c r="L209" s="16" t="str">
        <x:v>Chưa chốt nhóm</x:v>
      </x:c>
      <x:c r="M209" s="11" t="str">
        <x:v>C068</x:v>
      </x:c>
    </x:row>
    <x:row r="210" ht="57" customHeight="1">
      <x:c r="A210" s="14" t="n">
        <x:v>205</x:v>
      </x:c>
      <x:c r="B210" s="11" t="str">
        <x:v>an ninh hàng hải</x:v>
      </x:c>
      <x:c r="C210" s="11" t="str">
        <x:v>Sự bảo đảm an ninh cho tàu thuyền, cảng và hoạt động trên biển; phạm vi địa-chính trị rộng hơn cần ngữ cảnh.</x:v>
      </x:c>
      <x:c r="D210" s="11" t="str">
        <x:v>해양 안보</x:v>
      </x:c>
      <x:c r="E210" s="11" t="str">
        <x:v>해양 공간과 해상 활동의 안전 및 안정을 다루는 안보 개념. 구체적인 범위는 문맥에 따라 다르다.</x:v>
      </x:c>
      <x:c r="F210" s="17" t="str">
        <x:v>* Diễn giải mô tả EN</x:v>
      </x:c>
      <x:c r="G210" s="17" t="str">
        <x:v>* Diễn giải mô tả EN</x:v>
      </x:c>
      <x:c r="H210" s="11" t="str">
        <x:v>CẦN TRA — chưa xác minh mục từ</x:v>
      </x:c>
      <x:c r="I210" s="11" t="str">
        <x:v>CẦN TRA — chưa xác minh mục từ</x:v>
      </x:c>
      <x:c r="J210" s="21" t="str">
        <x:v>Cần xem xét</x:v>
      </x:c>
      <x:c r="K210" s="21" t="str"/>
      <x:c r="L210" s="20" t="str">
        <x:v>Cần đối chiếu/sửa cặp</x:v>
      </x:c>
      <x:c r="M210" s="11" t="str">
        <x:v>C069</x:v>
      </x:c>
    </x:row>
    <x:row r="211" ht="57" customHeight="1">
      <x:c r="A211" s="14" t="n">
        <x:v>206</x:v>
      </x:c>
      <x:c r="B211" s="11" t="str">
        <x:v>an ninh lương thực</x:v>
      </x:c>
      <x:c r="C211" s="11" t="str">
        <x:v>Trạng thái mọi người luôn tiếp cận được thực phẩm đủ, an toàn, dinh dưỡng cho cuộc sống khỏe mạnh.</x:v>
      </x:c>
      <x:c r="D211" s="11" t="str">
        <x:v>식량안보</x:v>
      </x:c>
      <x:c r="E211" s="11" t="str">
        <x:v>모든 사람이 건강한 생활에 필요한 충분하고 안전한 식품을 지속적으로 확보할 수 있는 상태.</x:v>
      </x:c>
      <x:c r="F211" s="17" t="str">
        <x:v>Diễn giải từ định nghĩa EN; cần nguồn VI</x:v>
      </x:c>
      <x:c r="G211" s="17" t="str">
        <x:v>Diễn giải từ định nghĩa EN; cần nguồn KO</x:v>
      </x:c>
      <x:c r="H211" s="11" t="str">
        <x:v>CẦN TRA — chưa xác minh mục từ</x:v>
      </x:c>
      <x:c r="I211" s="11" t="str">
        <x:v>CẦN TRA — chưa xác minh mục từ</x:v>
      </x:c>
      <x:c r="J211" s="21" t="str">
        <x:v>Cần xem xét</x:v>
      </x:c>
      <x:c r="K211" s="21" t="str"/>
      <x:c r="L211" s="16" t="str">
        <x:v>Chưa chốt nhóm</x:v>
      </x:c>
      <x:c r="M211" s="11" t="str">
        <x:v>C070</x:v>
      </x:c>
    </x:row>
    <x:row r="212" ht="57" customHeight="1">
      <x:c r="A212" s="14" t="n">
        <x:v>207</x:v>
      </x:c>
      <x:c r="B212" s="11" t="str">
        <x:v>an ninh kinh tế</x:v>
      </x:c>
      <x:c r="C212" s="11" t="str">
        <x:v>Trong nguồn luật Hàn Quốc: trạng thái hoạt động kinh tế thiết yếu và an ninh quốc gia được duy trì trước biến động trong và ngoài nước.</x:v>
      </x:c>
      <x:c r="D212" s="11" t="str">
        <x:v>경제안보</x:v>
      </x:c>
      <x:c r="E212" s="11" t="str">
        <x:v>국내외 충격에도 필수 품목·서비스·기술의 원활한 확보 등을 통해 국가 안전과 경제활동이 유지되는 상태.</x:v>
      </x:c>
      <x:c r="F212" s="17" t="str">
        <x:v>Diễn giải từ định nghĩa KO; cần nguồn VI</x:v>
      </x:c>
      <x:c r="G212" s="11" t="str">
        <x:v>Định nghĩa chuyên ngành [KO]</x:v>
      </x:c>
      <x:c r="H212" s="11" t="str">
        <x:v>CẦN TRA — chưa xác minh mục từ</x:v>
      </x:c>
      <x:c r="I212" s="11" t="str">
        <x:v>CẦN TRA — chưa xác minh mục từ</x:v>
      </x:c>
      <x:c r="J212" s="21" t="str">
        <x:v>Cần xem xét</x:v>
      </x:c>
      <x:c r="K212" s="21" t="str"/>
      <x:c r="L212" s="16" t="str">
        <x:v>Chưa chốt nhóm</x:v>
      </x:c>
      <x:c r="M212" s="11" t="str">
        <x:v>C071</x:v>
      </x:c>
    </x:row>
    <x:row r="213" ht="57" customHeight="1">
      <x:c r="A213" s="14" t="n">
        <x:v>208</x:v>
      </x:c>
      <x:c r="B213" s="11" t="str">
        <x:v>an ninh năng lượng</x:v>
      </x:c>
      <x:c r="C213" s="11" t="str">
        <x:v>Sự sẵn có liên tục của nguồn năng lượng với mức giá có thể chi trả.</x:v>
      </x:c>
      <x:c r="D213" s="11" t="str">
        <x:v>에너지 안보</x:v>
      </x:c>
      <x:c r="E213" s="11" t="str">
        <x:v>감당할 수 있는 가격으로 에너지 공급을 지속적으로 확보할 수 있는 상태.</x:v>
      </x:c>
      <x:c r="F213" s="17" t="str">
        <x:v>Diễn giải từ định nghĩa EN; cần nguồn VI</x:v>
      </x:c>
      <x:c r="G213" s="17" t="str">
        <x:v>Diễn giải từ định nghĩa EN; cần nguồn KO</x:v>
      </x:c>
      <x:c r="H213" s="11" t="str">
        <x:v>CẦN TRA — chưa xác minh mục từ</x:v>
      </x:c>
      <x:c r="I213" s="11" t="str">
        <x:v>CẦN TRA — chưa xác minh mục từ</x:v>
      </x:c>
      <x:c r="J213" s="21" t="str">
        <x:v>Cần xem xét</x:v>
      </x:c>
      <x:c r="K213" s="21" t="str"/>
      <x:c r="L213" s="16" t="str">
        <x:v>Chưa chốt nhóm</x:v>
      </x:c>
      <x:c r="M213" s="11" t="str">
        <x:v>C072</x:v>
      </x:c>
    </x:row>
    <x:row r="214" ht="57" customHeight="1">
      <x:c r="A214" s="14" t="n">
        <x:v>209</x:v>
      </x:c>
      <x:c r="B214" s="11" t="str">
        <x:v>an ninh mạng</x:v>
      </x:c>
      <x:c r="C214" s="11" t="str">
        <x:v>Theo luật Việt Nam được dẫn: sự ổn định, an toàn của không gian mạng và bảo đảm hệ thống, dữ liệu, hoạt động không phương hại lợi ích hợp pháp.</x:v>
      </x:c>
      <x:c r="D214" s="11" t="str">
        <x:v>사이버 안보</x:v>
      </x:c>
      <x:c r="E214" s="11" t="str">
        <x:v>사이버 공간의 안정과 안전을 유지하고 시스템·정보·활동이 국가와 개인의 정당한 이익을 해치지 않도록 하는 개념.</x:v>
      </x:c>
      <x:c r="F214" s="11" t="str">
        <x:v>Định nghĩa chuyên ngành [VI]</x:v>
      </x:c>
      <x:c r="G214" s="17" t="str">
        <x:v>Diễn giải từ định nghĩa VI; cần nguồn KO</x:v>
      </x:c>
      <x:c r="H214" s="11" t="str">
        <x:v>CẦN TRA — chưa xác minh mục từ</x:v>
      </x:c>
      <x:c r="I214" s="11" t="str">
        <x:v>CẦN TRA — chưa xác minh mục từ</x:v>
      </x:c>
      <x:c r="J214" s="21" t="str">
        <x:v>Cần xem xét</x:v>
      </x:c>
      <x:c r="K214" s="21" t="str"/>
      <x:c r="L214" s="16" t="str">
        <x:v>Chưa chốt nhóm</x:v>
      </x:c>
      <x:c r="M214" s="11" t="str">
        <x:v>C073</x:v>
      </x:c>
    </x:row>
    <x:row r="215" ht="57" customHeight="1">
      <x:c r="A215" s="14" t="n">
        <x:v>210</x:v>
      </x:c>
      <x:c r="B215" s="11" t="str">
        <x:v>thượng tôn pháp luật</x:v>
      </x:c>
      <x:c r="C215" s="11" t="str">
        <x:v>Nguyên tắc coi pháp luật là chuẩn mực ràng buộc mọi chủ thể, kể cả cơ quan công quyền.</x:v>
      </x:c>
      <x:c r="D215" s="11" t="str">
        <x:v>법치주의</x:v>
      </x:c>
      <x:c r="E215" s="11" t="str">
        <x:v>국가권력을 비롯한 모든 주체가 법에 따라 행동하고 법적 통제를 받아야 한다는 원칙.</x:v>
      </x:c>
      <x:c r="F215" s="17" t="str">
        <x:v>Diễn giải từ định nghĩa EN; cần nguồn VI</x:v>
      </x:c>
      <x:c r="G215" s="17" t="str">
        <x:v>Diễn giải từ định nghĩa EN; cần nguồn KO</x:v>
      </x:c>
      <x:c r="H215" s="11" t="str">
        <x:v>CẦN TRA — chưa xác minh mục từ</x:v>
      </x:c>
      <x:c r="I215" s="11" t="str">
        <x:v>CẦN TRA — chưa xác minh mục từ</x:v>
      </x:c>
      <x:c r="J215" s="15" t="str">
        <x:v>N3 — 제도·이념</x:v>
      </x:c>
      <x:c r="K215" s="15" t="str">
        <x:v>3.4 | 원칙·규범·권리 — Nguyên tắc, quy phạm, quyền</x:v>
      </x:c>
      <x:c r="L215" s="20" t="str">
        <x:v>Cần đối chiếu/sửa cặp</x:v>
      </x:c>
      <x:c r="M215" s="11" t="str">
        <x:v>C076</x:v>
      </x:c>
    </x:row>
    <x:row r="216" ht="57" customHeight="1">
      <x:c r="A216" s="14" t="n">
        <x:v>211</x:v>
      </x:c>
      <x:c r="B216" s="11" t="str">
        <x:v>quản trị toàn cầu</x:v>
      </x:c>
      <x:c r="C216" s="11" t="str">
        <x:v>Quá trình phối hợp giữa các chủ thể quốc tế để điều hành và giải quyết những vấn đề chung ở quy mô toàn cầu.</x:v>
      </x:c>
      <x:c r="D216" s="11" t="str">
        <x:v>글로벌 거버넌스</x:v>
      </x:c>
      <x:c r="E216" s="11" t="str">
        <x:v>세계적 공동 문제에 대응하기 위해 여러 국제 주체가 조정하고 공동으로 문제를 다루는 과정.</x:v>
      </x:c>
      <x:c r="F216" s="17" t="str">
        <x:v>* Nghĩa làm việc; cần nguồn định nghĩa</x:v>
      </x:c>
      <x:c r="G216" s="17" t="str">
        <x:v>* Nghĩa làm việc; cần nguồn định nghĩa</x:v>
      </x:c>
      <x:c r="H216" s="11" t="str">
        <x:v>CẦN TRA — chưa xác minh mục từ</x:v>
      </x:c>
      <x:c r="I216" s="11" t="str">
        <x:v>CẦN TRA — chưa xác minh mục từ</x:v>
      </x:c>
      <x:c r="J216" s="15" t="str">
        <x:v>N4 — 관계·활동</x:v>
      </x:c>
      <x:c r="K216" s="15" t="str">
        <x:v>4.2 | 활동·과정·사건 — Hoạt động, quá trình, sự kiện, lĩnh vực thực hành</x:v>
      </x:c>
      <x:c r="L216" s="11" t="str">
        <x:v>Cần khóa nghĩa để chốt nhóm</x:v>
      </x:c>
      <x:c r="M216" s="11" t="str">
        <x:v>C085</x:v>
      </x:c>
    </x:row>
    <x:row r="217" ht="57" customHeight="1">
      <x:c r="A217" s="14" t="n">
        <x:v>212</x:v>
      </x:c>
      <x:c r="B217" s="11" t="str">
        <x:v>trật tự quốc tế</x:v>
      </x:c>
      <x:c r="C217" s="11" t="str">
        <x:v>Cách sắp xếp và vận hành các quan hệ, quyền lực, quy tắc và thiết chế trong hệ thống quốc tế.</x:v>
      </x:c>
      <x:c r="D217" s="11" t="str">
        <x:v>국제질서</x:v>
      </x:c>
      <x:c r="E217" s="11" t="str">
        <x:v>국제사회에서 권력 관계·규칙·제도 등이 배열되고 유지되는 질서.</x:v>
      </x:c>
      <x:c r="F217" s="17" t="str">
        <x:v>* Nghĩa làm việc; cần nguồn định nghĩa</x:v>
      </x:c>
      <x:c r="G217" s="17" t="str">
        <x:v>* Nghĩa làm việc; cần nguồn định nghĩa</x:v>
      </x:c>
      <x:c r="H217" s="11" t="str">
        <x:v>CẦN TRA — chưa xác minh mục từ</x:v>
      </x:c>
      <x:c r="I217" s="11" t="str">
        <x:v>CẦN TRA — chưa xác minh mục từ</x:v>
      </x:c>
      <x:c r="J217" s="15" t="str">
        <x:v>N3 — 제도·이념</x:v>
      </x:c>
      <x:c r="K217" s="15" t="str">
        <x:v>3.1 | 제도·체제 — Thể chế, chế độ, cấu trúc cơ chế</x:v>
      </x:c>
      <x:c r="L217" s="11" t="str">
        <x:v>Cần khóa nghĩa để chốt nhóm</x:v>
      </x:c>
      <x:c r="M217" s="11" t="str">
        <x:v>C086</x:v>
      </x:c>
    </x:row>
    <x:row r="218" ht="57" customHeight="1">
      <x:c r="A218" s="14" t="n">
        <x:v>213</x:v>
      </x:c>
      <x:c r="B218" s="11" t="str">
        <x:v>quan hệ quốc tế</x:v>
      </x:c>
      <x:c r="C218" s="11" t="str">
        <x:v>Quan hệ giữa các quốc gia, được xét ở đây trong lĩnh vực chính trị và ngoại giao.</x:v>
      </x:c>
      <x:c r="D218" s="11" t="str">
        <x:v>국제관계</x:v>
      </x:c>
      <x:c r="E218" s="11" t="str">
        <x:v>국가들 사이에 형성되는 관계, 특히 정치·외교적 관계.</x:v>
      </x:c>
      <x:c r="F218" s="17" t="str">
        <x:v>Diễn giải từ mục từ KO; cần nguồn VI</x:v>
      </x:c>
      <x:c r="G218" s="11" t="str">
        <x:v>Mục từ có nghĩa [KO]</x:v>
      </x:c>
      <x:c r="H218" s="11" t="str">
        <x:v>CẦN TRA — chưa xác minh mục từ</x:v>
      </x:c>
      <x:c r="I218" s="11" t="str">
        <x:v>Có mục từ và đã đọc nghĩa</x:v>
      </x:c>
      <x:c r="J218" s="15" t="str">
        <x:v>N4 — 관계·활동</x:v>
      </x:c>
      <x:c r="K218" s="15" t="str">
        <x:v>4.1 | 관계 — Quan hệ</x:v>
      </x:c>
      <x:c r="L218" s="18" t="str">
        <x:v>Ứng viên giữ — có căn cứ khái niệm</x:v>
      </x:c>
      <x:c r="M218" s="11" t="str">
        <x:v>C087</x:v>
      </x:c>
    </x:row>
    <x:row r="219" ht="57" customHeight="1">
      <x:c r="A219" s="14" t="n">
        <x:v>214</x:v>
      </x:c>
      <x:c r="B219" s="11" t="str">
        <x:v>sức mạnh mềm</x:v>
      </x:c>
      <x:c r="C219" s="11" t="str">
        <x:v>Năng lực gây ảnh hưởng bằng sức hấp dẫn và thuyết phục để đạt kết quả mong muốn.</x:v>
      </x:c>
      <x:c r="D219" s="11" t="str">
        <x:v>소프트파워</x:v>
      </x:c>
      <x:c r="E219" s="11" t="str">
        <x:v>매력과 설득을 통해 상대에게 영향을 주어 원하는 결과를 얻는 능력.</x:v>
      </x:c>
      <x:c r="F219" s="17" t="str">
        <x:v>Diễn giải từ định nghĩa EN; cần nguồn VI</x:v>
      </x:c>
      <x:c r="G219" s="17" t="str">
        <x:v>Diễn giải từ định nghĩa EN; cần nguồn KO</x:v>
      </x:c>
      <x:c r="H219" s="11" t="str">
        <x:v>CẦN TRA — chưa xác minh mục từ</x:v>
      </x:c>
      <x:c r="I219" s="11" t="str">
        <x:v>CẦN TRA — chưa xác minh mục từ</x:v>
      </x:c>
      <x:c r="J219" s="21" t="str">
        <x:v>Cần xem xét</x:v>
      </x:c>
      <x:c r="K219" s="21" t="str"/>
      <x:c r="L219" s="16" t="str">
        <x:v>Chưa chốt nhóm</x:v>
      </x:c>
      <x:c r="M219" s="11" t="str">
        <x:v>C088</x:v>
      </x:c>
    </x:row>
    <x:row r="220" ht="57" customHeight="1">
      <x:c r="A220" s="14" t="n">
        <x:v>215</x:v>
      </x:c>
      <x:c r="B220" s="11" t="str">
        <x:v>tin cậy chính trị</x:v>
      </x:c>
      <x:c r="C220" s="11" t="str">
        <x:v>Sự tin tưởng giữa các chủ thể về ý định, cam kết hoặc hành xử chính trị; cần xác định đối tượng và quan hệ cụ thể.</x:v>
      </x:c>
      <x:c r="D220" s="11" t="str">
        <x:v>정치적 신뢰</x:v>
      </x:c>
      <x:c r="E220" s="11" t="str">
        <x:v>정치적 상대의 의도·약속·행동을 믿는 태도 또는 신뢰의 정도.</x:v>
      </x:c>
      <x:c r="F220" s="17" t="str">
        <x:v>* Nghĩa làm việc; cần nguồn định nghĩa</x:v>
      </x:c>
      <x:c r="G220" s="17" t="str">
        <x:v>* Nghĩa làm việc; cần nguồn định nghĩa</x:v>
      </x:c>
      <x:c r="H220" s="11" t="str">
        <x:v>CẦN TRA — chưa xác minh mục từ</x:v>
      </x:c>
      <x:c r="I220" s="11" t="str">
        <x:v>CẦN TRA — chưa xác minh mục từ</x:v>
      </x:c>
      <x:c r="J220" s="21" t="str">
        <x:v>Cần xem xét</x:v>
      </x:c>
      <x:c r="K220" s="21" t="str"/>
      <x:c r="L220" s="16" t="str">
        <x:v>Chưa chốt nhóm</x:v>
      </x:c>
      <x:c r="M220" s="11" t="str">
        <x:v>C089</x:v>
      </x:c>
    </x:row>
    <x:row r="221" ht="57" customHeight="1">
      <x:c r="A221" s="14" t="n">
        <x:v>216</x:v>
      </x:c>
      <x:c r="B221" s="11" t="str">
        <x:v>đa phương hóa</x:v>
      </x:c>
      <x:c r="C221" s="11" t="str">
        <x:v>Trong đối ngoại: mở rộng quan hệ hoặc cách thức xử lý vấn đề sang nhiều bên; có thể là định hướng hoặc quá trình.</x:v>
      </x:c>
      <x:c r="D221" s="11" t="str">
        <x:v>다자화</x:v>
      </x:c>
      <x:c r="E221" s="11" t="str">
        <x:v>대외관계나 문제 해결을 여러 상대와의 관계로 넓히는 방향 또는 과정.</x:v>
      </x:c>
      <x:c r="F221" s="17" t="str">
        <x:v>* Nghĩa làm việc; cần nguồn định nghĩa</x:v>
      </x:c>
      <x:c r="G221" s="17" t="str">
        <x:v>* Nghĩa làm việc; cần nguồn định nghĩa</x:v>
      </x:c>
      <x:c r="H221" s="11" t="str">
        <x:v>CẦN TRA — chưa xác minh mục từ</x:v>
      </x:c>
      <x:c r="I221" s="11" t="str">
        <x:v>CẦN TRA — chưa xác minh mục từ</x:v>
      </x:c>
      <x:c r="J221" s="21" t="str">
        <x:v>Cần xem xét</x:v>
      </x:c>
      <x:c r="K221" s="21" t="str"/>
      <x:c r="L221" s="16" t="str">
        <x:v>Chưa chốt nhóm</x:v>
      </x:c>
      <x:c r="M221" s="11" t="str">
        <x:v>C091</x:v>
      </x:c>
    </x:row>
    <x:row r="222" ht="57" customHeight="1">
      <x:c r="A222" s="14" t="n">
        <x:v>217</x:v>
      </x:c>
      <x:c r="B222" s="11" t="str">
        <x:v>đa dạng hóa</x:v>
      </x:c>
      <x:c r="C222" s="11" t="str">
        <x:v>Làm phong phú đối tác, lĩnh vực hoặc phương thức quan hệ; cần nêu đối tượng được đa dạng hóa.</x:v>
      </x:c>
      <x:c r="D222" s="11" t="str">
        <x:v>다변화</x:v>
      </x:c>
      <x:c r="E222" s="11" t="str">
        <x:v>상대·분야·방식 등을 여러 갈래로 넓히는 일. 대외정책 용례인지 확인이 필요하다.</x:v>
      </x:c>
      <x:c r="F222" s="17" t="str">
        <x:v>* Nghĩa làm việc; cần nguồn định nghĩa</x:v>
      </x:c>
      <x:c r="G222" s="17" t="str">
        <x:v>* Nghĩa làm việc; cần nguồn định nghĩa</x:v>
      </x:c>
      <x:c r="H222" s="11" t="str">
        <x:v>CẦN TRA — chưa xác minh mục từ</x:v>
      </x:c>
      <x:c r="I222" s="11" t="str">
        <x:v>CẦN TRA — chưa xác minh mục từ</x:v>
      </x:c>
      <x:c r="J222" s="21" t="str">
        <x:v>Cần xem xét</x:v>
      </x:c>
      <x:c r="K222" s="21" t="str"/>
      <x:c r="L222" s="16" t="str">
        <x:v>Chưa chốt nhóm</x:v>
      </x:c>
      <x:c r="M222" s="11" t="str">
        <x:v>C092</x:v>
      </x:c>
    </x:row>
    <x:row r="223" ht="57" customHeight="1">
      <x:c r="A223" s="14" t="n">
        <x:v>218</x:v>
      </x:c>
      <x:c r="B223" s="11" t="str">
        <x:v>quản trị đại dương</x:v>
      </x:c>
      <x:c r="C223" s="11" t="str">
        <x:v>Quá trình các chủ thể liên quan phối hợp quản lý, ra quyết định và xử lý những vấn đề về đại dương.</x:v>
      </x:c>
      <x:c r="D223" s="11" t="str">
        <x:v>해양 거버넌스</x:v>
      </x:c>
      <x:c r="E223" s="11" t="str">
        <x:v>해양 문제를 다루기 위해 관련 주체들이 관리와 의사결정을 조정하는 과정.</x:v>
      </x:c>
      <x:c r="F223" s="17" t="str">
        <x:v>* Nghĩa làm việc; cần nguồn định nghĩa</x:v>
      </x:c>
      <x:c r="G223" s="17" t="str">
        <x:v>* Nghĩa làm việc; cần nguồn định nghĩa</x:v>
      </x:c>
      <x:c r="H223" s="11" t="str">
        <x:v>CẦN TRA — chưa xác minh mục từ</x:v>
      </x:c>
      <x:c r="I223" s="11" t="str">
        <x:v>CẦN TRA — chưa xác minh mục từ</x:v>
      </x:c>
      <x:c r="J223" s="15" t="str">
        <x:v>N4 — 관계·활동</x:v>
      </x:c>
      <x:c r="K223" s="15" t="str">
        <x:v>4.2 | 활동·과정·사건 — Hoạt động, quá trình, sự kiện, lĩnh vực thực hành</x:v>
      </x:c>
      <x:c r="L223" s="11" t="str">
        <x:v>Cần khóa nghĩa để chốt nhóm</x:v>
      </x:c>
      <x:c r="M223" s="11" t="str">
        <x:v>C097</x:v>
      </x:c>
    </x:row>
    <x:row r="224" ht="57" customHeight="1">
      <x:c r="A224" s="14" t="n">
        <x:v>219</x:v>
      </x:c>
      <x:c r="B224" s="11" t="str">
        <x:v>hợp tác song phương</x:v>
      </x:c>
      <x:c r="C224" s="11" t="str">
        <x:v>Hoạt động phối hợp giữa hai quốc gia hoặc hai bên nhằm thực hiện mục tiêu chung.</x:v>
      </x:c>
      <x:c r="D224" s="11" t="str">
        <x:v>양자 협력</x:v>
      </x:c>
      <x:c r="E224" s="11" t="str">
        <x:v>두 국가 또는 두 당사자가 공동 목적을 위해 함께 수행하는 활동.</x:v>
      </x:c>
      <x:c r="F224" s="17" t="str">
        <x:v>* Nghĩa làm việc; cần nguồn định nghĩa</x:v>
      </x:c>
      <x:c r="G224" s="17" t="str">
        <x:v>* Nghĩa làm việc; cần nguồn định nghĩa</x:v>
      </x:c>
      <x:c r="H224" s="11" t="str">
        <x:v>CẦN TRA — chưa xác minh mục từ</x:v>
      </x:c>
      <x:c r="I224" s="11" t="str">
        <x:v>CẦN TRA — chưa xác minh mục từ</x:v>
      </x:c>
      <x:c r="J224" s="15" t="str">
        <x:v>N4 — 관계·활동</x:v>
      </x:c>
      <x:c r="K224" s="15" t="str">
        <x:v>4.2 | 활동·과정·사건 — Hoạt động, quá trình, sự kiện, lĩnh vực thực hành</x:v>
      </x:c>
      <x:c r="L224" s="11" t="str">
        <x:v>Cần bổ sung nguồn định nghĩa</x:v>
      </x:c>
      <x:c r="M224" s="11" t="str">
        <x:v>C099</x:v>
      </x:c>
    </x:row>
    <x:row r="225" ht="57" customHeight="1">
      <x:c r="A225" s="14" t="n">
        <x:v>220</x:v>
      </x:c>
      <x:c r="B225" s="11" t="str">
        <x:v>Ủy ban liên chính phủ</x:v>
      </x:c>
      <x:c r="C225" s="11" t="str">
        <x:v>Ủy ban có đại diện các chính phủ để phối hợp hoặc xử lý công việc chung.</x:v>
      </x:c>
      <x:c r="D225" s="11" t="str">
        <x:v>정부 간 위원회</x:v>
      </x:c>
      <x:c r="E225" s="11" t="str">
        <x:v>정부 대표들로 구성되어 공동 업무를 협의·조정하는 위원회.</x:v>
      </x:c>
      <x:c r="F225" s="17" t="str">
        <x:v>* Mô tả chính thức</x:v>
      </x:c>
      <x:c r="G225" s="17" t="str">
        <x:v>* Diễn giải mô tả VI</x:v>
      </x:c>
      <x:c r="H225" s="11" t="str">
        <x:v>CẦN TRA — chưa xác minh mục từ</x:v>
      </x:c>
      <x:c r="I225" s="11" t="str">
        <x:v>CẦN TRA — chưa xác minh mục từ</x:v>
      </x:c>
      <x:c r="J225" s="15" t="str">
        <x:v>N2 — 기관·조직</x:v>
      </x:c>
      <x:c r="K225" s="15" t="str">
        <x:v>2.4 | 기타 조직 — Tổ chức khác</x:v>
      </x:c>
      <x:c r="L225" s="11" t="str">
        <x:v>Cần khóa nghĩa để chốt nhóm</x:v>
      </x:c>
      <x:c r="M225" s="11" t="str">
        <x:v>C100</x:v>
      </x:c>
    </x:row>
    <x:row r="226" ht="57" customHeight="1">
      <x:c r="A226" s="14" t="n">
        <x:v>221</x:v>
      </x:c>
      <x:c r="B226" s="11" t="str">
        <x:v>Ủy ban hỗn hợp</x:v>
      </x:c>
      <x:c r="C226" s="11" t="str">
        <x:v>Ủy ban có thành viên từ các bên tham gia để thực hiện nhiệm vụ chung.</x:v>
      </x:c>
      <x:c r="D226" s="11" t="str">
        <x:v>공동위원회</x:v>
      </x:c>
      <x:c r="E226" s="11" t="str">
        <x:v>관계 당사자들이 함께 구성하여 공동 임무를 수행하는 위원회.</x:v>
      </x:c>
      <x:c r="F226" s="17" t="str">
        <x:v>* Mô tả chính thức</x:v>
      </x:c>
      <x:c r="G226" s="17" t="str">
        <x:v>* Diễn giải mô tả VI</x:v>
      </x:c>
      <x:c r="H226" s="11" t="str">
        <x:v>CẦN TRA — chưa xác minh mục từ</x:v>
      </x:c>
      <x:c r="I226" s="11" t="str">
        <x:v>CẦN TRA — chưa xác minh mục từ</x:v>
      </x:c>
      <x:c r="J226" s="15" t="str">
        <x:v>N2 — 기관·조직</x:v>
      </x:c>
      <x:c r="K226" s="15" t="str">
        <x:v>2.4 | 기타 조직 — Tổ chức khác</x:v>
      </x:c>
      <x:c r="L226" s="11" t="str">
        <x:v>Cần khóa nghĩa để chốt nhóm</x:v>
      </x:c>
      <x:c r="M226" s="11" t="str">
        <x:v>C101</x:v>
      </x:c>
    </x:row>
    <x:row r="227" ht="57" customHeight="1">
      <x:c r="A227" s="14" t="n">
        <x:v>222</x:v>
      </x:c>
      <x:c r="B227" s="11" t="str">
        <x:v>Tham khảo chính trị</x:v>
      </x:c>
      <x:c r="C227" s="11" t="str">
        <x:v>Hoạt động trao đổi, tham khảo và điều phối quan điểm giữa các bên về vấn đề chính trị.</x:v>
      </x:c>
      <x:c r="D227" s="11" t="str">
        <x:v>정치 협의</x:v>
      </x:c>
      <x:c r="E227" s="11" t="str">
        <x:v>당사자들이 정치 현안과 입장에 관하여 의견을 나누고 조율하는 협의 활동.</x:v>
      </x:c>
      <x:c r="F227" s="17" t="str">
        <x:v>* Nghĩa làm việc; cần nguồn định nghĩa</x:v>
      </x:c>
      <x:c r="G227" s="17" t="str">
        <x:v>* Nghĩa làm việc; cần nguồn định nghĩa</x:v>
      </x:c>
      <x:c r="H227" s="11" t="str">
        <x:v>CẦN TRA — chưa xác minh mục từ</x:v>
      </x:c>
      <x:c r="I227" s="11" t="str">
        <x:v>CẦN TRA — chưa xác minh mục từ</x:v>
      </x:c>
      <x:c r="J227" s="15" t="str">
        <x:v>N4 — 관계·활동</x:v>
      </x:c>
      <x:c r="K227" s="15" t="str">
        <x:v>4.2 | 활동·과정·사건 — Hoạt động, quá trình, sự kiện, lĩnh vực thực hành</x:v>
      </x:c>
      <x:c r="L227" s="11" t="str">
        <x:v>Cần khóa nghĩa để chốt nhóm</x:v>
      </x:c>
      <x:c r="M227" s="11" t="str">
        <x:v>C102</x:v>
      </x:c>
    </x:row>
    <x:row r="228" ht="57" customHeight="1">
      <x:c r="A228" s="14" t="n">
        <x:v>223</x:v>
      </x:c>
      <x:c r="B228" s="11" t="str">
        <x:v>Cộng đồng ASEAN</x:v>
      </x:c>
      <x:c r="C228" s="11" t="str">
        <x:v>Khuôn khổ liên kết ASEAN theo ba trụ cột chính trị-an ninh, kinh tế và văn hóa-xã hội.</x:v>
      </x:c>
      <x:c r="D228" s="11" t="str">
        <x:v>아세안 공동체</x:v>
      </x:c>
      <x:c r="E228" s="11" t="str">
        <x:v>정치·안보, 경제, 사회·문화의 세 축을 바탕으로 통합을 추진하는 아세안 공동체 구상과 체계.</x:v>
      </x:c>
      <x:c r="F228" s="17" t="str">
        <x:v>* Diễn giải mô tả EN</x:v>
      </x:c>
      <x:c r="G228" s="17" t="str">
        <x:v>* Diễn giải mô tả EN</x:v>
      </x:c>
      <x:c r="H228" s="11" t="str">
        <x:v>Tên riêng: có nguồn về đối tượng</x:v>
      </x:c>
      <x:c r="I228" s="11" t="str">
        <x:v>Tên riêng: có nguồn về đối tượng</x:v>
      </x:c>
      <x:c r="J228" s="15" t="str">
        <x:v>N3 — 제도·이념</x:v>
      </x:c>
      <x:c r="K228" s="15" t="str">
        <x:v>3.1 | 제도·체제 — Thể chế, chế độ, cấu trúc cơ chế</x:v>
      </x:c>
      <x:c r="L228" s="11" t="str">
        <x:v>Cần khóa nghĩa để chốt nhóm</x:v>
      </x:c>
      <x:c r="M228" s="11" t="str">
        <x:v>C104</x:v>
      </x:c>
    </x:row>
    <x:row r="229" ht="57" customHeight="1">
      <x:c r="A229" s="14" t="n">
        <x:v>224</x:v>
      </x:c>
      <x:c r="B229" s="11" t="str">
        <x:v>Đối thoại Shangri-la</x:v>
      </x:c>
      <x:c r="C229" s="11" t="str">
        <x:v>Hội nghị đối thoại về quốc phòng và an ninh khu vực do IISS tổ chức tại Singapore.</x:v>
      </x:c>
      <x:c r="D229" s="11" t="str">
        <x:v>샹그릴라 대화</x:v>
      </x:c>
      <x:c r="E229" s="11" t="str">
        <x:v>IISS가 싱가포르에서 개최하는 아시아·태평양 지역의 국방·안보 대화 회의.</x:v>
      </x:c>
      <x:c r="F229" s="17" t="str">
        <x:v>* Diễn giải mô tả EN</x:v>
      </x:c>
      <x:c r="G229" s="17" t="str">
        <x:v>* Diễn giải mô tả EN</x:v>
      </x:c>
      <x:c r="H229" s="11" t="str">
        <x:v>Tên riêng: có nguồn về đối tượng</x:v>
      </x:c>
      <x:c r="I229" s="11" t="str">
        <x:v>Tên riêng: có nguồn về đối tượng</x:v>
      </x:c>
      <x:c r="J229" s="15" t="str">
        <x:v>N4 — 관계·활동</x:v>
      </x:c>
      <x:c r="K229" s="15" t="str">
        <x:v>4.2 | 활동·과정·사건 — Hoạt động, quá trình, sự kiện, lĩnh vực thực hành</x:v>
      </x:c>
      <x:c r="L229" s="18" t="str">
        <x:v>Ứng viên giữ — có căn cứ khái niệm</x:v>
      </x:c>
      <x:c r="M229" s="11" t="str">
        <x:v>C105</x:v>
      </x:c>
    </x:row>
    <x:row r="230" ht="57" customHeight="1">
      <x:c r="A230" s="14" t="n">
        <x:v>225</x:v>
      </x:c>
      <x:c r="B230" s="11" t="str">
        <x:v>hợp tác Mekong-Lan Thương</x:v>
      </x:c>
      <x:c r="C230" s="11" t="str">
        <x:v>Cơ chế hợp tác giữa sáu quốc gia ven sông Mê Công–Lan Thương, nếu biểu thức là tên riêng MLC.</x:v>
      </x:c>
      <x:c r="D230" s="11" t="str">
        <x:v>메콩-란창 협력</x:v>
      </x:c>
      <x:c r="E230" s="11" t="str">
        <x:v>메콩·란창강 유역의 여섯 나라가 참여하는 협력 체계.</x:v>
      </x:c>
      <x:c r="F230" s="17" t="str">
        <x:v>* Mô tả chính thức</x:v>
      </x:c>
      <x:c r="G230" s="17" t="str">
        <x:v>* Diễn giải mô tả VI</x:v>
      </x:c>
      <x:c r="H230" s="11" t="str">
        <x:v>Tên riêng: có nguồn về đối tượng</x:v>
      </x:c>
      <x:c r="I230" s="11" t="str">
        <x:v>Tên riêng: có nguồn về đối tượng</x:v>
      </x:c>
      <x:c r="J230" s="15" t="str">
        <x:v>N3 — 제도·이념</x:v>
      </x:c>
      <x:c r="K230" s="15" t="str">
        <x:v>3.1 | 제도·체제 — Thể chế, chế độ, cấu trúc cơ chế</x:v>
      </x:c>
      <x:c r="L230" s="11" t="str">
        <x:v>Cần khóa nghĩa để chốt nhóm</x:v>
      </x:c>
      <x:c r="M230" s="11" t="str">
        <x:v>C107</x:v>
      </x:c>
    </x:row>
    <x:row r="231" ht="57" customHeight="1">
      <x:c r="A231" s="14" t="n">
        <x:v>226</x:v>
      </x:c>
      <x:c r="B231" s="11" t="str">
        <x:v>Ủy ban chỉ đạo hợp tác song phương</x:v>
      </x:c>
      <x:c r="C231" s="11" t="str">
        <x:v>Ủy ban được giao chỉ đạo và điều phối hợp tác giữa hai bên.</x:v>
      </x:c>
      <x:c r="D231" s="11" t="str">
        <x:v>양자협력지도위원회</x:v>
      </x:c>
      <x:c r="E231" s="11" t="str">
        <x:v>양자 협력을 지도하고 조정하는 임무를 맡은 위원회.</x:v>
      </x:c>
      <x:c r="F231" s="17" t="str">
        <x:v>* Mô tả chính thức</x:v>
      </x:c>
      <x:c r="G231" s="17" t="str">
        <x:v>* Diễn giải mô tả VI</x:v>
      </x:c>
      <x:c r="H231" s="11" t="str">
        <x:v>CẦN TRA — chưa xác minh mục từ</x:v>
      </x:c>
      <x:c r="I231" s="11" t="str">
        <x:v>CẦN TRA — chưa xác minh mục từ</x:v>
      </x:c>
      <x:c r="J231" s="15" t="str">
        <x:v>N2 — 기관·조직</x:v>
      </x:c>
      <x:c r="K231" s="15" t="str">
        <x:v>2.4 | 기타 조직 — Tổ chức khác</x:v>
      </x:c>
      <x:c r="L231" s="11" t="str">
        <x:v>Cần khóa nghĩa để chốt nhóm</x:v>
      </x:c>
      <x:c r="M231" s="11" t="str">
        <x:v>C108</x:v>
      </x:c>
    </x:row>
    <x:row r="232" ht="57" customHeight="1">
      <x:c r="A232" s="14" t="n">
        <x:v>227</x:v>
      </x:c>
      <x:c r="B232" s="11" t="str">
        <x:v>đàm phán</x:v>
      </x:c>
      <x:c r="C232" s="11" t="str">
        <x:v>Quá trình các bên có lợi ích hoặc quan điểm khác nhau trao đổi để đạt thỏa thuận hoặc giải quyết vấn đề.</x:v>
      </x:c>
      <x:c r="D232" s="11" t="str">
        <x:v>협상</x:v>
      </x:c>
      <x:c r="E232" s="11" t="str">
        <x:v>입장이 다른 당사자들이 합의나 문제 해결을 위해 조건과 의견을 조정하는 논의 과정.</x:v>
      </x:c>
      <x:c r="F232" s="17" t="str">
        <x:v>* Nghĩa làm việc; cần nguồn định nghĩa</x:v>
      </x:c>
      <x:c r="G232" s="11" t="str">
        <x:v>Mục từ có nghĩa [KO]</x:v>
      </x:c>
      <x:c r="H232" s="11" t="str">
        <x:v>CẦN TRA — chưa xác minh mục từ</x:v>
      </x:c>
      <x:c r="I232" s="11" t="str">
        <x:v>Có mục từ và đã đọc nghĩa</x:v>
      </x:c>
      <x:c r="J232" s="15" t="str">
        <x:v>N4 — 관계·활동</x:v>
      </x:c>
      <x:c r="K232" s="15" t="str">
        <x:v>4.2 | 활동·과정·사건 — Hoạt động, quá trình, sự kiện, lĩnh vực thực hành</x:v>
      </x:c>
      <x:c r="L232" s="11" t="str">
        <x:v>Cần bổ sung nguồn định nghĩa</x:v>
      </x:c>
      <x:c r="M232" s="11" t="str">
        <x:v>C109</x:v>
      </x:c>
    </x:row>
    <x:row r="233" ht="57" customHeight="1">
      <x:c r="A233" s="14" t="n">
        <x:v>228</x:v>
      </x:c>
      <x:c r="B233" s="11" t="str">
        <x:v>phê chuẩn</x:v>
      </x:c>
      <x:c r="C233" s="11" t="str">
        <x:v>Hành vi quốc gia xác nhận sự đồng ý cuối cùng đối với điều ước theo thủ tục có thẩm quyền.</x:v>
      </x:c>
      <x:c r="D233" s="11" t="str">
        <x:v>비준</x:v>
      </x:c>
      <x:c r="E233" s="11" t="str">
        <x:v>국가가 조약에 대한 최종적인 동의를 정해진 절차에 따라 확인하는 행위.</x:v>
      </x:c>
      <x:c r="F233" s="17" t="str">
        <x:v>* Nghĩa làm việc; cần nguồn định nghĩa</x:v>
      </x:c>
      <x:c r="G233" s="11" t="str">
        <x:v>Mục từ có nghĩa [KO]</x:v>
      </x:c>
      <x:c r="H233" s="11" t="str">
        <x:v>CẦN TRA — chưa xác minh mục từ</x:v>
      </x:c>
      <x:c r="I233" s="11" t="str">
        <x:v>Có mục từ và đã đọc nghĩa</x:v>
      </x:c>
      <x:c r="J233" s="15" t="str">
        <x:v>N4 — 관계·활동</x:v>
      </x:c>
      <x:c r="K233" s="15" t="str">
        <x:v>4.2 | 활동·과정·사건 — Hoạt động, quá trình, sự kiện, lĩnh vực thực hành</x:v>
      </x:c>
      <x:c r="L233" s="11" t="str">
        <x:v>Cần bổ sung nguồn định nghĩa</x:v>
      </x:c>
      <x:c r="M233" s="11" t="str">
        <x:v>C110</x:v>
      </x:c>
    </x:row>
    <x:row r="234" ht="57" customHeight="1">
      <x:c r="A234" s="14" t="n">
        <x:v>229</x:v>
      </x:c>
      <x:c r="B234" s="11" t="str">
        <x:v>hoạt động gìn giữ hòa bình</x:v>
      </x:c>
      <x:c r="C234" s="11" t="str">
        <x:v>Hoạt động hỗ trợ duy trì hòa bình, an ninh và tạo điều kiện cho hòa bình bền vững tại khu vực xung đột.</x:v>
      </x:c>
      <x:c r="D234" s="11" t="str">
        <x:v>평화유지활동</x:v>
      </x:c>
      <x:c r="E234" s="11" t="str">
        <x:v>분쟁 지역의 평화와 안정 및 분쟁 이후 평화 정착을 지원하기 위해 수행하는 활동.</x:v>
      </x:c>
      <x:c r="F234" s="17" t="str">
        <x:v>* Diễn giải mô tả EN</x:v>
      </x:c>
      <x:c r="G234" s="17" t="str">
        <x:v>* Diễn giải mô tả EN</x:v>
      </x:c>
      <x:c r="H234" s="11" t="str">
        <x:v>CẦN TRA — chưa xác minh mục từ</x:v>
      </x:c>
      <x:c r="I234" s="11" t="str">
        <x:v>CẦN TRA — chưa xác minh mục từ</x:v>
      </x:c>
      <x:c r="J234" s="15" t="str">
        <x:v>N4 — 관계·활동</x:v>
      </x:c>
      <x:c r="K234" s="15" t="str">
        <x:v>4.2 | 활동·과정·사건 — Hoạt động, quá trình, sự kiện, lĩnh vực thực hành</x:v>
      </x:c>
      <x:c r="L234" s="18" t="str">
        <x:v>Ứng viên giữ — có căn cứ khái niệm</x:v>
      </x:c>
      <x:c r="M234" s="11" t="str">
        <x:v>C114</x:v>
      </x:c>
    </x:row>
    <x:row r="235" ht="57" customHeight="1">
      <x:c r="A235" s="14" t="n">
        <x:v>230</x:v>
      </x:c>
      <x:c r="B235" s="11" t="str">
        <x:v>bảo hộ công dân</x:v>
      </x:c>
      <x:c r="C235" s="11" t="str">
        <x:v>Hoạt động của cơ quan có thẩm quyền nhằm bảo vệ an toàn, quyền và lợi ích hợp pháp của công dân ở nước ngoài.</x:v>
      </x:c>
      <x:c r="D235" s="11" t="str">
        <x:v>영사 보호</x:v>
      </x:c>
      <x:c r="E235" s="11" t="str">
        <x:v>영사 업무를 통해 해외에 있는 자국민 등의 정당한 권익을 보호하고 필요한 지원을 제공하는 활동.</x:v>
      </x:c>
      <x:c r="F235" s="17" t="str">
        <x:v>* Nghĩa làm việc; cần nguồn định nghĩa</x:v>
      </x:c>
      <x:c r="G235" s="17" t="str">
        <x:v>* Mô tả chính thức</x:v>
      </x:c>
      <x:c r="H235" s="11" t="str">
        <x:v>CẦN TRA — chưa xác minh mục từ</x:v>
      </x:c>
      <x:c r="I235" s="11" t="str">
        <x:v>CẦN TRA — chưa xác minh mục từ</x:v>
      </x:c>
      <x:c r="J235" s="15" t="str">
        <x:v>N4 — 관계·활동</x:v>
      </x:c>
      <x:c r="K235" s="15" t="str">
        <x:v>4.2 | 활동·과정·사건 — Hoạt động, quá trình, sự kiện, lĩnh vực thực hành</x:v>
      </x:c>
      <x:c r="L235" s="20" t="str">
        <x:v>Cần đối chiếu/sửa cặp</x:v>
      </x:c>
      <x:c r="M235" s="11" t="str">
        <x:v>C117</x:v>
      </x:c>
    </x:row>
    <x:row r="236" ht="57" customHeight="1">
      <x:c r="A236" s="14" t="n">
        <x:v>231</x:v>
      </x:c>
      <x:c r="B236" s="11" t="str">
        <x:v>lễ mở ký</x:v>
      </x:c>
      <x:c r="C236" s="11" t="str">
        <x:v>Sự kiện chính thức bắt đầu giai đoạn một điều ước được mở cho các chủ thể có quyền tham gia ký.</x:v>
      </x:c>
      <x:c r="D236" s="11" t="str">
        <x:v>서명식</x:v>
      </x:c>
      <x:c r="E236" s="11" t="str">
        <x:v>당사자들이 문서에 서명하는 공식 행사. 서명 개방 행사를 뜻하는지는 별도의 문맥 확인이 필요하다.</x:v>
      </x:c>
      <x:c r="F236" s="17" t="str">
        <x:v>* Diễn giải mô tả EN</x:v>
      </x:c>
      <x:c r="G236" s="17" t="str">
        <x:v>* Nghĩa làm việc; cần nguồn định nghĩa</x:v>
      </x:c>
      <x:c r="H236" s="11" t="str">
        <x:v>CẦN TRA — chưa xác minh mục từ</x:v>
      </x:c>
      <x:c r="I236" s="11" t="str">
        <x:v>CẦN TRA — chưa xác minh mục từ</x:v>
      </x:c>
      <x:c r="J236" s="15" t="str">
        <x:v>N4 — 관계·활동</x:v>
      </x:c>
      <x:c r="K236" s="15" t="str">
        <x:v>4.2 | 활동·과정·사건 — Hoạt động, quá trình, sự kiện, lĩnh vực thực hành</x:v>
      </x:c>
      <x:c r="L236" s="20" t="str">
        <x:v>Cần đối chiếu/sửa cặp</x:v>
      </x:c>
      <x:c r="M236" s="11" t="str">
        <x:v>C122</x:v>
      </x:c>
    </x:row>
    <x:row r="237" ht="57" customHeight="1">
      <x:c r="A237" s="14" t="n">
        <x:v>232</x:v>
      </x:c>
      <x:c r="B237" s="11" t="str">
        <x:v>tương trợ tư pháp</x:v>
      </x:c>
      <x:c r="C237" s="11" t="str">
        <x:v>Hoạt động cơ quan có thẩm quyền của các nước hỗ trợ nhau thực hiện công việc tư pháp như tống đạt và thu thập chứng cứ.</x:v>
      </x:c>
      <x:c r="D237" s="11" t="str">
        <x:v>사법공조</x:v>
      </x:c>
      <x:c r="E237" s="11" t="str">
        <x:v>국가의 권한 있는 기관들이 문서 송달·증거 수집 등 사법 업무의 수행을 서로 지원하는 활동.</x:v>
      </x:c>
      <x:c r="F237" s="17" t="str">
        <x:v>Diễn giải từ mục từ KO; cần nguồn VI</x:v>
      </x:c>
      <x:c r="G237" s="11" t="str">
        <x:v>Mục từ có nghĩa [KO]</x:v>
      </x:c>
      <x:c r="H237" s="11" t="str">
        <x:v>CẦN TRA — chưa xác minh mục từ</x:v>
      </x:c>
      <x:c r="I237" s="11" t="str">
        <x:v>Chỉ có mục gần/khác dạng; cần tra tiếp</x:v>
      </x:c>
      <x:c r="J237" s="15" t="str">
        <x:v>N4 — 관계·활동</x:v>
      </x:c>
      <x:c r="K237" s="15" t="str">
        <x:v>4.2 | 활동·과정·사건 — Hoạt động, quá trình, sự kiện, lĩnh vực thực hành</x:v>
      </x:c>
      <x:c r="L237" s="18" t="str">
        <x:v>Ứng viên giữ — có căn cứ khái niệm</x:v>
      </x:c>
      <x:c r="M237" s="11" t="str">
        <x:v>C123</x:v>
      </x:c>
    </x:row>
    <x:row r="238" ht="57" customHeight="1">
      <x:c r="A238" s="14" t="n">
        <x:v>233</x:v>
      </x:c>
      <x:c r="B238" s="11" t="str">
        <x:v>viện trợ không hoàn lại</x:v>
      </x:c>
      <x:c r="C238" s="11" t="str">
        <x:v>Hình thức hỗ trợ không đặt nghĩa vụ hoàn trả cho bên nhận; tại đây chọn nghĩa hoạt động viện trợ.</x:v>
      </x:c>
      <x:c r="D238" s="11" t="str">
        <x:v>무상원조</x:v>
      </x:c>
      <x:c r="E238" s="11" t="str">
        <x:v>수원 측에 상환 의무를 부과하지 않는 원조. 여기서는 그 지원 활동의 형태를 선택한다.</x:v>
      </x:c>
      <x:c r="F238" s="17" t="str">
        <x:v>Diễn giải từ định nghĩa KO; cần nguồn VI</x:v>
      </x:c>
      <x:c r="G238" s="11" t="str">
        <x:v>Định nghĩa chuyên ngành [KO]</x:v>
      </x:c>
      <x:c r="H238" s="11" t="str">
        <x:v>CẦN TRA — chưa xác minh mục từ</x:v>
      </x:c>
      <x:c r="I238" s="11" t="str">
        <x:v>CẦN TRA — chưa xác minh mục từ</x:v>
      </x:c>
      <x:c r="J238" s="15" t="str">
        <x:v>N4 — 관계·활동</x:v>
      </x:c>
      <x:c r="K238" s="15" t="str">
        <x:v>4.2 | 활동·과정·사건 — Hoạt động, quá trình, sự kiện, lĩnh vực thực hành</x:v>
      </x:c>
      <x:c r="L238" s="11" t="str">
        <x:v>Cần khóa nghĩa để chốt nhóm</x:v>
      </x:c>
      <x:c r="M238" s="11" t="str">
        <x:v>C125</x:v>
      </x:c>
    </x:row>
    <x:row r="239" ht="57" customHeight="1">
      <x:c r="A239" s="14" t="n">
        <x:v>234</x:v>
      </x:c>
      <x:c r="B239" s="11" t="str">
        <x:v>trao đổi đoàn</x:v>
      </x:c>
      <x:c r="C239" s="11" t="str">
        <x:v>Hoạt động các bên cử và tiếp nhận đoàn đại biểu để tiếp xúc, trao đổi và làm việc.</x:v>
      </x:c>
      <x:c r="D239" s="11" t="str">
        <x:v>대표단 교류</x:v>
      </x:c>
      <x:c r="E239" s="11" t="str">
        <x:v>당사자들이 대표단을 서로 보내고 맞이하여 접촉과 협의를 진행하는 활동.</x:v>
      </x:c>
      <x:c r="F239" s="17" t="str">
        <x:v>* Nghĩa làm việc; cần nguồn định nghĩa</x:v>
      </x:c>
      <x:c r="G239" s="17" t="str">
        <x:v>* Nghĩa làm việc; cần nguồn định nghĩa</x:v>
      </x:c>
      <x:c r="H239" s="11" t="str">
        <x:v>CẦN TRA — chưa xác minh mục từ</x:v>
      </x:c>
      <x:c r="I239" s="11" t="str">
        <x:v>CẦN TRA — chưa xác minh mục từ</x:v>
      </x:c>
      <x:c r="J239" s="15" t="str">
        <x:v>N4 — 관계·활동</x:v>
      </x:c>
      <x:c r="K239" s="15" t="str">
        <x:v>4.2 | 활동·과정·사건 — Hoạt động, quá trình, sự kiện, lĩnh vực thực hành</x:v>
      </x:c>
      <x:c r="L239" s="11" t="str">
        <x:v>Cần bổ sung nguồn định nghĩa</x:v>
      </x:c>
      <x:c r="M239" s="11" t="str">
        <x:v>C127</x:v>
      </x:c>
    </x:row>
    <x:row r="240" ht="57" customHeight="1">
      <x:c r="A240" s="14" t="n">
        <x:v>235</x:v>
      </x:c>
      <x:c r="B240" s="11" t="str">
        <x:v>hợp tác địa phương</x:v>
      </x:c>
      <x:c r="C240" s="11" t="str">
        <x:v>Hoạt động phối hợp, giao lưu và thực hiện công việc chung giữa các địa phương.</x:v>
      </x:c>
      <x:c r="D240" s="11" t="str">
        <x:v>지방 협력</x:v>
      </x:c>
      <x:c r="E240" s="11" t="str">
        <x:v>여러 지방 정부나 지역 주체가 교류와 공동 사업을 추진하는 협력 활동.</x:v>
      </x:c>
      <x:c r="F240" s="17" t="str">
        <x:v>* Nghĩa làm việc; cần nguồn định nghĩa</x:v>
      </x:c>
      <x:c r="G240" s="17" t="str">
        <x:v>* Nghĩa làm việc; cần nguồn định nghĩa</x:v>
      </x:c>
      <x:c r="H240" s="11" t="str">
        <x:v>CẦN TRA — chưa xác minh mục từ</x:v>
      </x:c>
      <x:c r="I240" s="11" t="str">
        <x:v>CẦN TRA — chưa xác minh mục từ</x:v>
      </x:c>
      <x:c r="J240" s="15" t="str">
        <x:v>N4 — 관계·활동</x:v>
      </x:c>
      <x:c r="K240" s="15" t="str">
        <x:v>4.2 | 활동·과정·사건 — Hoạt động, quá trình, sự kiện, lĩnh vực thực hành</x:v>
      </x:c>
      <x:c r="L240" s="11" t="str">
        <x:v>Cần bổ sung nguồn định nghĩa</x:v>
      </x:c>
      <x:c r="M240" s="11" t="str">
        <x:v>C128</x:v>
      </x:c>
    </x:row>
    <x:row r="241" ht="57" customHeight="1">
      <x:c r="A241" s="14" t="n">
        <x:v>236</x:v>
      </x:c>
      <x:c r="B241" s="11" t="str">
        <x:v>những cuộc gặp gỡ giữa các vị lãnh đạo cấp cao hai bên</x:v>
      </x:c>
      <x:c r="C241" s="11" t="str">
        <x:v>Cụm diễn đạt các cuộc tiếp xúc và trao đổi giữa những người lãnh đạo cấp cao của hai bên.</x:v>
      </x:c>
      <x:c r="D241" s="11" t="str">
        <x:v>고위급 회담</x:v>
      </x:c>
      <x:c r="E241" s="11" t="str">
        <x:v>고위급 관계자들이 만나 주요 현안이나 협력 문제를 논의하는 회담.</x:v>
      </x:c>
      <x:c r="F241" s="17" t="str">
        <x:v>* Nghĩa làm việc; cần nguồn định nghĩa</x:v>
      </x:c>
      <x:c r="G241" s="17" t="str">
        <x:v>* Nghĩa làm việc; cần nguồn định nghĩa</x:v>
      </x:c>
      <x:c r="H241" s="11" t="str">
        <x:v>CẦN TRA — chưa xác minh mục từ</x:v>
      </x:c>
      <x:c r="I241" s="11" t="str">
        <x:v>CẦN TRA — chưa xác minh mục từ</x:v>
      </x:c>
      <x:c r="J241" s="15" t="str">
        <x:v>N4 — 관계·활동</x:v>
      </x:c>
      <x:c r="K241" s="15" t="str">
        <x:v>4.2 | 활동·과정·사건 — Hoạt động, quá trình, sự kiện, lĩnh vực thực hành</x:v>
      </x:c>
      <x:c r="L241" s="20" t="str">
        <x:v>Biểu thức ngữ liệu — cần chuẩn hóa</x:v>
      </x:c>
      <x:c r="M241" s="11" t="str">
        <x:v>C129</x:v>
      </x:c>
    </x:row>
    <x:row r="242" ht="57" customHeight="1">
      <x:c r="A242" s="14" t="n">
        <x:v>237</x:v>
      </x:c>
      <x:c r="B242" s="11" t="str">
        <x:v>Hợp tác kênh Đảng</x:v>
      </x:c>
      <x:c r="C242" s="11" t="str">
        <x:v>Hoạt động hợp tác được tiến hành thông qua quan hệ giữa các chính đảng.</x:v>
      </x:c>
      <x:c r="D242" s="11" t="str">
        <x:v>당 대 당 협력</x:v>
      </x:c>
      <x:c r="E242" s="11" t="str">
        <x:v>정당들이 서로 접촉·교류하고 공동 과제를 추진하는 협력 활동.</x:v>
      </x:c>
      <x:c r="F242" s="17" t="str">
        <x:v>* Nghĩa làm việc; cần nguồn định nghĩa</x:v>
      </x:c>
      <x:c r="G242" s="17" t="str">
        <x:v>* Nghĩa làm việc; cần nguồn định nghĩa</x:v>
      </x:c>
      <x:c r="H242" s="11" t="str">
        <x:v>CẦN TRA — chưa xác minh mục từ</x:v>
      </x:c>
      <x:c r="I242" s="11" t="str">
        <x:v>CẦN TRA — chưa xác minh mục từ</x:v>
      </x:c>
      <x:c r="J242" s="15" t="str">
        <x:v>N4 — 관계·활동</x:v>
      </x:c>
      <x:c r="K242" s="15" t="str">
        <x:v>4.2 | 활동·과정·사건 — Hoạt động, quá trình, sự kiện, lĩnh vực thực hành</x:v>
      </x:c>
      <x:c r="L242" s="11" t="str">
        <x:v>Cần bổ sung nguồn định nghĩa</x:v>
      </x:c>
      <x:c r="M242" s="11" t="str">
        <x:v>C130</x:v>
      </x:c>
    </x:row>
    <x:row r="243" ht="57" customHeight="1">
      <x:c r="A243" s="14" t="n">
        <x:v>238</x:v>
      </x:c>
      <x:c r="B243" s="11" t="str">
        <x:v>ngoại giao Nhà nước</x:v>
      </x:c>
      <x:c r="C243" s="11" t="str">
        <x:v>Kênh hoặc lĩnh vực ngoại giao do các cơ quan và đại diện chính thức của Nhà nước thực hiện.</x:v>
      </x:c>
      <x:c r="D243" s="11" t="str">
        <x:v>국가 외교</x:v>
      </x:c>
      <x:c r="E243" s="11" t="str">
        <x:v>국가의 공식 기관과 대표가 수행하는 외교 활동의 영역.</x:v>
      </x:c>
      <x:c r="F243" s="17" t="str">
        <x:v>* Nghĩa làm việc; cần nguồn định nghĩa</x:v>
      </x:c>
      <x:c r="G243" s="17" t="str">
        <x:v>* Nghĩa làm việc; cần nguồn định nghĩa</x:v>
      </x:c>
      <x:c r="H243" s="11" t="str">
        <x:v>CẦN TRA — chưa xác minh mục từ</x:v>
      </x:c>
      <x:c r="I243" s="11" t="str">
        <x:v>CẦN TRA — chưa xác minh mục từ</x:v>
      </x:c>
      <x:c r="J243" s="15" t="str">
        <x:v>N4 — 관계·활동</x:v>
      </x:c>
      <x:c r="K243" s="15" t="str">
        <x:v>4.2 | 활동·과정·사건 — Hoạt động, quá trình, sự kiện, lĩnh vực thực hành</x:v>
      </x:c>
      <x:c r="L243" s="11" t="str">
        <x:v>Cần bổ sung nguồn định nghĩa</x:v>
      </x:c>
      <x:c r="M243" s="11" t="str">
        <x:v>C132</x:v>
      </x:c>
    </x:row>
    <x:row r="244" ht="57" customHeight="1">
      <x:c r="A244" s="14" t="n">
        <x:v>239</x:v>
      </x:c>
      <x:c r="B244" s="11" t="str">
        <x:v>ngoại giao láng giềng</x:v>
      </x:c>
      <x:c r="C244" s="11" t="str">
        <x:v>Lĩnh vực hoạt động ngoại giao đối với các quốc gia láng giềng nhằm duy trì và phát triển quan hệ.</x:v>
      </x:c>
      <x:c r="D244" s="11" t="str">
        <x:v>주변 외교</x:v>
      </x:c>
      <x:c r="E244" s="11" t="str">
        <x:v>주변 국가들과의 관계를 유지·발전시키기 위해 수행하는 외교 활동.</x:v>
      </x:c>
      <x:c r="F244" s="17" t="str">
        <x:v>* Nghĩa làm việc; cần nguồn định nghĩa</x:v>
      </x:c>
      <x:c r="G244" s="17" t="str">
        <x:v>* Nghĩa làm việc; cần nguồn định nghĩa</x:v>
      </x:c>
      <x:c r="H244" s="11" t="str">
        <x:v>CẦN TRA — chưa xác minh mục từ</x:v>
      </x:c>
      <x:c r="I244" s="11" t="str">
        <x:v>CẦN TRA — chưa xác minh mục từ</x:v>
      </x:c>
      <x:c r="J244" s="15" t="str">
        <x:v>N4 — 관계·활동</x:v>
      </x:c>
      <x:c r="K244" s="15" t="str">
        <x:v>4.2 | 활동·과정·사건 — Hoạt động, quá trình, sự kiện, lĩnh vực thực hành</x:v>
      </x:c>
      <x:c r="L244" s="11" t="str">
        <x:v>Cần ngữ cảnh song ngữ</x:v>
      </x:c>
      <x:c r="M244" s="11" t="str">
        <x:v>C133</x:v>
      </x:c>
    </x:row>
    <x:row r="245" ht="57" customHeight="1">
      <x:c r="A245" s="14" t="n">
        <x:v>240</x:v>
      </x:c>
      <x:c r="B245" s="11" t="str">
        <x:v>hợp tác tư pháp</x:v>
      </x:c>
      <x:c r="C245" s="11" t="str">
        <x:v>Hoạt động phối hợp, trao đổi giữa các quốc gia hoặc cơ quan liên quan trong lĩnh vực tư pháp.</x:v>
      </x:c>
      <x:c r="D245" s="11" t="str">
        <x:v>사법 협력</x:v>
      </x:c>
      <x:c r="E245" s="11" t="str">
        <x:v>국가와 관련 기관들이 사법 분야에서 교류하고 공동 과제를 추진하는 협력.</x:v>
      </x:c>
      <x:c r="F245" s="17" t="str">
        <x:v>* Nghĩa làm việc; cần nguồn định nghĩa</x:v>
      </x:c>
      <x:c r="G245" s="17" t="str">
        <x:v>* Nghĩa làm việc; cần nguồn định nghĩa</x:v>
      </x:c>
      <x:c r="H245" s="11" t="str">
        <x:v>CẦN TRA — chưa xác minh mục từ</x:v>
      </x:c>
      <x:c r="I245" s="11" t="str">
        <x:v>CẦN TRA — chưa xác minh mục từ</x:v>
      </x:c>
      <x:c r="J245" s="15" t="str">
        <x:v>N4 — 관계·활동</x:v>
      </x:c>
      <x:c r="K245" s="15" t="str">
        <x:v>4.2 | 활동·과정·사건 — Hoạt động, quá trình, sự kiện, lĩnh vực thực hành</x:v>
      </x:c>
      <x:c r="L245" s="11" t="str">
        <x:v>Cần bổ sung nguồn định nghĩa</x:v>
      </x:c>
      <x:c r="M245" s="11" t="str">
        <x:v>C134</x:v>
      </x:c>
    </x:row>
    <x:row r="246" ht="57" customHeight="1">
      <x:c r="A246" s="14" t="n">
        <x:v>241</x:v>
      </x:c>
      <x:c r="B246" s="11" t="str">
        <x:v>hợp tác phát triển</x:v>
      </x:c>
      <x:c r="C246" s="11" t="str">
        <x:v>Hoạt động hợp tác quốc tế nhằm giảm nghèo, thu hẹp chênh lệch phát triển và nâng cao năng lực, phúc lợi ở các nước đang phát triển.</x:v>
      </x:c>
      <x:c r="D246" s="11" t="str">
        <x:v>개발 협력</x:v>
      </x:c>
      <x:c r="E246" s="11" t="str">
        <x:v>개도국의 빈곤과 발전 격차를 줄이고 복지·역량을 높이기 위해 국제 주체들이 함께 수행하는 활동.</x:v>
      </x:c>
      <x:c r="F246" s="17" t="str">
        <x:v>Diễn giải từ định nghĩa KO; cần nguồn VI</x:v>
      </x:c>
      <x:c r="G246" s="11" t="str">
        <x:v>Định nghĩa chuyên ngành [KO]</x:v>
      </x:c>
      <x:c r="H246" s="11" t="str">
        <x:v>CẦN TRA — chưa xác minh mục từ</x:v>
      </x:c>
      <x:c r="I246" s="11" t="str">
        <x:v>CẦN TRA — chưa xác minh mục từ</x:v>
      </x:c>
      <x:c r="J246" s="15" t="str">
        <x:v>N4 — 관계·활동</x:v>
      </x:c>
      <x:c r="K246" s="15" t="str">
        <x:v>4.2 | 활동·과정·사건 — Hoạt động, quá trình, sự kiện, lĩnh vực thực hành</x:v>
      </x:c>
      <x:c r="L246" s="18" t="str">
        <x:v>Ứng viên giữ — có căn cứ khái niệm</x:v>
      </x:c>
      <x:c r="M246" s="11" t="str">
        <x:v>C135</x:v>
      </x:c>
    </x:row>
    <x:row r="247" ht="57" customHeight="1">
      <x:c r="A247" s="14" t="n">
        <x:v>242</x:v>
      </x:c>
      <x:c r="B247" s="11" t="str">
        <x:v>Tuyên bố chung</x:v>
      </x:c>
      <x:c r="C247" s="11" t="str">
        <x:v>Loại văn bản do các bên cùng công bố để thể hiện lập trường hoặc những nội dung đã nhất trí.</x:v>
      </x:c>
      <x:c r="D247" s="11" t="str">
        <x:v>공동성명</x:v>
      </x:c>
      <x:c r="E247" s="11" t="str">
        <x:v>여러 당사자가 공동 입장이나 합의 사항을 함께 발표한 문서.</x:v>
      </x:c>
      <x:c r="F247" s="17" t="str">
        <x:v>* Diễn giải mô tả KO</x:v>
      </x:c>
      <x:c r="G247" s="17" t="str">
        <x:v>* Mô tả chính thức</x:v>
      </x:c>
      <x:c r="H247" s="11" t="str">
        <x:v>CẦN TRA — chưa xác minh mục từ</x:v>
      </x:c>
      <x:c r="I247" s="11" t="str">
        <x:v>CẦN TRA — chưa xác minh mục từ</x:v>
      </x:c>
      <x:c r="J247" s="15" t="str">
        <x:v>N5 — 문서</x:v>
      </x:c>
      <x:c r="K247" s="15" t="str">
        <x:v>5.1 | 문서 유형 — Loại văn bản</x:v>
      </x:c>
      <x:c r="L247" s="18" t="str">
        <x:v>Ứng viên giữ — có căn cứ khái niệm</x:v>
      </x:c>
      <x:c r="M247" s="11" t="str">
        <x:v>C137</x:v>
      </x:c>
    </x:row>
    <x:row r="248" ht="57" customHeight="1">
      <x:c r="A248" s="14" t="n">
        <x:v>243</x:v>
      </x:c>
      <x:c r="B248" s="11" t="str">
        <x:v>Thư ủy nhiệm</x:v>
      </x:c>
      <x:c r="C248" s="11" t="str">
        <x:v>Văn bản xác nhận tư cách và sự ủy nhiệm cho đại diện ngoại giao để trình bên tiếp nhận.</x:v>
      </x:c>
      <x:c r="D248" s="11" t="str">
        <x:v>신임장</x:v>
      </x:c>
      <x:c r="E248" s="11" t="str">
        <x:v>파견국이 외교대표의 자격과 임무를 확인하여 접수 측에 제시하는 공식 문서.</x:v>
      </x:c>
      <x:c r="F248" s="17" t="str">
        <x:v>* Mô tả chính thức</x:v>
      </x:c>
      <x:c r="G248" s="11" t="str">
        <x:v>Mục từ có nghĩa [KO]</x:v>
      </x:c>
      <x:c r="H248" s="11" t="str">
        <x:v>CẦN TRA — chưa xác minh mục từ</x:v>
      </x:c>
      <x:c r="I248" s="11" t="str">
        <x:v>Có mục từ và đã đọc nghĩa</x:v>
      </x:c>
      <x:c r="J248" s="15" t="str">
        <x:v>N5 — 문서</x:v>
      </x:c>
      <x:c r="K248" s="15" t="str">
        <x:v>5.1 | 문서 유형 — Loại văn bản</x:v>
      </x:c>
      <x:c r="L248" s="18" t="str">
        <x:v>Ứng viên giữ — có căn cứ khái niệm</x:v>
      </x:c>
      <x:c r="M248" s="11" t="str">
        <x:v>C139</x:v>
      </x:c>
    </x:row>
    <x:row r="249" ht="57" customHeight="1">
      <x:c r="A249" s="14" t="n">
        <x:v>244</x:v>
      </x:c>
      <x:c r="B249" s="11" t="str">
        <x:v>điều ước quốc tế</x:v>
      </x:c>
      <x:c r="C249" s="11" t="str">
        <x:v>Văn kiện thỏa thuận giữa các chủ thể quốc tế, quy định quyền và nghĩa vụ được điều chỉnh bởi luật quốc tế.</x:v>
      </x:c>
      <x:c r="D249" s="11" t="str">
        <x:v>국제조약</x:v>
      </x:c>
      <x:c r="E249" s="11" t="str">
        <x:v>국제법에 따라 국가 등 국제 주체 사이의 권리와 의무를 정한 합의 문서.</x:v>
      </x:c>
      <x:c r="F249" s="17" t="str">
        <x:v>Diễn giải từ định nghĩa EN; cần nguồn VI</x:v>
      </x:c>
      <x:c r="G249" s="11" t="str">
        <x:v>Mục từ có nghĩa [KO]</x:v>
      </x:c>
      <x:c r="H249" s="11" t="str">
        <x:v>CẦN TRA — chưa xác minh mục từ</x:v>
      </x:c>
      <x:c r="I249" s="11" t="str">
        <x:v>Chỉ có mục gần/khác dạng; cần tra tiếp</x:v>
      </x:c>
      <x:c r="J249" s="15" t="str">
        <x:v>N5 — 문서</x:v>
      </x:c>
      <x:c r="K249" s="15" t="str">
        <x:v>5.1 | 문서 유형 — Loại văn bản</x:v>
      </x:c>
      <x:c r="L249" s="18" t="str">
        <x:v>Ứng viên giữ — có căn cứ khái niệm</x:v>
      </x:c>
      <x:c r="M249" s="11" t="str">
        <x:v>C141</x:v>
      </x:c>
    </x:row>
    <x:row r="250" ht="57" customHeight="1">
      <x:c r="A250" s="14" t="n">
        <x:v>245</x:v>
      </x:c>
      <x:c r="B250" s="11" t="str">
        <x:v>thỏa thuận hợp tác</x:v>
      </x:c>
      <x:c r="C250" s="11" t="str">
        <x:v>Văn kiện ghi nhận thỏa thuận hợp tác giữa các bên; đây là nghĩa văn bản được lựa chọn để phân loại.</x:v>
      </x:c>
      <x:c r="D250" s="11" t="str">
        <x:v>협정</x:v>
      </x:c>
      <x:c r="E250" s="11" t="str">
        <x:v>국가들이 서로 맺은 약정. 이 연구에서는 그 내용을 담은 국제 협정 문서를 선택한다.</x:v>
      </x:c>
      <x:c r="F250" s="17" t="str">
        <x:v>Diễn giải từ định nghĩa EN; cần nguồn VI</x:v>
      </x:c>
      <x:c r="G250" s="11" t="str">
        <x:v>Mục từ có nghĩa [KO]</x:v>
      </x:c>
      <x:c r="H250" s="11" t="str">
        <x:v>CẦN TRA — chưa xác minh mục từ</x:v>
      </x:c>
      <x:c r="I250" s="11" t="str">
        <x:v>Có mục từ và đã đọc nghĩa</x:v>
      </x:c>
      <x:c r="J250" s="15" t="str">
        <x:v>N5 — 문서</x:v>
      </x:c>
      <x:c r="K250" s="15" t="str">
        <x:v>5.1 | 문서 유형 — Loại văn bản</x:v>
      </x:c>
      <x:c r="L250" s="20" t="str">
        <x:v>Cần đối chiếu/sửa cặp</x:v>
      </x:c>
      <x:c r="M250" s="11" t="str">
        <x:v>C142</x:v>
      </x:c>
    </x:row>
    <x:row r="251" ht="57" customHeight="1">
      <x:c r="A251" s="14" t="n">
        <x:v>246</x:v>
      </x:c>
      <x:c r="B251" s="11" t="str">
        <x:v>Nghị định thư</x:v>
      </x:c>
      <x:c r="C251" s="11" t="str">
        <x:v>Loại văn kiện thỏa thuận quốc tế thường dùng để bổ sung, sửa đổi hoặc cụ thể hóa những vấn đề của một điều ước.</x:v>
      </x:c>
      <x:c r="D251" s="11" t="str">
        <x:v>의정서</x:v>
      </x:c>
      <x:c r="E251" s="11" t="str">
        <x:v>국가 간 합의의 내용을 담는 문서 형식으로, 기존 조약을 보완하거나 특정 사항을 규정하는 데 쓰인다.</x:v>
      </x:c>
      <x:c r="F251" s="17" t="str">
        <x:v>Diễn giải từ mục từ KO; cần nguồn VI</x:v>
      </x:c>
      <x:c r="G251" s="11" t="str">
        <x:v>Mục từ có nghĩa [KO]</x:v>
      </x:c>
      <x:c r="H251" s="11" t="str">
        <x:v>CẦN TRA — chưa xác minh mục từ</x:v>
      </x:c>
      <x:c r="I251" s="11" t="str">
        <x:v>Có mục từ và đã đọc nghĩa</x:v>
      </x:c>
      <x:c r="J251" s="15" t="str">
        <x:v>N5 — 문서</x:v>
      </x:c>
      <x:c r="K251" s="15" t="str">
        <x:v>5.1 | 문서 유형 — Loại văn bản</x:v>
      </x:c>
      <x:c r="L251" s="18" t="str">
        <x:v>Ứng viên giữ — có căn cứ khái niệm</x:v>
      </x:c>
      <x:c r="M251" s="11" t="str">
        <x:v>C143</x:v>
      </x:c>
    </x:row>
    <x:row r="252" ht="57" customHeight="1">
      <x:c r="A252" s="14" t="n">
        <x:v>247</x:v>
      </x:c>
      <x:c r="B252" s="11" t="str">
        <x:v>Hiệp định Thương mại tự do</x:v>
      </x:c>
      <x:c r="C252" s="11" t="str">
        <x:v>Loại hiệp định quy định giảm hoặc loại bỏ rào cản thương mại để tạo điều kiện trao đổi tự do hơn giữa các bên.</x:v>
      </x:c>
      <x:c r="D252" s="11" t="str">
        <x:v>자유무역협정</x:v>
      </x:c>
      <x:c r="E252" s="11" t="str">
        <x:v>당사국 간 관세 등 교역 장벽을 줄이거나 없애기 위한 자유무역 규칙을 정한 협정.</x:v>
      </x:c>
      <x:c r="F252" s="17" t="str">
        <x:v>Diễn giải từ mục từ KO; cần nguồn VI</x:v>
      </x:c>
      <x:c r="G252" s="11" t="str">
        <x:v>Mục từ có nghĩa [KO]</x:v>
      </x:c>
      <x:c r="H252" s="11" t="str">
        <x:v>CẦN TRA — chưa xác minh mục từ</x:v>
      </x:c>
      <x:c r="I252" s="11" t="str">
        <x:v>Có mục từ và đã đọc nghĩa</x:v>
      </x:c>
      <x:c r="J252" s="15" t="str">
        <x:v>N5 — 문서</x:v>
      </x:c>
      <x:c r="K252" s="15" t="str">
        <x:v>5.1 | 문서 유형 — Loại văn bản</x:v>
      </x:c>
      <x:c r="L252" s="18" t="str">
        <x:v>Ứng viên giữ — có căn cứ khái niệm</x:v>
      </x:c>
      <x:c r="M252" s="11" t="str">
        <x:v>C144</x:v>
      </x:c>
    </x:row>
    <x:row r="253" ht="57" customHeight="1">
      <x:c r="A253" s="14" t="n">
        <x:v>248</x:v>
      </x:c>
      <x:c r="B253" s="11" t="str">
        <x:v>Hiệp định Bảo hộ đầu tư</x:v>
      </x:c>
      <x:c r="C253" s="11" t="str">
        <x:v>Loại hiệp định quy định các tiêu chuẩn và nghĩa vụ bảo hộ đối với đầu tư và nhà đầu tư giữa các bên.</x:v>
      </x:c>
      <x:c r="D253" s="11" t="str">
        <x:v>투자보호협정</x:v>
      </x:c>
      <x:c r="E253" s="11" t="str">
        <x:v>당사국 사이의 투자와 투자자에 대한 보호 기준을 정한 협정.</x:v>
      </x:c>
      <x:c r="F253" s="17" t="str">
        <x:v>* Diễn giải mô tả KO</x:v>
      </x:c>
      <x:c r="G253" s="17" t="str">
        <x:v>* Mô tả chính thức</x:v>
      </x:c>
      <x:c r="H253" s="11" t="str">
        <x:v>CẦN TRA — chưa xác minh mục từ</x:v>
      </x:c>
      <x:c r="I253" s="11" t="str">
        <x:v>CẦN TRA — chưa xác minh mục từ</x:v>
      </x:c>
      <x:c r="J253" s="15" t="str">
        <x:v>N5 — 문서</x:v>
      </x:c>
      <x:c r="K253" s="15" t="str">
        <x:v>5.1 | 문서 유형 — Loại văn bản</x:v>
      </x:c>
      <x:c r="L253" s="18" t="str">
        <x:v>Ứng viên giữ — có căn cứ khái niệm</x:v>
      </x:c>
      <x:c r="M253" s="11" t="str">
        <x:v>C145</x:v>
      </x:c>
    </x:row>
    <x:row r="254" ht="57" customHeight="1">
      <x:c r="A254" s="14" t="n">
        <x:v>249</x:v>
      </x:c>
      <x:c r="B254" s="11" t="str">
        <x:v>Công ước Hà Nội</x:v>
      </x:c>
      <x:c r="C254" s="11" t="str">
        <x:v>Tên gọi khác của Công ước Liên hợp quốc về chống tội phạm mạng, được mở ký tại Hà Nội năm 2025.</x:v>
      </x:c>
      <x:c r="D254" s="11" t="str">
        <x:v>하노이협약</x:v>
      </x:c>
      <x:c r="E254" s="11" t="str">
        <x:v>사이버범죄 대응과 관련 국제 협력을 규정한 유엔 협약의 통칭. C161과 같은 문건을 가리킨다.</x:v>
      </x:c>
      <x:c r="F254" s="17" t="str">
        <x:v>* Mô tả chính thức</x:v>
      </x:c>
      <x:c r="G254" s="17" t="str">
        <x:v>* Diễn giải mô tả VI</x:v>
      </x:c>
      <x:c r="H254" s="11" t="str">
        <x:v>Tên riêng: có nguồn về đối tượng</x:v>
      </x:c>
      <x:c r="I254" s="11" t="str">
        <x:v>Tên riêng: có nguồn về đối tượng</x:v>
      </x:c>
      <x:c r="J254" s="15" t="str">
        <x:v>N5 — 문서</x:v>
      </x:c>
      <x:c r="K254" s="15" t="str">
        <x:v>5.2 | 특정 문건·문건집 — Văn kiện/tập văn kiện cụ thể</x:v>
      </x:c>
      <x:c r="L254" s="18" t="str">
        <x:v>Ứng viên giữ — có căn cứ khái niệm</x:v>
      </x:c>
      <x:c r="M254" s="11" t="str">
        <x:v>C151</x:v>
      </x:c>
    </x:row>
    <x:row r="255" ht="57" customHeight="1">
      <x:c r="A255" s="14" t="n">
        <x:v>250</x:v>
      </x:c>
      <x:c r="B255" s="11" t="str">
        <x:v>Thỏa thuận Paris</x:v>
      </x:c>
      <x:c r="C255" s="11" t="str">
        <x:v>Tạm chọn nghĩa điều ước quốc tế về ứng phó biến đổi khí hậu được thông qua tại Paris năm 2015.</x:v>
      </x:c>
      <x:c r="D255" s="11" t="str">
        <x:v>파리협정</x:v>
      </x:c>
      <x:c r="E255" s="11" t="str">
        <x:v>여기서는 2015년 채택된 기후변화 대응 국제 조약인 파리협정을 잠정적으로 뜻한다.</x:v>
      </x:c>
      <x:c r="F255" s="17" t="str">
        <x:v>* Diễn giải mô tả EN</x:v>
      </x:c>
      <x:c r="G255" s="17" t="str">
        <x:v>* Diễn giải mô tả EN</x:v>
      </x:c>
      <x:c r="H255" s="11" t="str">
        <x:v>Tên riêng: có nguồn về đối tượng</x:v>
      </x:c>
      <x:c r="I255" s="11" t="str">
        <x:v>Tên riêng: có nguồn về đối tượng</x:v>
      </x:c>
      <x:c r="J255" s="15" t="str">
        <x:v>N5 — 문서</x:v>
      </x:c>
      <x:c r="K255" s="15" t="str">
        <x:v>5.2 | 특정 문건·문건집 — Văn kiện/tập văn kiện cụ thể</x:v>
      </x:c>
      <x:c r="L255" s="11" t="str">
        <x:v>Cần khóa nghĩa để chốt nhóm</x:v>
      </x:c>
      <x:c r="M255" s="11" t="str">
        <x:v>C154</x:v>
      </x:c>
    </x:row>
    <x:row r="256" ht="57" customHeight="1">
      <x:c r="A256" s="14" t="n">
        <x:v>251</x:v>
      </x:c>
      <x:c r="B256" s="11" t="str">
        <x:v>Nghị định thư Kyoto</x:v>
      </x:c>
      <x:c r="C256" s="11" t="str">
        <x:v>Nghị định thư năm 1997 cụ thể hóa nghĩa vụ giảm phát thải khí nhà kính của các nước thuộc diện cam kết theo Công ước khung khí hậu.</x:v>
      </x:c>
      <x:c r="D256" s="11" t="str">
        <x:v>교토의정서</x:v>
      </x:c>
      <x:c r="E256" s="11" t="str">
        <x:v>유엔기후변화협약 아래에서 선진국 등의 온실가스 감축 의무를 구체화한 1997년 의정서.</x:v>
      </x:c>
      <x:c r="F256" s="17" t="str">
        <x:v>* Diễn giải mô tả EN</x:v>
      </x:c>
      <x:c r="G256" s="17" t="str">
        <x:v>* Diễn giải mô tả EN</x:v>
      </x:c>
      <x:c r="H256" s="11" t="str">
        <x:v>Tên riêng: có nguồn về đối tượng</x:v>
      </x:c>
      <x:c r="I256" s="11" t="str">
        <x:v>Tên riêng: có nguồn về đối tượng</x:v>
      </x:c>
      <x:c r="J256" s="15" t="str">
        <x:v>N5 — 문서</x:v>
      </x:c>
      <x:c r="K256" s="15" t="str">
        <x:v>5.2 | 특정 문건·문건집 — Văn kiện/tập văn kiện cụ thể</x:v>
      </x:c>
      <x:c r="L256" s="18" t="str">
        <x:v>Ứng viên giữ — có căn cứ khái niệm</x:v>
      </x:c>
      <x:c r="M256" s="11" t="str">
        <x:v>C155</x:v>
      </x:c>
    </x:row>
    <x:row r="257" ht="57" customHeight="1">
      <x:c r="A257" s="14" t="n">
        <x:v>252</x:v>
      </x:c>
      <x:c r="B257" s="11" t="str">
        <x:v>Hiệp định Đối tác Toàn diện và tiến bộ xuyên Thái Bình Dương</x:v>
      </x:c>
      <x:c r="C257" s="11" t="str">
        <x:v>Hiệp định CPTPP, tiếp nhận nhiều quy định của TPP và tạm đình chỉ áp dụng một số quy định được xác định trong văn kiện.</x:v>
      </x:c>
      <x:c r="D257" s="11" t="str">
        <x:v>포괄적·점진적 환태평양경제동반자협정</x:v>
      </x:c>
      <x:c r="E257" s="11" t="str">
        <x:v>TPP의 규정을 일부 정지·조정하여 편입한 포괄적·점진적 환태평양 자유무역협정인 CPTPP.</x:v>
      </x:c>
      <x:c r="F257" s="17" t="str">
        <x:v>* Diễn giải mô tả EN</x:v>
      </x:c>
      <x:c r="G257" s="17" t="str">
        <x:v>* Diễn giải mô tả EN</x:v>
      </x:c>
      <x:c r="H257" s="11" t="str">
        <x:v>Tên riêng: có nguồn về đối tượng</x:v>
      </x:c>
      <x:c r="I257" s="11" t="str">
        <x:v>Tên riêng: có nguồn về đối tượng</x:v>
      </x:c>
      <x:c r="J257" s="15" t="str">
        <x:v>N5 — 문서</x:v>
      </x:c>
      <x:c r="K257" s="15" t="str">
        <x:v>5.2 | 특정 문건·문건집 — Văn kiện/tập văn kiện cụ thể</x:v>
      </x:c>
      <x:c r="L257" s="18" t="str">
        <x:v>Ứng viên giữ — có căn cứ khái niệm</x:v>
      </x:c>
      <x:c r="M257" s="11" t="str">
        <x:v>C157</x:v>
      </x:c>
    </x:row>
    <x:row r="258" ht="57" customHeight="1">
      <x:c r="A258" s="14" t="n">
        <x:v>253</x:v>
      </x:c>
      <x:c r="B258" s="11" t="str">
        <x:v>Chương trình hành động</x:v>
      </x:c>
      <x:c r="C258" s="11" t="str">
        <x:v>Loại văn bản xác định các nhiệm vụ và hướng thực hiện để đạt mục tiêu hành động đã đề ra.</x:v>
      </x:c>
      <x:c r="D258" s="11" t="str">
        <x:v>행동계획</x:v>
      </x:c>
      <x:c r="E258" s="11" t="str">
        <x:v>정해진 목표를 실현하기 위한 과제와 실행 방향을 담은 계획 문서라는 뜻을 선택한다.</x:v>
      </x:c>
      <x:c r="F258" s="17" t="str">
        <x:v>* Diễn giải mô tả KO/EN</x:v>
      </x:c>
      <x:c r="G258" s="17" t="str">
        <x:v>* Diễn giải mô tả KO/EN</x:v>
      </x:c>
      <x:c r="H258" s="11" t="str">
        <x:v>CẦN TRA — chưa xác minh mục từ</x:v>
      </x:c>
      <x:c r="I258" s="11" t="str">
        <x:v>CẦN TRA — chưa xác minh mục từ</x:v>
      </x:c>
      <x:c r="J258" s="15" t="str">
        <x:v>N5 — 문서</x:v>
      </x:c>
      <x:c r="K258" s="15" t="str">
        <x:v>5.1 | 문서 유형 — Loại văn bản</x:v>
      </x:c>
      <x:c r="L258" s="11" t="str">
        <x:v>Cần khóa nghĩa để chốt nhóm</x:v>
      </x:c>
      <x:c r="M258" s="11" t="str">
        <x:v>C159</x:v>
      </x:c>
    </x:row>
    <x:row r="259" ht="57" customHeight="1">
      <x:c r="A259" s="14" t="n">
        <x:v>254</x:v>
      </x:c>
      <x:c r="B259" s="11" t="str">
        <x:v>Hiệp định liên Chính phủ</x:v>
      </x:c>
      <x:c r="C259" s="11" t="str">
        <x:v>Loại văn kiện thỏa thuận quốc tế được ký kết giữa hai hoặc nhiều chính phủ.</x:v>
      </x:c>
      <x:c r="D259" s="11" t="str">
        <x:v>정부 간 협정</x:v>
      </x:c>
      <x:c r="E259" s="11" t="str">
        <x:v>둘 이상의 정부가 당사자가 되어 체결한 국제 합의 문서.</x:v>
      </x:c>
      <x:c r="F259" s="17" t="str">
        <x:v>* Nghĩa làm việc; cần nguồn định nghĩa</x:v>
      </x:c>
      <x:c r="G259" s="17" t="str">
        <x:v>* Nghĩa làm việc; cần nguồn định nghĩa</x:v>
      </x:c>
      <x:c r="H259" s="11" t="str">
        <x:v>CẦN TRA — chưa xác minh mục từ</x:v>
      </x:c>
      <x:c r="I259" s="11" t="str">
        <x:v>CẦN TRA — chưa xác minh mục từ</x:v>
      </x:c>
      <x:c r="J259" s="15" t="str">
        <x:v>N5 — 문서</x:v>
      </x:c>
      <x:c r="K259" s="15" t="str">
        <x:v>5.1 | 문서 유형 — Loại văn bản</x:v>
      </x:c>
      <x:c r="L259" s="11" t="str">
        <x:v>Cần bổ sung nguồn định nghĩa</x:v>
      </x:c>
      <x:c r="M259" s="11" t="str">
        <x:v>C160</x:v>
      </x:c>
    </x:row>
    <x:row r="260" ht="57" customHeight="1">
      <x:c r="A260" s="14" t="n">
        <x:v>255</x:v>
      </x:c>
      <x:c r="B260" s="11" t="str">
        <x:v>Công ước Liên hợp quốc về chống tội phạm mạng</x:v>
      </x:c>
      <x:c r="C260" s="11" t="str">
        <x:v>Công ước Liên hợp quốc quy định hợp tác phòng, chống tội phạm mạng và chia sẻ chứng cứ điện tử; còn gọi là Công ước Hà Nội.</x:v>
      </x:c>
      <x:c r="D260" s="11" t="str">
        <x:v>유엔 사이버범죄 방지 협약</x:v>
      </x:c>
      <x:c r="E260" s="11" t="str">
        <x:v>사이버범죄의 예방·대응과 전자 증거 공유 등을 위한 국제 협력을 정한 유엔 협약.</x:v>
      </x:c>
      <x:c r="F260" s="17" t="str">
        <x:v>* Mô tả chính thức</x:v>
      </x:c>
      <x:c r="G260" s="17" t="str">
        <x:v>* Diễn giải mô tả VI</x:v>
      </x:c>
      <x:c r="H260" s="11" t="str">
        <x:v>Tên riêng: có nguồn về đối tượng</x:v>
      </x:c>
      <x:c r="I260" s="11" t="str">
        <x:v>Tên riêng: có nguồn về đối tượng</x:v>
      </x:c>
      <x:c r="J260" s="15" t="str">
        <x:v>N5 — 문서</x:v>
      </x:c>
      <x:c r="K260" s="15" t="str">
        <x:v>5.2 | 특정 문건·문건집 — Văn kiện/tập văn kiện cụ thể</x:v>
      </x:c>
      <x:c r="L260" s="18" t="str">
        <x:v>Ứng viên giữ — có căn cứ khái niệm</x:v>
      </x:c>
      <x:c r="M260" s="11" t="str">
        <x:v>C161</x:v>
      </x:c>
    </x:row>
    <x:row r="261" ht="57" customHeight="1">
      <x:c r="A261" s="14" t="n">
        <x:v>256</x:v>
      </x:c>
      <x:c r="B261" s="11" t="str">
        <x:v>Đối thoại chiến lược</x:v>
      </x:c>
      <x:c r="C261" s="11" t="str">
        <x:v>Đối thoại về các vấn đề chiến lược; biểu thức có thể chỉ hoạt động trao đổi hoặc một cơ chế đối thoại được thiết lập.</x:v>
      </x:c>
      <x:c r="D261" s="11" t="str">
        <x:v>전략적 대화</x:v>
      </x:c>
      <x:c r="E261" s="11" t="str">
        <x:v>전략적 사안을 논의하는 대화 또는 이를 정례적으로 수행하도록 마련한 협의 체계.</x:v>
      </x:c>
      <x:c r="F261" s="17" t="str">
        <x:v>* Nghĩa làm việc; cần nguồn định nghĩa</x:v>
      </x:c>
      <x:c r="G261" s="17" t="str">
        <x:v>* Nghĩa làm việc; cần nguồn định nghĩa</x:v>
      </x:c>
      <x:c r="H261" s="11" t="str">
        <x:v>CẦN TRA — chưa xác minh mục từ</x:v>
      </x:c>
      <x:c r="I261" s="11" t="str">
        <x:v>CẦN TRA — chưa xác minh mục từ</x:v>
      </x:c>
      <x:c r="J261" s="21" t="str">
        <x:v>Cần xem xét</x:v>
      </x:c>
      <x:c r="K261" s="21" t="str"/>
      <x:c r="L261" s="16" t="str">
        <x:v>Chưa chốt nhóm</x:v>
      </x:c>
      <x:c r="M261" s="11" t="str">
        <x:v>C163</x:v>
      </x:c>
    </x:row>
    <x:row r="262" ht="57" customHeight="1">
      <x:c r="A262" s="14" t="n">
        <x:v>257</x:v>
      </x:c>
      <x:c r="B262" s="11" t="str">
        <x:v>Thứ trưởng Ngoại giao</x:v>
      </x:c>
      <x:c r="C262" s="11" t="str">
        <x:v>Chức danh lãnh đạo cấp phó trong Bộ Ngoại giao, giúp Bộ trưởng.</x:v>
      </x:c>
      <x:c r="D262" s="11" t="str">
        <x:v>외교차관</x:v>
      </x:c>
      <x:c r="E262" s="11" t="str">
        <x:v>외교부 장관을 보좌하고 분담된 외교 업무를 맡는 차관.</x:v>
      </x:c>
      <x:c r="F262" s="17" t="str">
        <x:v>* Nghĩa làm việc; cần nguồn định nghĩa</x:v>
      </x:c>
      <x:c r="G262" s="17" t="str">
        <x:v>* Nghĩa làm việc; cần nguồn định nghĩa</x:v>
      </x:c>
      <x:c r="H262" s="11" t="str">
        <x:v>CẦN TRA — chưa xác minh mục từ</x:v>
      </x:c>
      <x:c r="I262" s="11" t="str">
        <x:v>CẦN TRA — chưa xác minh mục từ</x:v>
      </x:c>
      <x:c r="J262" s="15" t="str">
        <x:v>N1 — 인물</x:v>
      </x:c>
      <x:c r="K262" s="15" t="str">
        <x:v>1.1 | 직위·직함 — Chức vụ, chức danh</x:v>
      </x:c>
      <x:c r="L262" s="11" t="str">
        <x:v>Cần bổ sung nguồn định nghĩa</x:v>
      </x:c>
      <x:c r="M262" s="11" t="str">
        <x:v>C164</x:v>
      </x:c>
    </x:row>
    <x:row r="263" ht="57" customHeight="1">
      <x:c r="A263" s="14" t="n">
        <x:v>258</x:v>
      </x:c>
      <x:c r="B263" s="11" t="str">
        <x:v>Tổng Bí thư</x:v>
      </x:c>
      <x:c r="C263" s="11" t="str">
        <x:v>Người đứng đầu chính đảng; ở đây là ĐCSVN.</x:v>
      </x:c>
      <x:c r="D263" s="11" t="str">
        <x:v>당서기장</x:v>
      </x:c>
      <x:c r="E263" s="11" t="str">
        <x:v>사회주의·공산주의 정당에서 최고 지도자를 가리키는 당 직책.</x:v>
      </x:c>
      <x:c r="F263" s="17" t="str">
        <x:v>* Mô tả chính thức</x:v>
      </x:c>
      <x:c r="G263" s="17" t="str">
        <x:v>* Nghĩa làm việc; cần nguồn định nghĩa</x:v>
      </x:c>
      <x:c r="H263" s="11" t="str">
        <x:v>CẦN TRA — chưa xác minh mục từ</x:v>
      </x:c>
      <x:c r="I263" s="11" t="str">
        <x:v>CẦN TRA — chưa xác minh mục từ</x:v>
      </x:c>
      <x:c r="J263" s="15" t="str">
        <x:v>N1 — 인물</x:v>
      </x:c>
      <x:c r="K263" s="15" t="str">
        <x:v>1.1 | 직위·직함 — Chức vụ, chức danh</x:v>
      </x:c>
      <x:c r="L263" s="11" t="str">
        <x:v>Cần bổ sung nguồn định nghĩa</x:v>
      </x:c>
      <x:c r="M263" s="11" t="str">
        <x:v>C165</x:v>
      </x:c>
    </x:row>
    <x:row r="264" ht="57" customHeight="1">
      <x:c r="A264" s="14" t="n">
        <x:v>259</x:v>
      </x:c>
      <x:c r="B264" s="11" t="str">
        <x:v>Ủy viên Trung ương Đảng</x:v>
      </x:c>
      <x:c r="C264" s="11" t="str">
        <x:v>Người có tư cách thành viên Ban Chấp hành Trung ương Đảng.</x:v>
      </x:c>
      <x:c r="D264" s="11" t="str">
        <x:v>당 중앙위원</x:v>
      </x:c>
      <x:c r="E264" s="11" t="str">
        <x:v>정당 중앙위원회의 구성원. 베트남 문맥에서는 당 중앙집행위원회 위원을 가리킨다.</x:v>
      </x:c>
      <x:c r="F264" s="17" t="str">
        <x:v>* Mô tả chính thức</x:v>
      </x:c>
      <x:c r="G264" s="17" t="str">
        <x:v>* Diễn giải mô tả VI</x:v>
      </x:c>
      <x:c r="H264" s="11" t="str">
        <x:v>CẦN TRA — chưa xác minh mục từ</x:v>
      </x:c>
      <x:c r="I264" s="11" t="str">
        <x:v>CẦN TRA — chưa xác minh mục từ</x:v>
      </x:c>
      <x:c r="J264" s="15" t="str">
        <x:v>N1 — 인물</x:v>
      </x:c>
      <x:c r="K264" s="15" t="str">
        <x:v>1.2 | 역할·신분 — Vai trò, tư cách</x:v>
      </x:c>
      <x:c r="L264" s="18" t="str">
        <x:v>Ứng viên giữ — có căn cứ khái niệm</x:v>
      </x:c>
      <x:c r="M264" s="11" t="str">
        <x:v>C166</x:v>
      </x:c>
    </x:row>
    <x:row r="265" ht="57" customHeight="1">
      <x:c r="A265" s="14" t="n">
        <x:v>260</x:v>
      </x:c>
      <x:c r="B265" s="11" t="str">
        <x:v>Đảng Cộng sản Việt Nam</x:v>
      </x:c>
      <x:c r="C265" s="11" t="str">
        <x:v>Chính đảng lãnh đạo Nhà nước và xã hội Việt Nam.</x:v>
      </x:c>
      <x:c r="D265" s="11" t="str">
        <x:v>베트남공산당</x:v>
      </x:c>
      <x:c r="E265" s="11" t="str">
        <x:v>베트남의 국가·사회를 지도하는 공산당.</x:v>
      </x:c>
      <x:c r="F265" s="17" t="str">
        <x:v>* Mô tả chính thức</x:v>
      </x:c>
      <x:c r="G265" s="17" t="str">
        <x:v>* Diễn giải mô tả VI</x:v>
      </x:c>
      <x:c r="H265" s="11" t="str">
        <x:v>Tên riêng: có nguồn về đối tượng</x:v>
      </x:c>
      <x:c r="I265" s="11" t="str">
        <x:v>Tên riêng: có nguồn về đối tượng</x:v>
      </x:c>
      <x:c r="J265" s="15" t="str">
        <x:v>N2 — 기관·조직</x:v>
      </x:c>
      <x:c r="K265" s="15" t="str">
        <x:v>2.2 | 정당 — Chính đảng</x:v>
      </x:c>
      <x:c r="L265" s="18" t="str">
        <x:v>Ứng viên giữ — có căn cứ khái niệm</x:v>
      </x:c>
      <x:c r="M265" s="11" t="str">
        <x:v>C167</x:v>
      </x:c>
    </x:row>
    <x:row r="266" ht="57" customHeight="1">
      <x:c r="A266" s="14" t="n">
        <x:v>261</x:v>
      </x:c>
      <x:c r="B266" s="11" t="str">
        <x:v>Ban Chấp hành Trung ương</x:v>
      </x:c>
      <x:c r="C266" s="11" t="str">
        <x:v>Cơ quan chấp hành ở cấp trung ương của một tổ chức; cần tên tổ chức để xác định đầy đủ.</x:v>
      </x:c>
      <x:c r="D266" s="11" t="str">
        <x:v>중앙집행위원회</x:v>
      </x:c>
      <x:c r="E266" s="11" t="str">
        <x:v>조직의 중앙 단위에서 집행 기능을 맡는 위원회. 어느 조직인지는 문맥 확인이 필요하다.</x:v>
      </x:c>
      <x:c r="F266" s="17" t="str">
        <x:v>* Nghĩa làm việc; cần nguồn định nghĩa</x:v>
      </x:c>
      <x:c r="G266" s="17" t="str">
        <x:v>* Nghĩa làm việc; cần nguồn định nghĩa</x:v>
      </x:c>
      <x:c r="H266" s="11" t="str">
        <x:v>CẦN TRA — chưa xác minh mục từ</x:v>
      </x:c>
      <x:c r="I266" s="11" t="str">
        <x:v>CẦN TRA — chưa xác minh mục từ</x:v>
      </x:c>
      <x:c r="J266" s="15" t="str">
        <x:v>N2 — 기관·조직</x:v>
      </x:c>
      <x:c r="K266" s="15" t="str">
        <x:v>2.4 | 기타 조직 — Tổ chức khác</x:v>
      </x:c>
      <x:c r="L266" s="11" t="str">
        <x:v>Cần khóa nghĩa để chốt nhóm</x:v>
      </x:c>
      <x:c r="M266" s="11" t="str">
        <x:v>C168</x:v>
      </x:c>
    </x:row>
    <x:row r="267" ht="57" customHeight="1">
      <x:c r="A267" s="14" t="n">
        <x:v>262</x:v>
      </x:c>
      <x:c r="B267" s="11" t="str">
        <x:v>Hội đồng Bảo an Liên hợp quốc</x:v>
      </x:c>
      <x:c r="C267" s="11" t="str">
        <x:v>Cơ quan Liên hợp quốc chịu trách nhiệm chính về duy trì hòa bình và an ninh quốc tế.</x:v>
      </x:c>
      <x:c r="D267" s="11" t="str">
        <x:v>유엔안보리</x:v>
      </x:c>
      <x:c r="E267" s="11" t="str">
        <x:v>국제 평화와 안전 유지의 주된 책임을 맡는 유엔의 주요 기관.</x:v>
      </x:c>
      <x:c r="F267" s="17" t="str">
        <x:v>* Diễn giải mô tả EN</x:v>
      </x:c>
      <x:c r="G267" s="17" t="str">
        <x:v>* Diễn giải mô tả EN</x:v>
      </x:c>
      <x:c r="H267" s="11" t="str">
        <x:v>Tên riêng: có nguồn về đối tượng</x:v>
      </x:c>
      <x:c r="I267" s="11" t="str">
        <x:v>Tên riêng: có nguồn về đối tượng</x:v>
      </x:c>
      <x:c r="J267" s="15" t="str">
        <x:v>N2 — 기관·조직</x:v>
      </x:c>
      <x:c r="K267" s="15" t="str">
        <x:v>2.3 | 국제기구 — Tổ chức quốc tế và cơ quan thuộc tổ chức</x:v>
      </x:c>
      <x:c r="L267" s="18" t="str">
        <x:v>Ứng viên giữ — có căn cứ khái niệm</x:v>
      </x:c>
      <x:c r="M267" s="11" t="str">
        <x:v>C169</x:v>
      </x:c>
    </x:row>
    <x:row r="268" ht="57" customHeight="1">
      <x:c r="A268" s="14" t="n">
        <x:v>263</x:v>
      </x:c>
      <x:c r="B268" s="11" t="str">
        <x:v>ngoại giao kinh tế</x:v>
      </x:c>
      <x:c r="C268" s="11" t="str">
        <x:v>Hoạt động ngoại giao nhằm phục vụ lợi ích, mục tiêu phát triển kinh tế và thúc đẩy quan hệ kinh tế đối ngoại.</x:v>
      </x:c>
      <x:c r="D268" s="11" t="str">
        <x:v>경제외교</x:v>
      </x:c>
      <x:c r="E268" s="11" t="str">
        <x:v>경제적 이익과 발전 목표를 지원하고 대외 경제 관계를 증진하기 위한 외교 활동.</x:v>
      </x:c>
      <x:c r="F268" s="17" t="str">
        <x:v>* Nghĩa làm việc; cần nguồn định nghĩa</x:v>
      </x:c>
      <x:c r="G268" s="17" t="str">
        <x:v>* Nghĩa làm việc; cần nguồn định nghĩa</x:v>
      </x:c>
      <x:c r="H268" s="11" t="str">
        <x:v>CẦN TRA — chưa xác minh mục từ</x:v>
      </x:c>
      <x:c r="I268" s="11" t="str">
        <x:v>CẦN TRA — chưa xác minh mục từ</x:v>
      </x:c>
      <x:c r="J268" s="15" t="str">
        <x:v>N4 — 관계·활동</x:v>
      </x:c>
      <x:c r="K268" s="15" t="str">
        <x:v>4.2 | 활동·과정·사건 — Hoạt động, quá trình, sự kiện, lĩnh vực thực hành</x:v>
      </x:c>
      <x:c r="L268" s="11" t="str">
        <x:v>Cần bổ sung nguồn định nghĩa</x:v>
      </x:c>
      <x:c r="M268" s="11" t="str">
        <x:v>C170</x:v>
      </x:c>
    </x:row>
    <x:row r="269" ht="57" customHeight="1">
      <x:c r="A269" s="14" t="n">
        <x:v>264</x:v>
      </x:c>
      <x:c r="B269" s="11" t="str">
        <x:v>hội nhập quốc tế</x:v>
      </x:c>
      <x:c r="C269" s="11" t="str">
        <x:v>Quá trình quốc gia tham gia và tăng cường gắn kết với các quan hệ, thể chế và khuôn khổ hợp tác quốc tế.</x:v>
      </x:c>
      <x:c r="D269" s="11" t="str">
        <x:v>국제통합</x:v>
      </x:c>
      <x:c r="E269" s="11" t="str">
        <x:v>국가가 국제 관계와 제도, 협력 틀에 참여하고 상호 연계를 심화하는 과정.</x:v>
      </x:c>
      <x:c r="F269" s="17" t="str">
        <x:v>* Nghĩa làm việc; cần nguồn định nghĩa</x:v>
      </x:c>
      <x:c r="G269" s="17" t="str">
        <x:v>* Nghĩa làm việc; cần nguồn định nghĩa</x:v>
      </x:c>
      <x:c r="H269" s="11" t="str">
        <x:v>CẦN TRA — chưa xác minh mục từ</x:v>
      </x:c>
      <x:c r="I269" s="11" t="str">
        <x:v>CẦN TRA — chưa xác minh mục từ</x:v>
      </x:c>
      <x:c r="J269" s="15" t="str">
        <x:v>N4 — 관계·활동</x:v>
      </x:c>
      <x:c r="K269" s="15" t="str">
        <x:v>4.2 | 활동·과정·사건 — Hoạt động, quá trình, sự kiện, lĩnh vực thực hành</x:v>
      </x:c>
      <x:c r="L269" s="11" t="str">
        <x:v>Cần bổ sung nguồn định nghĩa</x:v>
      </x:c>
      <x:c r="M269" s="11" t="str">
        <x:v>C175</x:v>
      </x:c>
    </x:row>
    <x:row r="270" ht="57" customHeight="1">
      <x:c r="A270" s="14" t="n">
        <x:v>265</x:v>
      </x:c>
      <x:c r="B270" s="11" t="str">
        <x:v>Hiệp ước Biển cả</x:v>
      </x:c>
      <x:c r="C270" s="11" t="str">
        <x:v>Tên gọi của Hiệp định BBNJ thực thi UNCLOS về bảo tồn và sử dụng bền vững đa dạng sinh học ngoài quyền tài phán quốc gia.</x:v>
      </x:c>
      <x:c r="D270" s="11" t="str">
        <x:v>공해조약</x:v>
      </x:c>
      <x:c r="E270" s="11" t="str">
        <x:v>국가 관할권 밖 해역의 해양생물다양성 보전과 지속가능한 이용을 위한 유엔해양법협약 이행협정인 BBNJ 협정.</x:v>
      </x:c>
      <x:c r="F270" s="17" t="str">
        <x:v>* Mô tả chính thức</x:v>
      </x:c>
      <x:c r="G270" s="17" t="str">
        <x:v>* Diễn giải mô tả VI</x:v>
      </x:c>
      <x:c r="H270" s="11" t="str">
        <x:v>Tên riêng: có nguồn về đối tượng</x:v>
      </x:c>
      <x:c r="I270" s="11" t="str">
        <x:v>Tên riêng: có nguồn về đối tượng</x:v>
      </x:c>
      <x:c r="J270" s="15" t="str">
        <x:v>N5 — 문서</x:v>
      </x:c>
      <x:c r="K270" s="15" t="str">
        <x:v>5.2 | 특정 문건·문건집 — Văn kiện/tập văn kiện cụ thể</x:v>
      </x:c>
      <x:c r="L270" s="18" t="str">
        <x:v>Ứng viên giữ — có căn cứ khái niệm</x:v>
      </x:c>
      <x:c r="M270" s="11" t="str">
        <x:v>C182</x:v>
      </x:c>
    </x:row>
    <x:row r="271" ht="57" customHeight="1">
      <x:c r="A271" s="14" t="n">
        <x:v>266</x:v>
      </x:c>
      <x:c r="B271" s="11" t="str">
        <x:v>chạy đua vũ ttrang</x:v>
      </x:c>
      <x:c r="C271" s="11" t="str">
        <x:v>Quá trình các quốc gia cạnh tranh tăng cường vũ khí, trang bị và năng lực quân sự để giành ưu thế.</x:v>
      </x:c>
      <x:c r="D271" s="11" t="str">
        <x:v>군비 경쟁</x:v>
      </x:c>
      <x:c r="E271" s="11" t="str">
        <x:v>다른 국가보다 군사적으로 우위에 서기 위해 무기와 군사 장비 등을 경쟁적으로 확대하는 과정.</x:v>
      </x:c>
      <x:c r="F271" s="17" t="str">
        <x:v>Diễn giải từ mục từ KO; cần nguồn VI</x:v>
      </x:c>
      <x:c r="G271" s="11" t="str">
        <x:v>Mục từ có nghĩa [KO]</x:v>
      </x:c>
      <x:c r="H271" s="11" t="str">
        <x:v>CẦN TRA — chưa xác minh mục từ</x:v>
      </x:c>
      <x:c r="I271" s="11" t="str">
        <x:v>Có mục từ và đã đọc nghĩa</x:v>
      </x:c>
      <x:c r="J271" s="15" t="str">
        <x:v>N4 — 관계·활동</x:v>
      </x:c>
      <x:c r="K271" s="15" t="str">
        <x:v>4.2 | 활동·과정·사건 — Hoạt động, quá trình, sự kiện, lĩnh vực thực hành</x:v>
      </x:c>
      <x:c r="L271" s="18" t="str">
        <x:v>Ứng viên giữ — có căn cứ khái niệm</x:v>
      </x:c>
      <x:c r="M271" s="11" t="str">
        <x:v>C186</x:v>
      </x:c>
    </x:row>
  </x:sheetData>
  <x:pageMargins left="0.7" right="0.7" top="0.75" bottom="0.75" header="0.3" footer="0.3"/>
  <x:tableParts count="1">
    <x:tablePart xmlns:r="http://schemas.openxmlformats.org/officeDocument/2006/relationships" r:id="Re3826511a5be46dd"/>
  </x:tableParts>
</x:worksheet>
</file>

<file path=xl/worksheets/sheet2.xml><?xml version="1.0" encoding="utf-8"?>
<x:worksheet xmlns:x="http://schemas.openxmlformats.org/spreadsheetml/2006/main">
  <x:sheetPr>
    <x:tabColor rgb="FF667F98"/>
  </x:sheetPr>
  <x:sheetViews>
    <x:sheetView showGridLines="0" workbookViewId="0">
      <x:pane xSplit="2" ySplit="5" topLeftCell="C6" activePane="bottomRight" state="frozen"/>
    </x:sheetView>
  </x:sheetViews>
  <x:sheetFormatPr defaultRowHeight="15"/>
  <x:cols>
    <x:col min="1" max="1" width="18" hidden="0" customWidth="1"/>
    <x:col min="2" max="2" width="34" hidden="0" customWidth="1"/>
    <x:col min="3" max="3" width="34" hidden="0" customWidth="1"/>
    <x:col min="4" max="4" width="20" hidden="0" customWidth="1"/>
    <x:col min="5" max="5" width="40" hidden="0" customWidth="1"/>
    <x:col min="6" max="6" width="36" hidden="0" customWidth="1"/>
    <x:col min="7" max="7" width="35" hidden="0" customWidth="1"/>
    <x:col min="8" max="8" width="30" hidden="0" customWidth="1"/>
    <x:col min="9" max="9" width="20" hidden="0" customWidth="1"/>
    <x:col min="10" max="10" width="56" hidden="0" customWidth="1"/>
    <x:col min="11" max="11" width="95" hidden="0" customWidth="1"/>
    <x:col min="12" max="12" width="18" hidden="0" customWidth="1"/>
    <x:col min="13" max="13" width="18" hidden="0" customWidth="1"/>
    <x:col min="14" max="14" width="32" hidden="0" customWidth="1"/>
    <x:col min="15" max="15" width="22" hidden="0" customWidth="1"/>
    <x:col min="16" max="16" width="37" hidden="0" customWidth="1"/>
    <x:col min="17" max="17" width="68" hidden="0" customWidth="1"/>
  </x:cols>
  <x:sheetData>
    <x:row r="1">
      <x:c r="A1" s="2"/>
      <x:c r="B1" s="2"/>
      <x:c r="C1" s="2"/>
      <x:c r="D1" s="2"/>
      <x:c r="E1" s="2"/>
      <x:c r="F1" s="2"/>
      <x:c r="G1" s="2"/>
      <x:c r="H1" s="2"/>
      <x:c r="I1" s="2"/>
      <x:c r="J1" s="2"/>
      <x:c r="K1" s="2"/>
      <x:c r="L1" s="2"/>
      <x:c r="M1" s="2"/>
      <x:c r="N1" s="2"/>
      <x:c r="O1" s="2"/>
      <x:c r="P1" s="2"/>
      <x:c r="Q1" s="2"/>
    </x:row>
    <x:row r="2" ht="27.75" customHeight="1">
      <x:c r="A2" s="12" t="str">
        <x:v>Phán định từng mục và các điểm cần xử lý</x:v>
      </x:c>
      <x:c r="B2" s="2"/>
      <x:c r="C2" s="2"/>
      <x:c r="D2" s="2"/>
      <x:c r="E2" s="2"/>
      <x:c r="F2" s="2"/>
      <x:c r="G2" s="2"/>
      <x:c r="H2" s="2"/>
      <x:c r="I2" s="2"/>
      <x:c r="J2" s="2"/>
      <x:c r="K2" s="2"/>
      <x:c r="L2" s="2"/>
      <x:c r="M2" s="2"/>
      <x:c r="N2" s="2"/>
      <x:c r="O2" s="2"/>
      <x:c r="P2" s="2"/>
      <x:c r="Q2" s="2"/>
    </x:row>
    <x:row r="3" ht="18.75" customHeight="1">
      <x:c r="A3" s="13" t="str">
        <x:v>Nhóm được gán theo nghĩa đã chọn. “Phù hợp theo nghĩa làm việc” chưa phải xác nhận tương đương bằng nguồn song ngữ độc lập.</x:v>
      </x:c>
      <x:c r="B3" s="2"/>
      <x:c r="C3" s="2"/>
      <x:c r="D3" s="2"/>
      <x:c r="E3" s="2"/>
      <x:c r="F3" s="2"/>
      <x:c r="G3" s="2"/>
      <x:c r="H3" s="2"/>
      <x:c r="I3" s="2"/>
      <x:c r="J3" s="2"/>
      <x:c r="K3" s="2"/>
      <x:c r="L3" s="2"/>
      <x:c r="M3" s="2"/>
      <x:c r="N3" s="2"/>
      <x:c r="O3" s="2"/>
      <x:c r="P3" s="2"/>
      <x:c r="Q3" s="2"/>
    </x:row>
    <x:row r="4" ht="18.75" customHeight="1">
      <x:c r="A4" s="13" t="str">
        <x:v>Mã liên kết chỉ gộp các trường hợp đã có căn cứ; 258 mã liên kết sau 8 liên hệ này vẫn chưa phải số khái niệm độc lập cuối cùng.</x:v>
      </x:c>
      <x:c r="B4" s="2"/>
      <x:c r="C4" s="2"/>
      <x:c r="D4" s="2"/>
      <x:c r="E4" s="2"/>
      <x:c r="F4" s="2"/>
      <x:c r="G4" s="2"/>
      <x:c r="H4" s="2"/>
      <x:c r="I4" s="2"/>
      <x:c r="J4" s="2"/>
      <x:c r="K4" s="2"/>
      <x:c r="L4" s="2"/>
      <x:c r="M4" s="2"/>
      <x:c r="N4" s="2"/>
      <x:c r="O4" s="2"/>
      <x:c r="P4" s="2"/>
      <x:c r="Q4" s="2"/>
    </x:row>
    <x:row r="5" ht="36" customHeight="1">
      <x:c r="A5" s="8" t="str">
        <x:v>Mã</x:v>
      </x:c>
      <x:c r="B5" s="9" t="str">
        <x:v>Thuật ngữ Việt</x:v>
      </x:c>
      <x:c r="C5" s="9" t="str">
        <x:v>Biểu thức Hàn gốc</x:v>
      </x:c>
      <x:c r="D5" s="9" t="str">
        <x:v>Nhóm</x:v>
      </x:c>
      <x:c r="E5" s="9" t="str">
        <x:v>Trạng thái phân loại</x:v>
      </x:c>
      <x:c r="F5" s="9" t="str">
        <x:v>Đối chiếu Việt–Hàn</x:v>
      </x:c>
      <x:c r="G5" s="9" t="str">
        <x:v>Tư cách đơn vị</x:v>
      </x:c>
      <x:c r="H5" s="9" t="str">
        <x:v>Phạm vi chuyên ngành</x:v>
      </x:c>
      <x:c r="I5" s="9" t="str">
        <x:v>Mã liên kết khái niệm</x:v>
      </x:c>
      <x:c r="J5" s="9" t="str">
        <x:v>Liên hệ / trùng / không gộp</x:v>
      </x:c>
      <x:c r="K5" s="9" t="str">
        <x:v>Nhận xét và việc cần kiểm tra</x:v>
      </x:c>
      <x:c r="L5" s="9" t="str">
        <x:v>Nguồn nghĩa Việt</x:v>
      </x:c>
      <x:c r="M5" s="9" t="str">
        <x:v>Nguồn nghĩa Hàn</x:v>
      </x:c>
      <x:c r="N5" s="9" t="str">
        <x:v>Nguồn đối chiếu khác</x:v>
      </x:c>
      <x:c r="O5" s="9" t="str">
        <x:v>Bộ dữ liệu</x:v>
      </x:c>
      <x:c r="P5" s="9" t="str">
        <x:v>Kết luận rà soát</x:v>
      </x:c>
      <x:c r="Q5" s="10" t="str">
        <x:v>Đề xuất chuẩn hóa / dạng tra cứu</x:v>
      </x:c>
    </x:row>
    <x:row r="6" ht="102" customHeight="1">
      <x:c r="A6" s="11" t="str">
        <x:v>T085</x:v>
      </x:c>
      <x:c r="B6" s="11" t="str">
        <x:v>Bí thư Trung ương Đảng</x:v>
      </x:c>
      <x:c r="C6" s="11" t="str">
        <x:v>당 중앙위원회 서기</x:v>
      </x:c>
      <x:c r="D6" s="11" t="str">
        <x:v>N1</x:v>
      </x:c>
      <x:c r="E6" s="11" t="str">
        <x:v>Đã gán theo nghĩa được chọn</x:v>
      </x:c>
      <x:c r="F6" s="16" t="str">
        <x:v>CẦN NGỮ CẢNH đối chiếu</x:v>
      </x:c>
      <x:c r="G6" s="11" t="str">
        <x:v>Giữ làm đơn vị nghiên cứu</x:v>
      </x:c>
      <x:c r="H6" s="11" t="str">
        <x:v>Chính trị</x:v>
      </x:c>
      <x:c r="I6" s="11" t="str">
        <x:v>T085</x:v>
      </x:c>
      <x:c r="J6" s="11" t="str"/>
      <x:c r="K6" s="11" t="str">
        <x:v>Chức danh Việt có bằng chứng tổ chức; 서기 của 중앙위원회 chưa tự xác nhận đầy đủ quan hệ chức trách với Ban Bí thư. Không lẫn 서기장.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6" s="11" t="str">
        <x:v>S001</x:v>
      </x:c>
      <x:c r="M6" s="11" t="str">
        <x:v>S001</x:v>
      </x:c>
      <x:c r="N6" s="11" t="str">
        <x:v>S001; S002</x:v>
      </x:c>
      <x:c r="O6" s="11" t="str">
        <x:v>Bộ 167</x:v>
      </x:c>
      <x:c r="P6" s="11" t="str">
        <x:v>Cần ngữ cảnh song ngữ</x:v>
      </x:c>
      <x:c r="Q6" s="11" t="str"/>
    </x:row>
    <x:row r="7" ht="57" customHeight="1">
      <x:c r="A7" s="11" t="str">
        <x:v>T078</x:v>
      </x:c>
      <x:c r="B7" s="11" t="str">
        <x:v>Bộ trưởng</x:v>
      </x:c>
      <x:c r="C7" s="11" t="str">
        <x:v>장관</x:v>
      </x:c>
      <x:c r="D7" s="11" t="str">
        <x:v>N1</x:v>
      </x:c>
      <x:c r="E7" s="11" t="str">
        <x:v>Đã gán theo nghĩa được chọn</x:v>
      </x:c>
      <x:c r="F7" s="11" t="str">
        <x:v>Phù hợp theo nghĩa làm việc</x:v>
      </x:c>
      <x:c r="G7" s="11" t="str">
        <x:v>Giữ làm đơn vị nghiên cứu</x:v>
      </x:c>
      <x:c r="H7" s="11" t="str">
        <x:v>Chính trị</x:v>
      </x:c>
      <x:c r="I7" s="11" t="str">
        <x:v>T078</x:v>
      </x:c>
      <x:c r="J7" s="11" t="str"/>
      <x:c r="K7" s="11" t="str">
        <x:v>Nghĩa Hàn do nghiên cứu diễn đạt theo nguồn vi; không phải định nghĩa từ điển Hàn. Trạng thái tra từ điển Việt chưa được xác nhận từ một mục từ toàn cụm có đơn vị biên soạn trong lần này.</x:v>
      </x:c>
      <x:c r="L7" s="11" t="str">
        <x:v>S003</x:v>
      </x:c>
      <x:c r="M7" s="11" t="str">
        <x:v>S003</x:v>
      </x:c>
      <x:c r="N7" s="11" t="str">
        <x:v>S003; S004</x:v>
      </x:c>
      <x:c r="O7" s="11" t="str">
        <x:v>Bộ 167</x:v>
      </x:c>
      <x:c r="P7" s="11" t="str">
        <x:v>Ứng viên giữ — có căn cứ khái niệm</x:v>
      </x:c>
      <x:c r="Q7" s="11" t="str"/>
    </x:row>
    <x:row r="8" ht="57" customHeight="1">
      <x:c r="A8" s="11" t="str">
        <x:v>T103</x:v>
      </x:c>
      <x:c r="B8" s="11" t="str">
        <x:v>Bộ trưởng Bộ Công an</x:v>
      </x:c>
      <x:c r="C8" s="11" t="str">
        <x:v>공안부 장관</x:v>
      </x:c>
      <x:c r="D8" s="11" t="str">
        <x:v>N1</x:v>
      </x:c>
      <x:c r="E8" s="11" t="str">
        <x:v>Đã gán theo nghĩa được chọn</x:v>
      </x:c>
      <x:c r="F8" s="11" t="str">
        <x:v>Phù hợp theo nghĩa làm việc</x:v>
      </x:c>
      <x:c r="G8" s="11" t="str">
        <x:v>Giữ làm đơn vị nghiên cứu</x:v>
      </x:c>
      <x:c r="H8" s="11" t="str">
        <x:v>Chính trị</x:v>
      </x:c>
      <x:c r="I8" s="11" t="str">
        <x:v>T103</x:v>
      </x:c>
      <x:c r="J8" s="11" t="str"/>
      <x:c r="K8" s="11" t="str">
        <x:v>Nghĩa Hàn do nghiên cứu diễn đạt theo nguồn vi; không phải định nghĩa từ điển Hàn. Trạng thái tra từ điển Việt chưa được xác nhận từ một mục từ toàn cụm có đơn vị biên soạn trong lần này.</x:v>
      </x:c>
      <x:c r="L8" s="11" t="str">
        <x:v>S005</x:v>
      </x:c>
      <x:c r="M8" s="11" t="str">
        <x:v>S005</x:v>
      </x:c>
      <x:c r="N8" s="11" t="str">
        <x:v>S005; S006</x:v>
      </x:c>
      <x:c r="O8" s="11" t="str">
        <x:v>Bộ 167</x:v>
      </x:c>
      <x:c r="P8" s="11" t="str">
        <x:v>Ứng viên giữ — có căn cứ khái niệm</x:v>
      </x:c>
      <x:c r="Q8" s="11" t="str"/>
    </x:row>
    <x:row r="9" ht="57" customHeight="1">
      <x:c r="A9" s="11" t="str">
        <x:v>T100</x:v>
      </x:c>
      <x:c r="B9" s="11" t="str">
        <x:v>Bộ trưởng Bộ Ngoại giao</x:v>
      </x:c>
      <x:c r="C9" s="11" t="str">
        <x:v>외교부 장관</x:v>
      </x:c>
      <x:c r="D9" s="11" t="str">
        <x:v>N1</x:v>
      </x:c>
      <x:c r="E9" s="11" t="str">
        <x:v>Đã gán theo nghĩa được chọn</x:v>
      </x:c>
      <x:c r="F9" s="11" t="str">
        <x:v>Phù hợp theo nghĩa làm việc</x:v>
      </x:c>
      <x:c r="G9" s="11" t="str">
        <x:v>Giữ làm đơn vị nghiên cứu</x:v>
      </x:c>
      <x:c r="H9" s="11" t="str">
        <x:v>Chính trị và ngoại giao</x:v>
      </x:c>
      <x:c r="I9" s="11" t="str">
        <x:v>T100</x:v>
      </x:c>
      <x:c r="J9" s="11" t="str"/>
      <x:c r="K9" s="11" t="str">
        <x:v>Nghĩa Hàn do nghiên cứu diễn đạt theo nguồn vi; không phải định nghĩa từ điển Hàn. Trạng thái tra từ điển Việt chưa được xác nhận từ một mục từ toàn cụm có đơn vị biên soạn trong lần này.</x:v>
      </x:c>
      <x:c r="L9" s="11" t="str">
        <x:v>S005</x:v>
      </x:c>
      <x:c r="M9" s="11" t="str">
        <x:v>S005</x:v>
      </x:c>
      <x:c r="N9" s="11" t="str">
        <x:v>S005; S007</x:v>
      </x:c>
      <x:c r="O9" s="11" t="str">
        <x:v>Bộ 167</x:v>
      </x:c>
      <x:c r="P9" s="11" t="str">
        <x:v>Ứng viên giữ — có căn cứ khái niệm</x:v>
      </x:c>
      <x:c r="Q9" s="11" t="str"/>
    </x:row>
    <x:row r="10" ht="57" customHeight="1">
      <x:c r="A10" s="11" t="str">
        <x:v>T101</x:v>
      </x:c>
      <x:c r="B10" s="11" t="str">
        <x:v>Bộ trưởng Bộ Quốc phòng</x:v>
      </x:c>
      <x:c r="C10" s="11" t="str">
        <x:v>국방부 장관</x:v>
      </x:c>
      <x:c r="D10" s="11" t="str">
        <x:v>N1</x:v>
      </x:c>
      <x:c r="E10" s="11" t="str">
        <x:v>Đã gán theo nghĩa được chọn</x:v>
      </x:c>
      <x:c r="F10" s="11" t="str">
        <x:v>Phù hợp theo nghĩa làm việc</x:v>
      </x:c>
      <x:c r="G10" s="11" t="str">
        <x:v>Giữ làm đơn vị nghiên cứu</x:v>
      </x:c>
      <x:c r="H10" s="11" t="str">
        <x:v>Chính trị</x:v>
      </x:c>
      <x:c r="I10" s="11" t="str">
        <x:v>T101</x:v>
      </x:c>
      <x:c r="J10" s="11" t="str"/>
      <x:c r="K10" s="11" t="str">
        <x:v>Nghĩa Hàn do nghiên cứu diễn đạt theo nguồn vi; không phải định nghĩa từ điển Hàn. Trạng thái tra từ điển Việt chưa được xác nhận từ một mục từ toàn cụm có đơn vị biên soạn trong lần này.</x:v>
      </x:c>
      <x:c r="L10" s="11" t="str">
        <x:v>S008</x:v>
      </x:c>
      <x:c r="M10" s="11" t="str">
        <x:v>S008</x:v>
      </x:c>
      <x:c r="N10" s="11" t="str">
        <x:v>S008; S006</x:v>
      </x:c>
      <x:c r="O10" s="11" t="str">
        <x:v>Bộ 167</x:v>
      </x:c>
      <x:c r="P10" s="11" t="str">
        <x:v>Ứng viên giữ — có căn cứ khái niệm</x:v>
      </x:c>
      <x:c r="Q10" s="11" t="str"/>
    </x:row>
    <x:row r="11" ht="72" customHeight="1">
      <x:c r="A11" s="11" t="str">
        <x:v>T076</x:v>
      </x:c>
      <x:c r="B11" s="11" t="str">
        <x:v>Chủ tịch nước</x:v>
      </x:c>
      <x:c r="C11" s="11" t="str">
        <x:v>국가주석</x:v>
      </x:c>
      <x:c r="D11" s="11" t="str">
        <x:v>N1</x:v>
      </x:c>
      <x:c r="E11" s="11" t="str">
        <x:v>Đã gán theo nghĩa được chọn</x:v>
      </x:c>
      <x:c r="F11" s="16" t="str">
        <x:v>CẦN NGỮ CẢNH đối chiếu</x:v>
      </x:c>
      <x:c r="G11" s="11" t="str">
        <x:v>Giữ làm đơn vị nghiên cứu</x:v>
      </x:c>
      <x:c r="H11" s="11" t="str">
        <x:v>Chính trị</x:v>
      </x:c>
      <x:c r="I11" s="11" t="str">
        <x:v>T076</x:v>
      </x:c>
      <x:c r="J11" s="11" t="str"/>
      <x:c r="K11" s="11" t="str">
        <x:v>국가주석 chỉ chức danh nguyên thủ trong hệ thống dùng nhãn này; không đồng nhất với mọi 대통령 hoặc 국가원수. Nghĩa Hàn do nghiên cứu diễn đạt theo nguồn vi; không phải định nghĩa từ điển Hàn. Trạng thái tra từ điển Việt chưa được xác nhận từ một mục từ toàn cụm có đơn vị biên soạn trong lần này.</x:v>
      </x:c>
      <x:c r="L11" s="11" t="str">
        <x:v>S009</x:v>
      </x:c>
      <x:c r="M11" s="11" t="str">
        <x:v>S009</x:v>
      </x:c>
      <x:c r="N11" s="11" t="str">
        <x:v>S009; S010</x:v>
      </x:c>
      <x:c r="O11" s="11" t="str">
        <x:v>Bộ 167</x:v>
      </x:c>
      <x:c r="P11" s="11" t="str">
        <x:v>Cần ngữ cảnh song ngữ</x:v>
      </x:c>
      <x:c r="Q11" s="11" t="str"/>
    </x:row>
    <x:row r="12" ht="57" customHeight="1">
      <x:c r="A12" s="11" t="str">
        <x:v>T077</x:v>
      </x:c>
      <x:c r="B12" s="11" t="str">
        <x:v>Chủ tịch Quốc hội</x:v>
      </x:c>
      <x:c r="C12" s="11" t="str">
        <x:v>국회의장</x:v>
      </x:c>
      <x:c r="D12" s="11" t="str">
        <x:v>N1</x:v>
      </x:c>
      <x:c r="E12" s="11" t="str">
        <x:v>Đã gán theo nghĩa được chọn</x:v>
      </x:c>
      <x:c r="F12" s="11" t="str">
        <x:v>Phù hợp theo nghĩa làm việc</x:v>
      </x:c>
      <x:c r="G12" s="11" t="str">
        <x:v>Giữ làm đơn vị nghiên cứu</x:v>
      </x:c>
      <x:c r="H12" s="11" t="str">
        <x:v>Chính trị</x:v>
      </x:c>
      <x:c r="I12" s="11" t="str">
        <x:v>T077</x:v>
      </x:c>
      <x:c r="J12" s="11" t="str"/>
      <x:c r="K12" s="11" t="str">
        <x:v>Nghĩa Hàn do nghiên cứu diễn đạt theo nguồn vi; không phải định nghĩa từ điển Hàn. Trạng thái tra từ điển Việt chưa được xác nhận từ một mục từ toàn cụm có đơn vị biên soạn trong lần này.</x:v>
      </x:c>
      <x:c r="L12" s="11" t="str">
        <x:v>S009</x:v>
      </x:c>
      <x:c r="M12" s="11" t="str">
        <x:v>S009</x:v>
      </x:c>
      <x:c r="N12" s="11" t="str">
        <x:v>S009; S011</x:v>
      </x:c>
      <x:c r="O12" s="11" t="str">
        <x:v>Bộ 167</x:v>
      </x:c>
      <x:c r="P12" s="11" t="str">
        <x:v>Ứng viên giữ — có căn cứ khái niệm</x:v>
      </x:c>
      <x:c r="Q12" s="11" t="str"/>
    </x:row>
    <x:row r="13" ht="72" customHeight="1">
      <x:c r="A13" s="11" t="str">
        <x:v>T089</x:v>
      </x:c>
      <x:c r="B13" s="11" t="str">
        <x:v>Chủ tịch Ủy ban nhân dân</x:v>
      </x:c>
      <x:c r="C13" s="11" t="str">
        <x:v>인민위원장</x:v>
      </x:c>
      <x:c r="D13" s="11" t="str">
        <x:v>N1</x:v>
      </x:c>
      <x:c r="E13" s="11" t="str">
        <x:v>Đã gán theo nghĩa được chọn</x:v>
      </x:c>
      <x:c r="F13" s="16" t="str">
        <x:v>CẦN NGỮ CẢNH đối chiếu</x:v>
      </x:c>
      <x:c r="G13" s="11" t="str">
        <x:v>Giữ làm đơn vị nghiên cứu</x:v>
      </x:c>
      <x:c r="H13" s="11" t="str">
        <x:v>Chính trị</x:v>
      </x:c>
      <x:c r="I13" s="11" t="str">
        <x:v>T089</x:v>
      </x:c>
      <x:c r="J13" s="11" t="str"/>
      <x:c r="K13" s="11" t="str">
        <x:v>인민위원장 là dạng rút gọn trong corpus; cần bối cảnh Việt Nam, không mặc định mọi chế độ có Ủy ban nhân dân giống nhau. Nghĩa Hàn do nghiên cứu diễn đạt theo nguồn vi; không phải định nghĩa từ điển Hàn. Trạng thái tra từ điển Việt chưa được xác nhận từ một mục từ toàn cụm có đơn vị biên soạn trong lần này.</x:v>
      </x:c>
      <x:c r="L13" s="11" t="str">
        <x:v>S012</x:v>
      </x:c>
      <x:c r="M13" s="11" t="str">
        <x:v>S012</x:v>
      </x:c>
      <x:c r="N13" s="11" t="str">
        <x:v>S012; S013</x:v>
      </x:c>
      <x:c r="O13" s="11" t="str">
        <x:v>Bộ 167</x:v>
      </x:c>
      <x:c r="P13" s="11" t="str">
        <x:v>Cần ngữ cảnh song ngữ</x:v>
      </x:c>
      <x:c r="Q13" s="11" t="str"/>
    </x:row>
    <x:row r="14" ht="57" customHeight="1">
      <x:c r="A14" s="11" t="str">
        <x:v>T003</x:v>
      </x:c>
      <x:c r="B14" s="11" t="str">
        <x:v>cử tri</x:v>
      </x:c>
      <x:c r="C14" s="11" t="str">
        <x:v>유권자</x:v>
      </x:c>
      <x:c r="D14" s="11" t="str">
        <x:v>N1</x:v>
      </x:c>
      <x:c r="E14" s="11" t="str">
        <x:v>Đã gán theo nghĩa được chọn</x:v>
      </x:c>
      <x:c r="F14" s="11" t="str">
        <x:v>Phù hợp theo nghĩa làm việc</x:v>
      </x:c>
      <x:c r="G14" s="11" t="str">
        <x:v>Giữ làm đơn vị nghiên cứu</x:v>
      </x:c>
      <x:c r="H14" s="11" t="str">
        <x:v>Chính trị</x:v>
      </x:c>
      <x:c r="I14" s="11" t="str">
        <x:v>T003</x:v>
      </x:c>
      <x:c r="J14" s="11" t="str"/>
      <x:c r="K14" s="11" t="str">
        <x:v>Nghĩa Hàn do nghiên cứu diễn đạt theo nguồn vi; không phải định nghĩa từ điển Hàn. Trạng thái tra từ điển Việt chưa được xác nhận từ một mục từ toàn cụm có đơn vị biên soạn trong lần này.</x:v>
      </x:c>
      <x:c r="L14" s="11" t="str">
        <x:v>S014</x:v>
      </x:c>
      <x:c r="M14" s="11" t="str">
        <x:v>S014</x:v>
      </x:c>
      <x:c r="N14" s="11" t="str">
        <x:v>S014; S015</x:v>
      </x:c>
      <x:c r="O14" s="11" t="str">
        <x:v>Bộ 167</x:v>
      </x:c>
      <x:c r="P14" s="11" t="str">
        <x:v>Ứng viên giữ — có căn cứ khái niệm</x:v>
      </x:c>
      <x:c r="Q14" s="11" t="str"/>
    </x:row>
    <x:row r="15" ht="72" customHeight="1">
      <x:c r="A15" s="11" t="str">
        <x:v>T090</x:v>
      </x:c>
      <x:c r="B15" s="11" t="str">
        <x:v>đại biểu Hội đồng nhân dân</x:v>
      </x:c>
      <x:c r="C15" s="11" t="str">
        <x:v>인민의회 의원</x:v>
      </x:c>
      <x:c r="D15" s="11" t="str">
        <x:v>N1</x:v>
      </x:c>
      <x:c r="E15" s="11" t="str">
        <x:v>Đã gán theo nghĩa được chọn</x:v>
      </x:c>
      <x:c r="F15" s="16" t="str">
        <x:v>CẦN NGỮ CẢNH đối chiếu</x:v>
      </x:c>
      <x:c r="G15" s="11" t="str">
        <x:v>Giữ làm đơn vị nghiên cứu</x:v>
      </x:c>
      <x:c r="H15" s="11" t="str">
        <x:v>Chính trị</x:v>
      </x:c>
      <x:c r="I15" s="11" t="str">
        <x:v>T090</x:v>
      </x:c>
      <x:c r="J15" s="11" t="str"/>
      <x:c r="K15" s="11" t="str">
        <x:v>Chỉ nghĩa thành viên HĐND Việt Nam trong ngữ liệu; tránh suy chức năng của các 인민의회 ở quốc gia khác. Nghĩa Hàn do nghiên cứu diễn đạt theo nguồn vi; không phải định nghĩa từ điển Hàn. Trạng thái tra từ điển Việt chưa được xác nhận từ một mục từ toàn cụm có đơn vị biên soạn trong lần này.</x:v>
      </x:c>
      <x:c r="L15" s="11" t="str">
        <x:v>S012</x:v>
      </x:c>
      <x:c r="M15" s="11" t="str">
        <x:v>S012</x:v>
      </x:c>
      <x:c r="N15" s="11" t="str">
        <x:v>S012; S016</x:v>
      </x:c>
      <x:c r="O15" s="11" t="str">
        <x:v>Bộ 167</x:v>
      </x:c>
      <x:c r="P15" s="11" t="str">
        <x:v>Cần ngữ cảnh song ngữ</x:v>
      </x:c>
      <x:c r="Q15" s="11" t="str"/>
    </x:row>
    <x:row r="16" ht="57" customHeight="1">
      <x:c r="A16" s="11" t="str">
        <x:v>T081</x:v>
      </x:c>
      <x:c r="B16" s="11" t="str">
        <x:v>đại biểu Quốc hội</x:v>
      </x:c>
      <x:c r="C16" s="11" t="str">
        <x:v>국회의원</x:v>
      </x:c>
      <x:c r="D16" s="11" t="str">
        <x:v>N1</x:v>
      </x:c>
      <x:c r="E16" s="11" t="str">
        <x:v>Đã gán theo nghĩa được chọn</x:v>
      </x:c>
      <x:c r="F16" s="11" t="str">
        <x:v>Phù hợp theo nghĩa làm việc</x:v>
      </x:c>
      <x:c r="G16" s="11" t="str">
        <x:v>Giữ làm đơn vị nghiên cứu</x:v>
      </x:c>
      <x:c r="H16" s="11" t="str">
        <x:v>Chính trị</x:v>
      </x:c>
      <x:c r="I16" s="11" t="str">
        <x:v>T081</x:v>
      </x:c>
      <x:c r="J16" s="11" t="str"/>
      <x:c r="K16" s="11" t="str">
        <x:v>Trạng thái tra từ điển Việt chưa được xác nhận từ một mục từ toàn cụm có đơn vị biên soạn trong lần này.</x:v>
      </x:c>
      <x:c r="L16" s="11" t="str">
        <x:v>S009</x:v>
      </x:c>
      <x:c r="M16" s="11" t="str">
        <x:v>S017</x:v>
      </x:c>
      <x:c r="N16" s="11" t="str">
        <x:v>S009; S017; S018</x:v>
      </x:c>
      <x:c r="O16" s="11" t="str">
        <x:v>Bộ 167</x:v>
      </x:c>
      <x:c r="P16" s="11" t="str">
        <x:v>Ứng viên giữ — có căn cứ khái niệm</x:v>
      </x:c>
      <x:c r="Q16" s="11" t="str"/>
    </x:row>
    <x:row r="17" ht="72" customHeight="1">
      <x:c r="A17" s="11" t="str">
        <x:v>T079</x:v>
      </x:c>
      <x:c r="B17" s="11" t="str">
        <x:v>Đại sứ</x:v>
      </x:c>
      <x:c r="C17" s="11" t="str">
        <x:v>대사</x:v>
      </x:c>
      <x:c r="D17" s="11" t="str">
        <x:v>N1</x:v>
      </x:c>
      <x:c r="E17" s="11" t="str">
        <x:v>Đã gán theo nghĩa được chọn</x:v>
      </x:c>
      <x:c r="F17" s="11" t="str">
        <x:v>Phù hợp theo nghĩa làm việc</x:v>
      </x:c>
      <x:c r="G17" s="11" t="str">
        <x:v>Giữ làm đơn vị nghiên cứu</x:v>
      </x:c>
      <x:c r="H17" s="11" t="str">
        <x:v>Ngoại giao</x:v>
      </x:c>
      <x:c r="I17" s="11" t="str">
        <x:v>T079</x:v>
      </x:c>
      <x:c r="J17" s="11" t="str"/>
      <x:c r="K17" s="11" t="str">
        <x:v>Chọn nghĩa chức danh ngoại giao, không đồng nhất mọi cách dùng đại sứ thiện chí/đại sứ thương hiệu với chức danh này. Nghĩa Hàn do nghiên cứu diễn đạt theo nguồn vi; không phải định nghĩa từ điển Hàn. Trạng thái tra từ điển Việt chưa được xác nhận từ một mục từ toàn cụm có đơn vị biên soạn trong lần này.</x:v>
      </x:c>
      <x:c r="L17" s="11" t="str">
        <x:v>S019</x:v>
      </x:c>
      <x:c r="M17" s="11" t="str">
        <x:v>S019</x:v>
      </x:c>
      <x:c r="N17" s="11" t="str">
        <x:v>S019; S020</x:v>
      </x:c>
      <x:c r="O17" s="11" t="str">
        <x:v>Bộ 167</x:v>
      </x:c>
      <x:c r="P17" s="11" t="str">
        <x:v>Ứng viên giữ — có căn cứ khái niệm</x:v>
      </x:c>
      <x:c r="Q17" s="11" t="str"/>
    </x:row>
    <x:row r="18" ht="72" customHeight="1">
      <x:c r="A18" s="11" t="str">
        <x:v>T002</x:v>
      </x:c>
      <x:c r="B18" s="11" t="str">
        <x:v>đảng viên</x:v>
      </x:c>
      <x:c r="C18" s="11" t="str">
        <x:v>당원</x:v>
      </x:c>
      <x:c r="D18" s="11" t="str">
        <x:v>N1</x:v>
      </x:c>
      <x:c r="E18" s="11" t="str">
        <x:v>Đã gán theo nghĩa được chọn</x:v>
      </x:c>
      <x:c r="F18" s="11" t="str">
        <x:v>Phù hợp theo nghĩa làm việc</x:v>
      </x:c>
      <x:c r="G18" s="11" t="str">
        <x:v>Giữ làm đơn vị nghiên cứu</x:v>
      </x:c>
      <x:c r="H18" s="11" t="str">
        <x:v>Chính trị</x:v>
      </x:c>
      <x:c r="I18" s="11" t="str">
        <x:v>T002</x:v>
      </x:c>
      <x:c r="J18" s="11" t="str"/>
      <x:c r="K18" s="11" t="str">
        <x:v>Nguồn pháp luật Hàn chỉ xác minh khái niệm tư cách thành viên; không dùng điều kiện gia nhập ở Hàn để định nghĩa đảng viên ĐCSVN. Nghĩa Hàn do nghiên cứu diễn đạt theo nguồn ko; không phải định nghĩa từ điển Hàn. Trạng thái tra từ điển Việt chưa được xác nhận từ một mục từ toàn cụm có đơn vị biên soạn trong lần này.</x:v>
      </x:c>
      <x:c r="L18" s="11" t="str">
        <x:v>S021</x:v>
      </x:c>
      <x:c r="M18" s="11" t="str">
        <x:v>S022</x:v>
      </x:c>
      <x:c r="N18" s="11" t="str">
        <x:v>S021; S022; S023</x:v>
      </x:c>
      <x:c r="O18" s="11" t="str">
        <x:v>Bộ 167</x:v>
      </x:c>
      <x:c r="P18" s="11" t="str">
        <x:v>Ứng viên giữ — có căn cứ khái niệm</x:v>
      </x:c>
      <x:c r="Q18" s="11" t="str"/>
    </x:row>
    <x:row r="19" ht="57" customHeight="1">
      <x:c r="A19" s="11" t="str">
        <x:v>M011</x:v>
      </x:c>
      <x:c r="B19" s="11" t="str">
        <x:v>nguyên thủ quốc gia</x:v>
      </x:c>
      <x:c r="C19" s="11" t="str">
        <x:v>국가원수</x:v>
      </x:c>
      <x:c r="D19" s="11" t="str">
        <x:v>N1</x:v>
      </x:c>
      <x:c r="E19" s="11" t="str">
        <x:v>Đã gán theo nghĩa được chọn</x:v>
      </x:c>
      <x:c r="F19" s="11" t="str">
        <x:v>Phù hợp theo nghĩa làm việc</x:v>
      </x:c>
      <x:c r="G19" s="11" t="str">
        <x:v>Giữ làm đơn vị nghiên cứu</x:v>
      </x:c>
      <x:c r="H19" s="11" t="str">
        <x:v>Chính trị và ngoại giao</x:v>
      </x:c>
      <x:c r="I19" s="11" t="str">
        <x:v>M011</x:v>
      </x:c>
      <x:c r="J19" s="11" t="str"/>
      <x:c r="K19" s="11" t="str">
        <x:v>Nguồn từ điển mô tả khái quát địa vị cao nhất; không suy nguyên thủ luôn nắm toàn bộ quyền điều hành thực tế. Trạng thái tra từ điển Việt chưa được xác nhận từ một mục từ toàn cụm có đơn vị biên soạn trong lần này.</x:v>
      </x:c>
      <x:c r="L19" s="11" t="str">
        <x:v>S024</x:v>
      </x:c>
      <x:c r="M19" s="11" t="str">
        <x:v>S025</x:v>
      </x:c>
      <x:c r="N19" s="11" t="str">
        <x:v>S024; S025; S026</x:v>
      </x:c>
      <x:c r="O19" s="11" t="str">
        <x:v>Bộ 167</x:v>
      </x:c>
      <x:c r="P19" s="11" t="str">
        <x:v>Ứng viên giữ — có căn cứ khái niệm</x:v>
      </x:c>
      <x:c r="Q19" s="11" t="str"/>
    </x:row>
    <x:row r="20" ht="57" customHeight="1">
      <x:c r="A20" s="11" t="str">
        <x:v>T093</x:v>
      </x:c>
      <x:c r="B20" s="11" t="str">
        <x:v>người phát ngôn</x:v>
      </x:c>
      <x:c r="C20" s="11" t="str">
        <x:v>대변인</x:v>
      </x:c>
      <x:c r="D20" s="11" t="str">
        <x:v>N1</x:v>
      </x:c>
      <x:c r="E20" s="11" t="str">
        <x:v>Đã gán theo nghĩa được chọn</x:v>
      </x:c>
      <x:c r="F20" s="11" t="str">
        <x:v>Phù hợp theo nghĩa làm việc</x:v>
      </x:c>
      <x:c r="G20" s="11" t="str">
        <x:v>Giữ làm đơn vị nghiên cứu</x:v>
      </x:c>
      <x:c r="H20" s="11" t="str">
        <x:v>Chính trị và ngoại giao</x:v>
      </x:c>
      <x:c r="I20" s="11" t="str">
        <x:v>T093</x:v>
      </x:c>
      <x:c r="J20" s="11" t="str"/>
      <x:c r="K20" s="11" t="str">
        <x:v>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0" s="11" t="str">
        <x:v>S027</x:v>
      </x:c>
      <x:c r="M20" s="11" t="str">
        <x:v>S028</x:v>
      </x:c>
      <x:c r="N20" s="11" t="str">
        <x:v>S027; S028; S029</x:v>
      </x:c>
      <x:c r="O20" s="11" t="str">
        <x:v>Bộ 167</x:v>
      </x:c>
      <x:c r="P20" s="11" t="str">
        <x:v>Cần bổ sung nguồn định nghĩa</x:v>
      </x:c>
      <x:c r="Q20" s="11" t="str"/>
    </x:row>
    <x:row r="21" ht="72" customHeight="1">
      <x:c r="A21" s="11" t="str">
        <x:v>T097</x:v>
      </x:c>
      <x:c r="B21" s="11" t="str">
        <x:v>người phát ngôn Bộ Ngoại giao</x:v>
      </x:c>
      <x:c r="C21" s="11" t="str">
        <x:v>외교부 대변인</x:v>
      </x:c>
      <x:c r="D21" s="11" t="str">
        <x:v>N1</x:v>
      </x:c>
      <x:c r="E21" s="11" t="str">
        <x:v>Đã gán theo nghĩa được chọn</x:v>
      </x:c>
      <x:c r="F21" s="11" t="str">
        <x:v>Phù hợp theo nghĩa làm việc</x:v>
      </x:c>
      <x:c r="G21" s="11" t="str">
        <x:v>Giữ làm đơn vị nghiên cứu</x:v>
      </x:c>
      <x:c r="H21" s="11" t="str">
        <x:v>Chính trị và ngoại giao</x:v>
      </x:c>
      <x:c r="I21" s="11" t="str">
        <x:v>T097</x:v>
      </x:c>
      <x:c r="J21" s="11" t="str"/>
      <x:c r="K21" s="11" t="str">
        <x:v>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1" s="11" t="str">
        <x:v>S027</x:v>
      </x:c>
      <x:c r="M21" s="11" t="str">
        <x:v>S027</x:v>
      </x:c>
      <x:c r="N21" s="11" t="str">
        <x:v>S027; S029</x:v>
      </x:c>
      <x:c r="O21" s="11" t="str">
        <x:v>Bộ 167</x:v>
      </x:c>
      <x:c r="P21" s="11" t="str">
        <x:v>Cần bổ sung nguồn định nghĩa</x:v>
      </x:c>
      <x:c r="Q21" s="11" t="str"/>
    </x:row>
    <x:row r="22" ht="57" customHeight="1">
      <x:c r="A22" s="11" t="str">
        <x:v>T088</x:v>
      </x:c>
      <x:c r="B22" s="11" t="str">
        <x:v>Phó Chủ tịch Quốc hội</x:v>
      </x:c>
      <x:c r="C22" s="11" t="str">
        <x:v>국회 부의장</x:v>
      </x:c>
      <x:c r="D22" s="11" t="str">
        <x:v>N1</x:v>
      </x:c>
      <x:c r="E22" s="11" t="str">
        <x:v>Đã gán theo nghĩa được chọn</x:v>
      </x:c>
      <x:c r="F22" s="11" t="str">
        <x:v>Phù hợp theo nghĩa làm việc</x:v>
      </x:c>
      <x:c r="G22" s="11" t="str">
        <x:v>Giữ làm đơn vị nghiên cứu</x:v>
      </x:c>
      <x:c r="H22" s="11" t="str">
        <x:v>Chính trị</x:v>
      </x:c>
      <x:c r="I22" s="11" t="str">
        <x:v>T088</x:v>
      </x:c>
      <x:c r="J22" s="11" t="str"/>
      <x:c r="K22" s="11" t="str">
        <x:v>Nghĩa Hàn do nghiên cứu diễn đạt theo nguồn vi; không phải định nghĩa từ điển Hàn. Trạng thái tra từ điển Việt chưa được xác nhận từ một mục từ toàn cụm có đơn vị biên soạn trong lần này.</x:v>
      </x:c>
      <x:c r="L22" s="11" t="str">
        <x:v>S009</x:v>
      </x:c>
      <x:c r="M22" s="11" t="str">
        <x:v>S009</x:v>
      </x:c>
      <x:c r="N22" s="11" t="str">
        <x:v>S009; S002</x:v>
      </x:c>
      <x:c r="O22" s="11" t="str">
        <x:v>Bộ 167</x:v>
      </x:c>
      <x:c r="P22" s="11" t="str">
        <x:v>Ứng viên giữ — có căn cứ khái niệm</x:v>
      </x:c>
      <x:c r="Q22" s="11" t="str"/>
    </x:row>
    <x:row r="23" ht="57" customHeight="1">
      <x:c r="A23" s="11" t="str">
        <x:v>T082</x:v>
      </x:c>
      <x:c r="B23" s="11" t="str">
        <x:v>Phó Thủ tướng</x:v>
      </x:c>
      <x:c r="C23" s="11" t="str">
        <x:v>부총리</x:v>
      </x:c>
      <x:c r="D23" s="11" t="str">
        <x:v>N1</x:v>
      </x:c>
      <x:c r="E23" s="11" t="str">
        <x:v>Đã gán theo nghĩa được chọn</x:v>
      </x:c>
      <x:c r="F23" s="11" t="str">
        <x:v>Phù hợp theo nghĩa làm việc</x:v>
      </x:c>
      <x:c r="G23" s="11" t="str">
        <x:v>Giữ làm đơn vị nghiên cứu</x:v>
      </x:c>
      <x:c r="H23" s="11" t="str">
        <x:v>Chính trị</x:v>
      </x:c>
      <x:c r="I23" s="11" t="str">
        <x:v>T082</x:v>
      </x:c>
      <x:c r="J23" s="11" t="str"/>
      <x:c r="K23" s="11" t="str">
        <x:v>Nghĩa Hàn do nghiên cứu diễn đạt theo nguồn vi; không phải định nghĩa từ điển Hàn. Trạng thái tra từ điển Việt chưa được xác nhận từ một mục từ toàn cụm có đơn vị biên soạn trong lần này.</x:v>
      </x:c>
      <x:c r="L23" s="11" t="str">
        <x:v>S003</x:v>
      </x:c>
      <x:c r="M23" s="11" t="str">
        <x:v>S003</x:v>
      </x:c>
      <x:c r="N23" s="11" t="str">
        <x:v>S003; S030</x:v>
      </x:c>
      <x:c r="O23" s="11" t="str">
        <x:v>Bộ 167</x:v>
      </x:c>
      <x:c r="P23" s="11" t="str">
        <x:v>Ứng viên giữ — có căn cứ khái niệm</x:v>
      </x:c>
      <x:c r="Q23" s="11" t="str"/>
    </x:row>
    <x:row r="24" ht="102" customHeight="1">
      <x:c r="A24" s="11" t="str">
        <x:v>M036</x:v>
      </x:c>
      <x:c r="B24" s="11" t="str">
        <x:v>Phó Thủ tướng Thường trực</x:v>
      </x:c>
      <x:c r="C24" s="11" t="str">
        <x:v>상임 부총리</x:v>
      </x:c>
      <x:c r="D24" s="11" t="str">
        <x:v>N1</x:v>
      </x:c>
      <x:c r="E24" s="11" t="str">
        <x:v>Đã gán theo nghĩa được chọn</x:v>
      </x:c>
      <x:c r="F24" s="16" t="str">
        <x:v>CẦN NGỮ CẢNH đối chiếu</x:v>
      </x:c>
      <x:c r="G24" s="11" t="str">
        <x:v>Giữ làm đơn vị nghiên cứu</x:v>
      </x:c>
      <x:c r="H24" s="11" t="str">
        <x:v>Chính trị</x:v>
      </x:c>
      <x:c r="I24" s="11" t="str">
        <x:v>M036</x:v>
      </x:c>
      <x:c r="J24" s="11" t="str"/>
      <x:c r="K24" s="11" t="str">
        <x:v>Chức danh Việt được nguồn chính thức dùng; nghĩa Hàn là giải thích làm việc. 상임 không phải acting/tạm quyền và không tự chứng minh cùng phân công.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4" s="11" t="str">
        <x:v>S031</x:v>
      </x:c>
      <x:c r="M24" s="11" t="str">
        <x:v>S031</x:v>
      </x:c>
      <x:c r="N24" s="11" t="str">
        <x:v>S031; S032</x:v>
      </x:c>
      <x:c r="O24" s="11" t="str">
        <x:v>Bộ 167</x:v>
      </x:c>
      <x:c r="P24" s="11" t="str">
        <x:v>Cần ngữ cảnh song ngữ</x:v>
      </x:c>
      <x:c r="Q24" s="11" t="str"/>
    </x:row>
    <x:row r="25" ht="102" customHeight="1">
      <x:c r="A25" s="11" t="str">
        <x:v>M052</x:v>
      </x:c>
      <x:c r="B25" s="11" t="str">
        <x:v>Phó Trưởng Ban Tuyên giáo và Dân vận Trung ương</x:v>
      </x:c>
      <x:c r="C25" s="11" t="str">
        <x:v>중앙위 선전교육대중동원위원회 부위원장</x:v>
      </x:c>
      <x:c r="D25" s="11" t="str">
        <x:v>N1</x:v>
      </x:c>
      <x:c r="E25" s="11" t="str">
        <x:v>Đã gán theo nghĩa được chọn</x:v>
      </x:c>
      <x:c r="F25" s="16" t="str">
        <x:v>CẦN NGỮ CẢNH đối chiếu</x:v>
      </x:c>
      <x:c r="G25" s="11" t="str">
        <x:v>Giữ làm đơn vị nghiên cứu</x:v>
      </x:c>
      <x:c r="H25" s="11" t="str">
        <x:v>Chính trị</x:v>
      </x:c>
      <x:c r="I25" s="11" t="str">
        <x:v>M052</x:v>
      </x:c>
      <x:c r="J25" s="11" t="str"/>
      <x:c r="K25" s="11" t="str">
        <x:v>Tên chức danh gắn cơ quan trong corpus. Nguồn mới ghi việc đổi tên Ban từ01/8/2026; giữ tên của thời điểm ngữ liệu, không tuyên bố tên hiện hành.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5" s="11" t="str">
        <x:v>S033</x:v>
      </x:c>
      <x:c r="M25" s="11" t="str">
        <x:v>S033</x:v>
      </x:c>
      <x:c r="N25" s="11" t="str">
        <x:v>S033; S020; S034</x:v>
      </x:c>
      <x:c r="O25" s="11" t="str">
        <x:v>Bộ 167</x:v>
      </x:c>
      <x:c r="P25" s="11" t="str">
        <x:v>Cần ngữ cảnh song ngữ</x:v>
      </x:c>
      <x:c r="Q25" s="11" t="str"/>
    </x:row>
    <x:row r="26" ht="117" customHeight="1">
      <x:c r="A26" s="11" t="str">
        <x:v>NEW_G1_FL01</x:v>
      </x:c>
      <x:c r="B26" s="11" t="str">
        <x:v>phu nhân Tổng thống Hàn Quốc</x:v>
      </x:c>
      <x:c r="C26" s="11" t="str">
        <x:v>대한민국 이재명 대통령의 부인</x:v>
      </x:c>
      <x:c r="D26" s="11" t="str">
        <x:v>N1</x:v>
      </x:c>
      <x:c r="E26" s="11" t="str">
        <x:v>Đã gán theo nghĩa được chọn</x:v>
      </x:c>
      <x:c r="F26" s="19" t="str">
        <x:v>CẦN ĐỐI CHIẾU — khác phạm vi</x:v>
      </x:c>
      <x:c r="G26" s="11" t="str">
        <x:v>Biểu thức ngữ liệu, chưa là mục từ chuẩn</x:v>
      </x:c>
      <x:c r="H26" s="11" t="str">
        <x:v>Cần ngữ cảnh chuyên ngành</x:v>
      </x:c>
      <x:c r="I26" s="11" t="str">
        <x:v>NEW_G1_FL01</x:v>
      </x:c>
      <x:c r="J26" s="11" t="str"/>
      <x:c r="K26" s="11" t="str">
        <x:v>Cụm Hàn có tên riêng 이재명; đây là biểu thức miêu tả người phối ngẫu trong lễ tân, không mặc nhiên là chức vụ hoặc thuật ngữ độc lập. Đề nghị tách khỏi tập thuật ngữ cốt lõi, giữ ở phụ lục ngữ liệu. Nghĩa Hàn do nghiên cứu diễn đạt theo nguồn ko;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6" s="11" t="str">
        <x:v>S035</x:v>
      </x:c>
      <x:c r="M26" s="11" t="str">
        <x:v>S036</x:v>
      </x:c>
      <x:c r="N26" s="11" t="str">
        <x:v>S035; S036</x:v>
      </x:c>
      <x:c r="O26" s="11" t="str">
        <x:v>Bộ 167</x:v>
      </x:c>
      <x:c r="P26" s="11" t="str">
        <x:v>Biểu thức ngữ liệu — cần chuẩn hóa</x:v>
      </x:c>
      <x:c r="Q26" s="11" t="str"/>
    </x:row>
    <x:row r="27" ht="102" customHeight="1">
      <x:c r="A27" s="11" t="str">
        <x:v>T099</x:v>
      </x:c>
      <x:c r="B27" s="11" t="str">
        <x:v>Thị trưởng</x:v>
      </x:c>
      <x:c r="C27" s="11" t="str">
        <x:v>시장</x:v>
      </x:c>
      <x:c r="D27" s="11" t="str">
        <x:v>N1</x:v>
      </x:c>
      <x:c r="E27" s="11" t="str">
        <x:v>Đã gán theo nghĩa được chọn</x:v>
      </x:c>
      <x:c r="F27" s="16" t="str">
        <x:v>CẦN NGỮ CẢNH đối chiếu</x:v>
      </x:c>
      <x:c r="G27" s="11" t="str">
        <x:v>Giữ làm đơn vị nghiên cứu</x:v>
      </x:c>
      <x:c r="H27" s="11" t="str">
        <x:v>Chính trị</x:v>
      </x:c>
      <x:c r="I27" s="11" t="str">
        <x:v>T099</x:v>
      </x:c>
      <x:c r="J27" s="11" t="str"/>
      <x:c r="K27" s="11" t="str">
        <x:v>Thị trưởng không đồng nhất theo chức năng pháp lý với Chủ tịch UBND thành phố Việt Nam; dùng đúng hệ thống nước được nói tới.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7" s="11" t="str">
        <x:v>S037</x:v>
      </x:c>
      <x:c r="M27" s="11" t="str">
        <x:v>S037</x:v>
      </x:c>
      <x:c r="N27" s="11" t="str">
        <x:v>S037; S038</x:v>
      </x:c>
      <x:c r="O27" s="11" t="str">
        <x:v>Bộ 167</x:v>
      </x:c>
      <x:c r="P27" s="11" t="str">
        <x:v>Cần ngữ cảnh song ngữ</x:v>
      </x:c>
      <x:c r="Q27" s="11" t="str"/>
    </x:row>
    <x:row r="28" ht="72" customHeight="1">
      <x:c r="A28" s="11" t="str">
        <x:v>T074</x:v>
      </x:c>
      <x:c r="B28" s="11" t="str">
        <x:v>Thủ tướng</x:v>
      </x:c>
      <x:c r="C28" s="11" t="str">
        <x:v>총리</x:v>
      </x:c>
      <x:c r="D28" s="11" t="str">
        <x:v>N1</x:v>
      </x:c>
      <x:c r="E28" s="11" t="str">
        <x:v>Đã gán theo nghĩa được chọn</x:v>
      </x:c>
      <x:c r="F28" s="16" t="str">
        <x:v>CẦN NGỮ CẢNH đối chiếu</x:v>
      </x:c>
      <x:c r="G28" s="11" t="str">
        <x:v>Giữ làm đơn vị nghiên cứu</x:v>
      </x:c>
      <x:c r="H28" s="11" t="str">
        <x:v>Chính trị</x:v>
      </x:c>
      <x:c r="I28" s="11" t="str">
        <x:v>T074</x:v>
      </x:c>
      <x:c r="J28" s="11" t="str"/>
      <x:c r="K28" s="11" t="str">
        <x:v>Nghĩa Thủ tướng Việt Nam là người đứng đầu Chính phủ; không chuyển toàn bộ quyền hạn của 총리 ở nước khác sang Việt Nam. Nghĩa Hàn do nghiên cứu diễn đạt theo nguồn vi; không phải định nghĩa từ điển Hàn. Trạng thái tra từ điển Việt chưa được xác nhận từ một mục từ toàn cụm có đơn vị biên soạn trong lần này.</x:v>
      </x:c>
      <x:c r="L28" s="11" t="str">
        <x:v>S003</x:v>
      </x:c>
      <x:c r="M28" s="11" t="str">
        <x:v>S003</x:v>
      </x:c>
      <x:c r="N28" s="11" t="str">
        <x:v>S003; S039</x:v>
      </x:c>
      <x:c r="O28" s="11" t="str">
        <x:v>Bộ 167</x:v>
      </x:c>
      <x:c r="P28" s="11" t="str">
        <x:v>Cần ngữ cảnh song ngữ</x:v>
      </x:c>
      <x:c r="Q28" s="11" t="str"/>
    </x:row>
    <x:row r="29" ht="57" customHeight="1">
      <x:c r="A29" s="11" t="str">
        <x:v>T087</x:v>
      </x:c>
      <x:c r="B29" s="11" t="str">
        <x:v>Thứ trưởng</x:v>
      </x:c>
      <x:c r="C29" s="11" t="str">
        <x:v>차관</x:v>
      </x:c>
      <x:c r="D29" s="11" t="str">
        <x:v>N1</x:v>
      </x:c>
      <x:c r="E29" s="11" t="str">
        <x:v>Đã gán theo nghĩa được chọn</x:v>
      </x:c>
      <x:c r="F29" s="11" t="str">
        <x:v>Phù hợp theo nghĩa làm việc</x:v>
      </x:c>
      <x:c r="G29" s="11" t="str">
        <x:v>Giữ làm đơn vị nghiên cứu</x:v>
      </x:c>
      <x:c r="H29" s="11" t="str">
        <x:v>Chính trị</x:v>
      </x:c>
      <x:c r="I29" s="11" t="str">
        <x:v>T087</x:v>
      </x:c>
      <x:c r="J29" s="11" t="str"/>
      <x:c r="K29" s="11" t="str">
        <x:v>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29" s="11" t="str">
        <x:v>S003</x:v>
      </x:c>
      <x:c r="M29" s="11" t="str">
        <x:v>S040</x:v>
      </x:c>
      <x:c r="N29" s="11" t="str">
        <x:v>S003; S040; S020</x:v>
      </x:c>
      <x:c r="O29" s="11" t="str">
        <x:v>Bộ 167</x:v>
      </x:c>
      <x:c r="P29" s="11" t="str">
        <x:v>Cần bổ sung nguồn định nghĩa</x:v>
      </x:c>
      <x:c r="Q29" s="11" t="str"/>
    </x:row>
    <x:row r="30" ht="72" customHeight="1">
      <x:c r="A30" s="11" t="str">
        <x:v>T102</x:v>
      </x:c>
      <x:c r="B30" s="11" t="str">
        <x:v>Thứ trưởng Bộ Ngoại giao</x:v>
      </x:c>
      <x:c r="C30" s="11" t="str">
        <x:v>외교부 차관</x:v>
      </x:c>
      <x:c r="D30" s="11" t="str">
        <x:v>N1</x:v>
      </x:c>
      <x:c r="E30" s="11" t="str">
        <x:v>Đã gán theo nghĩa được chọn</x:v>
      </x:c>
      <x:c r="F30" s="11" t="str">
        <x:v>Phù hợp theo nghĩa làm việc</x:v>
      </x:c>
      <x:c r="G30" s="11" t="str">
        <x:v>Giữ làm đơn vị nghiên cứu</x:v>
      </x:c>
      <x:c r="H30" s="11" t="str">
        <x:v>Chính trị và ngoại giao</x:v>
      </x:c>
      <x:c r="I30" s="11" t="str">
        <x:v>T102</x:v>
      </x:c>
      <x:c r="J30" s="11" t="str"/>
      <x:c r="K30" s="11" t="str">
        <x:v>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30" s="11" t="str">
        <x:v>S041</x:v>
      </x:c>
      <x:c r="M30" s="11" t="str">
        <x:v>S041</x:v>
      </x:c>
      <x:c r="N30" s="11" t="str">
        <x:v>S041; S020</x:v>
      </x:c>
      <x:c r="O30" s="11" t="str">
        <x:v>Bộ 167</x:v>
      </x:c>
      <x:c r="P30" s="11" t="str">
        <x:v>Cần bổ sung nguồn định nghĩa</x:v>
      </x:c>
      <x:c r="Q30" s="11" t="str"/>
    </x:row>
    <x:row r="31" ht="87" customHeight="1">
      <x:c r="A31" s="11" t="str">
        <x:v>T184</x:v>
      </x:c>
      <x:c r="B31" s="11" t="str">
        <x:v>Thứ trưởng Thứ nhất Bộ Ngoại giao</x:v>
      </x:c>
      <x:c r="C31" s="11" t="str">
        <x:v>외교부 제1차관</x:v>
      </x:c>
      <x:c r="D31" s="11" t="str">
        <x:v>N1</x:v>
      </x:c>
      <x:c r="E31" s="11" t="str">
        <x:v>Đã gán theo nghĩa được chọn</x:v>
      </x:c>
      <x:c r="F31" s="16" t="str">
        <x:v>CẦN NGỮ CẢNH đối chiếu</x:v>
      </x:c>
      <x:c r="G31" s="11" t="str">
        <x:v>Giữ làm đơn vị nghiên cứu</x:v>
      </x:c>
      <x:c r="H31" s="11" t="str">
        <x:v>Chính trị và ngoại giao</x:v>
      </x:c>
      <x:c r="I31" s="11" t="str">
        <x:v>T184</x:v>
      </x:c>
      <x:c r="J31" s="11" t="str"/>
      <x:c r="K31" s="11" t="str">
        <x:v>제1차관 mã hóa thứ bậc Thứ nhất; không tự đồng nhất với Thứ trưởng Thường trực.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31" s="11" t="str">
        <x:v>S042</x:v>
      </x:c>
      <x:c r="M31" s="11" t="str">
        <x:v>S042</x:v>
      </x:c>
      <x:c r="N31" s="11" t="str">
        <x:v>S042; S007</x:v>
      </x:c>
      <x:c r="O31" s="11" t="str">
        <x:v>Bộ 167</x:v>
      </x:c>
      <x:c r="P31" s="11" t="str">
        <x:v>Cần ngữ cảnh song ngữ</x:v>
      </x:c>
      <x:c r="Q31" s="11" t="str"/>
    </x:row>
    <x:row r="32" ht="102" customHeight="1">
      <x:c r="A32" s="11" t="str">
        <x:v>T185</x:v>
      </x:c>
      <x:c r="B32" s="11" t="str">
        <x:v>Thứ trưởng Thường trực Bộ Ngoại giao</x:v>
      </x:c>
      <x:c r="C32" s="11" t="str">
        <x:v>외교부 상임차관</x:v>
      </x:c>
      <x:c r="D32" s="11" t="str">
        <x:v>N1</x:v>
      </x:c>
      <x:c r="E32" s="11" t="str">
        <x:v>Đã gán theo nghĩa được chọn</x:v>
      </x:c>
      <x:c r="F32" s="16" t="str">
        <x:v>CẦN NGỮ CẢNH đối chiếu</x:v>
      </x:c>
      <x:c r="G32" s="11" t="str">
        <x:v>Giữ làm đơn vị nghiên cứu</x:v>
      </x:c>
      <x:c r="H32" s="11" t="str">
        <x:v>Chính trị và ngoại giao</x:v>
      </x:c>
      <x:c r="I32" s="11" t="str">
        <x:v>T185</x:v>
      </x:c>
      <x:c r="J32" s="11" t="str"/>
      <x:c r="K32" s="11" t="str">
        <x:v>Tên chức danh Việt có trong nguồn MOFA, nhưng ngoại diên của 상임차관 cần câu nguồn và cơ cấu nước tương ứng; không thay bằng 제1차관.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32" s="11" t="str">
        <x:v>S043</x:v>
      </x:c>
      <x:c r="M32" s="11" t="str">
        <x:v>S043</x:v>
      </x:c>
      <x:c r="N32" s="11" t="str">
        <x:v>S043; S007</x:v>
      </x:c>
      <x:c r="O32" s="11" t="str">
        <x:v>Bộ 167</x:v>
      </x:c>
      <x:c r="P32" s="11" t="str">
        <x:v>Cần ngữ cảnh song ngữ</x:v>
      </x:c>
      <x:c r="Q32" s="11" t="str"/>
    </x:row>
    <x:row r="33" ht="117" customHeight="1">
      <x:c r="A33" s="11" t="str">
        <x:v>T086</x:v>
      </x:c>
      <x:c r="B33" s="11" t="str">
        <x:v>Thường trực Ban Bí thư</x:v>
      </x:c>
      <x:c r="C33" s="11" t="str">
        <x:v>베트남 공산당 중앙위원회 서기국 상임위원</x:v>
      </x:c>
      <x:c r="D33" s="11" t="str">
        <x:v>N1</x:v>
      </x:c>
      <x:c r="E33" s="11" t="str">
        <x:v>Đã gán theo nghĩa được chọn</x:v>
      </x:c>
      <x:c r="F33" s="16" t="str">
        <x:v>CẦN NGỮ CẢNH đối chiếu</x:v>
      </x:c>
      <x:c r="G33" s="11" t="str">
        <x:v>Cần xem xét tư cách/phạm vi</x:v>
      </x:c>
      <x:c r="H33" s="11" t="str">
        <x:v>Chính trị</x:v>
      </x:c>
      <x:c r="I33" s="11" t="str">
        <x:v>T086</x:v>
      </x:c>
      <x:c r="J33" s="11" t="str"/>
      <x:c r="K33" s="11" t="str">
        <x:v>Việt gọi chức vụ Thường trực Ban Bí thư; span Hàn 서기국 상임위원 biểu đạt thành viên thường trực. Nguồn hiện có chưa chứng minh trọn vẹn tương đương chức trách. Giữ N1, đánh dấu rà soát cặp và chuẩn hóa thuật ngữ.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33" s="11" t="str">
        <x:v>S001</x:v>
      </x:c>
      <x:c r="M33" s="11" t="str">
        <x:v>S001</x:v>
      </x:c>
      <x:c r="N33" s="11" t="str">
        <x:v>S001; S044</x:v>
      </x:c>
      <x:c r="O33" s="11" t="str">
        <x:v>Bộ 167</x:v>
      </x:c>
      <x:c r="P33" s="11" t="str">
        <x:v>Cần ngữ cảnh song ngữ</x:v>
      </x:c>
      <x:c r="Q33" s="11" t="str"/>
    </x:row>
    <x:row r="34" ht="57" customHeight="1">
      <x:c r="A34" s="11" t="str">
        <x:v>T075</x:v>
      </x:c>
      <x:c r="B34" s="11" t="str">
        <x:v>Tổng Bí thư</x:v>
      </x:c>
      <x:c r="C34" s="11" t="str">
        <x:v>서기장</x:v>
      </x:c>
      <x:c r="D34" s="11" t="str">
        <x:v>N1</x:v>
      </x:c>
      <x:c r="E34" s="11" t="str">
        <x:v>Đã gán theo nghĩa được chọn</x:v>
      </x:c>
      <x:c r="F34" s="11" t="str">
        <x:v>Phù hợp theo nghĩa làm việc</x:v>
      </x:c>
      <x:c r="G34" s="11" t="str">
        <x:v>Giữ làm đơn vị nghiên cứu</x:v>
      </x:c>
      <x:c r="H34" s="11" t="str">
        <x:v>Chính trị</x:v>
      </x:c>
      <x:c r="I34" s="11" t="str">
        <x:v>T075</x:v>
      </x:c>
      <x:c r="J34" s="11" t="str"/>
      <x:c r="K34" s="11" t="str">
        <x:v>Trạng thái tra từ điển Việt chưa được xác nhận từ một mục từ toàn cụm có đơn vị biên soạn trong lần này.</x:v>
      </x:c>
      <x:c r="L34" s="11" t="str">
        <x:v>S021</x:v>
      </x:c>
      <x:c r="M34" s="11" t="str">
        <x:v>S045</x:v>
      </x:c>
      <x:c r="N34" s="11" t="str">
        <x:v>S021; S045; S046</x:v>
      </x:c>
      <x:c r="O34" s="11" t="str">
        <x:v>Bộ 167</x:v>
      </x:c>
      <x:c r="P34" s="11" t="str">
        <x:v>Ứng viên giữ — có căn cứ khái niệm</x:v>
      </x:c>
      <x:c r="Q34" s="11" t="str"/>
    </x:row>
    <x:row r="35" ht="57" customHeight="1">
      <x:c r="A35" s="11" t="str">
        <x:v>T084</x:v>
      </x:c>
      <x:c r="B35" s="11" t="str">
        <x:v>Tổng thống</x:v>
      </x:c>
      <x:c r="C35" s="11" t="str">
        <x:v>대통령</x:v>
      </x:c>
      <x:c r="D35" s="11" t="str">
        <x:v>N1</x:v>
      </x:c>
      <x:c r="E35" s="11" t="str">
        <x:v>Đã gán theo nghĩa được chọn</x:v>
      </x:c>
      <x:c r="F35" s="11" t="str">
        <x:v>Phù hợp theo nghĩa làm việc</x:v>
      </x:c>
      <x:c r="G35" s="11" t="str">
        <x:v>Giữ làm đơn vị nghiên cứu</x:v>
      </x:c>
      <x:c r="H35" s="11" t="str">
        <x:v>Chính trị</x:v>
      </x:c>
      <x:c r="I35" s="11" t="str">
        <x:v>T084</x:v>
      </x:c>
      <x:c r="J35" s="11" t="str"/>
      <x:c r="K35" s="11" t="str">
        <x:v>Trạng thái tra từ điển Việt chưa được xác nhận từ một mục từ toàn cụm có đơn vị biên soạn trong lần này.</x:v>
      </x:c>
      <x:c r="L35" s="11" t="str">
        <x:v>S047</x:v>
      </x:c>
      <x:c r="M35" s="11" t="str">
        <x:v>S048</x:v>
      </x:c>
      <x:c r="N35" s="11" t="str">
        <x:v>S047; S048; S046</x:v>
      </x:c>
      <x:c r="O35" s="11" t="str">
        <x:v>Bộ 167</x:v>
      </x:c>
      <x:c r="P35" s="11" t="str">
        <x:v>Ứng viên giữ — có căn cứ khái niệm</x:v>
      </x:c>
      <x:c r="Q35" s="11" t="str"/>
    </x:row>
    <x:row r="36" ht="87" customHeight="1">
      <x:c r="A36" s="11" t="str">
        <x:v>T091</x:v>
      </x:c>
      <x:c r="B36" s="11" t="str">
        <x:v>Tổng Thư ký</x:v>
      </x:c>
      <x:c r="C36" s="11" t="str">
        <x:v>사무총장</x:v>
      </x:c>
      <x:c r="D36" s="11" t="str">
        <x:v>N1</x:v>
      </x:c>
      <x:c r="E36" s="11" t="str">
        <x:v>Đã gán theo nghĩa được chọn</x:v>
      </x:c>
      <x:c r="F36" s="16" t="str">
        <x:v>CẦN NGỮ CẢNH đối chiếu</x:v>
      </x:c>
      <x:c r="G36" s="11" t="str">
        <x:v>Giữ làm đơn vị nghiên cứu</x:v>
      </x:c>
      <x:c r="H36" s="11" t="str">
        <x:v>Chính trị và ngoại giao</x:v>
      </x:c>
      <x:c r="I36" s="11" t="str">
        <x:v>T091</x:v>
      </x:c>
      <x:c r="J36" s="11" t="str"/>
      <x:c r="K36" s="11" t="str">
        <x:v>Chức danh có thể ở nhiều loại tổ chức; nghiên cứu chỉ nhận lượt chỉ tổ chức chính trị/quốc tế trong nguồn.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36" s="11" t="str">
        <x:v>S049</x:v>
      </x:c>
      <x:c r="M36" s="11" t="str">
        <x:v>S049</x:v>
      </x:c>
      <x:c r="N36" s="11" t="str">
        <x:v>S049; S050</x:v>
      </x:c>
      <x:c r="O36" s="11" t="str">
        <x:v>Bộ 167</x:v>
      </x:c>
      <x:c r="P36" s="11" t="str">
        <x:v>Cần ngữ cảnh song ngữ</x:v>
      </x:c>
      <x:c r="Q36" s="11" t="str"/>
    </x:row>
    <x:row r="37" ht="57" customHeight="1">
      <x:c r="A37" s="11" t="str">
        <x:v>T080</x:v>
      </x:c>
      <x:c r="B37" s="11" t="str">
        <x:v>Ủy viên Bộ Chính trị</x:v>
      </x:c>
      <x:c r="C37" s="11" t="str">
        <x:v>중앙정치국 위원</x:v>
      </x:c>
      <x:c r="D37" s="11" t="str">
        <x:v>N1</x:v>
      </x:c>
      <x:c r="E37" s="11" t="str">
        <x:v>Đã gán theo nghĩa được chọn</x:v>
      </x:c>
      <x:c r="F37" s="11" t="str">
        <x:v>Phù hợp theo nghĩa làm việc</x:v>
      </x:c>
      <x:c r="G37" s="11" t="str">
        <x:v>Giữ làm đơn vị nghiên cứu</x:v>
      </x:c>
      <x:c r="H37" s="11" t="str">
        <x:v>Chính trị</x:v>
      </x:c>
      <x:c r="I37" s="11" t="str">
        <x:v>T080</x:v>
      </x:c>
      <x:c r="J37" s="11" t="str"/>
      <x:c r="K37" s="11" t="str">
        <x:v>Nghĩa Hàn do nghiên cứu diễn đạt theo nguồn vi; không phải định nghĩa từ điển Hàn. Trạng thái tra từ điển Việt chưa được xác nhận từ một mục từ toàn cụm có đơn vị biên soạn trong lần này.</x:v>
      </x:c>
      <x:c r="L37" s="11" t="str">
        <x:v>S021</x:v>
      </x:c>
      <x:c r="M37" s="11" t="str">
        <x:v>S021</x:v>
      </x:c>
      <x:c r="N37" s="11" t="str">
        <x:v>S021; S007</x:v>
      </x:c>
      <x:c r="O37" s="11" t="str">
        <x:v>Bộ 167</x:v>
      </x:c>
      <x:c r="P37" s="11" t="str">
        <x:v>Ứng viên giữ — có căn cứ khái niệm</x:v>
      </x:c>
      <x:c r="Q37" s="11" t="str"/>
    </x:row>
    <x:row r="38" ht="57" customHeight="1">
      <x:c r="A38" s="11" t="str">
        <x:v>T083</x:v>
      </x:c>
      <x:c r="B38" s="11" t="str">
        <x:v>Ủy viên Trung ương Đảng</x:v>
      </x:c>
      <x:c r="C38" s="11" t="str">
        <x:v>당 중앙위원회 위원</x:v>
      </x:c>
      <x:c r="D38" s="11" t="str">
        <x:v>N1</x:v>
      </x:c>
      <x:c r="E38" s="11" t="str">
        <x:v>Đã gán theo nghĩa được chọn</x:v>
      </x:c>
      <x:c r="F38" s="11" t="str">
        <x:v>Phù hợp theo nghĩa làm việc</x:v>
      </x:c>
      <x:c r="G38" s="11" t="str">
        <x:v>Giữ làm đơn vị nghiên cứu</x:v>
      </x:c>
      <x:c r="H38" s="11" t="str">
        <x:v>Chính trị</x:v>
      </x:c>
      <x:c r="I38" s="11" t="str">
        <x:v>T083</x:v>
      </x:c>
      <x:c r="J38" s="11" t="str"/>
      <x:c r="K38" s="11" t="str">
        <x:v>Nghĩa Hàn do nghiên cứu diễn đạt theo nguồn vi; không phải định nghĩa từ điển Hàn. Trạng thái tra từ điển Việt chưa được xác nhận từ một mục từ toàn cụm có đơn vị biên soạn trong lần này.</x:v>
      </x:c>
      <x:c r="L38" s="11" t="str">
        <x:v>S001</x:v>
      </x:c>
      <x:c r="M38" s="11" t="str">
        <x:v>S001</x:v>
      </x:c>
      <x:c r="N38" s="11" t="str">
        <x:v>S001; S020</x:v>
      </x:c>
      <x:c r="O38" s="11" t="str">
        <x:v>Bộ 167</x:v>
      </x:c>
      <x:c r="P38" s="11" t="str">
        <x:v>Ứng viên giữ — có căn cứ khái niệm</x:v>
      </x:c>
      <x:c r="Q38" s="11" t="str"/>
    </x:row>
    <x:row r="39" ht="57" customHeight="1">
      <x:c r="A39" s="11" t="str">
        <x:v>CGI003</x:v>
      </x:c>
      <x:c r="B39" s="11" t="str">
        <x:v>Ban Bí thư</x:v>
      </x:c>
      <x:c r="C39" s="11" t="str">
        <x:v>서기국</x:v>
      </x:c>
      <x:c r="D39" s="11" t="str">
        <x:v>N2</x:v>
      </x:c>
      <x:c r="E39" s="11" t="str">
        <x:v>Đã gán theo nghĩa được chọn</x:v>
      </x:c>
      <x:c r="F39" s="16" t="str">
        <x:v>CẦN NGỮ CẢNH đối chiếu</x:v>
      </x:c>
      <x:c r="G39" s="11" t="str">
        <x:v>Giữ làm đơn vị nghiên cứu</x:v>
      </x:c>
      <x:c r="H39" s="11" t="str">
        <x:v>Chính trị</x:v>
      </x:c>
      <x:c r="I39" s="11" t="str">
        <x:v>CGI003</x:v>
      </x:c>
      <x:c r="J39" s="11" t="str"/>
      <x:c r="K39" s="11" t="str">
        <x:v>Nghĩa Hàn do nghiên cứu diễn đạt theo nguồn vi; không phải định nghĩa từ điển Hàn.</x:v>
      </x:c>
      <x:c r="L39" s="11" t="str">
        <x:v>S021</x:v>
      </x:c>
      <x:c r="M39" s="11" t="str">
        <x:v>S021</x:v>
      </x:c>
      <x:c r="N39" s="11" t="str">
        <x:v>S021; S051</x:v>
      </x:c>
      <x:c r="O39" s="11" t="str">
        <x:v>Bộ 167</x:v>
      </x:c>
      <x:c r="P39" s="11" t="str">
        <x:v>Cần ngữ cảnh song ngữ</x:v>
      </x:c>
      <x:c r="Q39" s="11" t="str"/>
    </x:row>
    <x:row r="40" ht="57" customHeight="1">
      <x:c r="A40" s="11" t="str">
        <x:v>T113</x:v>
      </x:c>
      <x:c r="B40" s="11" t="str">
        <x:v>Ban Chấp hành Trung ương Đảng</x:v>
      </x:c>
      <x:c r="C40" s="11" t="str">
        <x:v>당 중앙위원회</x:v>
      </x:c>
      <x:c r="D40" s="11" t="str">
        <x:v>N2</x:v>
      </x:c>
      <x:c r="E40" s="11" t="str">
        <x:v>Đã gán theo nghĩa được chọn</x:v>
      </x:c>
      <x:c r="F40" s="11" t="str">
        <x:v>Phù hợp theo nghĩa làm việc</x:v>
      </x:c>
      <x:c r="G40" s="11" t="str">
        <x:v>Giữ làm đơn vị nghiên cứu</x:v>
      </x:c>
      <x:c r="H40" s="11" t="str">
        <x:v>Chính trị</x:v>
      </x:c>
      <x:c r="I40" s="11" t="str">
        <x:v>T113</x:v>
      </x:c>
      <x:c r="J40" s="11" t="str"/>
      <x:c r="K40" s="11" t="str">
        <x:v>Nghĩa Hàn do nghiên cứu diễn đạt theo nguồn vi; không phải định nghĩa từ điển Hàn.</x:v>
      </x:c>
      <x:c r="L40" s="11" t="str">
        <x:v>S009</x:v>
      </x:c>
      <x:c r="M40" s="11" t="str">
        <x:v>S009</x:v>
      </x:c>
      <x:c r="N40" s="11" t="str">
        <x:v>S009; S052</x:v>
      </x:c>
      <x:c r="O40" s="11" t="str">
        <x:v>Bộ 167</x:v>
      </x:c>
      <x:c r="P40" s="11" t="str">
        <x:v>Ứng viên giữ — có căn cứ khái niệm</x:v>
      </x:c>
      <x:c r="Q40" s="11" t="str"/>
    </x:row>
    <x:row r="41" ht="57" customHeight="1">
      <x:c r="A41" s="11" t="str">
        <x:v>T124</x:v>
      </x:c>
      <x:c r="B41" s="11" t="str">
        <x:v>Ban Tổ chức Trung ương</x:v>
      </x:c>
      <x:c r="C41" s="11" t="str">
        <x:v>중앙조직위원회</x:v>
      </x:c>
      <x:c r="D41" s="11" t="str">
        <x:v>N2</x:v>
      </x:c>
      <x:c r="E41" s="11" t="str">
        <x:v>Đã gán theo nghĩa được chọn</x:v>
      </x:c>
      <x:c r="F41" s="16" t="str">
        <x:v>CẦN NGỮ CẢNH đối chiếu</x:v>
      </x:c>
      <x:c r="G41" s="11" t="str">
        <x:v>Giữ làm đơn vị nghiên cứu</x:v>
      </x:c>
      <x:c r="H41" s="11" t="str">
        <x:v>Chính trị</x:v>
      </x:c>
      <x:c r="I41" s="11" t="str">
        <x:v>T124</x:v>
      </x:c>
      <x:c r="J41" s="11" t="str"/>
      <x:c r="K41" s="11" t="str">
        <x:v>Tên dịch 중앙조직위원회 cần xác định đúng Ban Tổ chức Trung ương của ĐCSVN; không dịch ngược mọi tổ chức mang tên này thành cùng cơ quan. Nghĩa Hàn do nghiên cứu diễn đạt theo nguồn vi; không phải định nghĩa từ điển Hàn.</x:v>
      </x:c>
      <x:c r="L41" s="11" t="str">
        <x:v>S053</x:v>
      </x:c>
      <x:c r="M41" s="11" t="str">
        <x:v>S053</x:v>
      </x:c>
      <x:c r="N41" s="11" t="str">
        <x:v>S053; S054</x:v>
      </x:c>
      <x:c r="O41" s="11" t="str">
        <x:v>Bộ 167</x:v>
      </x:c>
      <x:c r="P41" s="11" t="str">
        <x:v>Cần ngữ cảnh song ngữ</x:v>
      </x:c>
      <x:c r="Q41" s="11" t="str"/>
    </x:row>
    <x:row r="42" ht="57" customHeight="1">
      <x:c r="A42" s="11" t="str">
        <x:v>T123</x:v>
      </x:c>
      <x:c r="B42" s="11" t="str">
        <x:v>Ban Tuyên giáo và Dân vận Trung ương</x:v>
      </x:c>
      <x:c r="C42" s="11" t="str">
        <x:v>당 중앙위 선전교육대중동원위원회</x:v>
      </x:c>
      <x:c r="D42" s="11" t="str">
        <x:v>N2</x:v>
      </x:c>
      <x:c r="E42" s="11" t="str">
        <x:v>Đã gán theo nghĩa được chọn</x:v>
      </x:c>
      <x:c r="F42" s="16" t="str">
        <x:v>CẦN NGỮ CẢNH đối chiếu</x:v>
      </x:c>
      <x:c r="G42" s="11" t="str">
        <x:v>Giữ làm đơn vị nghiên cứu</x:v>
      </x:c>
      <x:c r="H42" s="11" t="str">
        <x:v>Chính trị</x:v>
      </x:c>
      <x:c r="I42" s="11" t="str">
        <x:v>T123</x:v>
      </x:c>
      <x:c r="J42" s="11" t="str"/>
      <x:c r="K42" s="11" t="str">
        <x:v>Tên cơ quan trong corpus; đã có nguồn đổi tên từ01/8/2026. Không thay nhãn lịch sử hoặc suy đó là cơ quan nhà nước; vẫn là cơ quan Đảng N2.4. Nghĩa Hàn do nghiên cứu diễn đạt theo nguồn vi; không phải định nghĩa từ điển Hàn.</x:v>
      </x:c>
      <x:c r="L42" s="11" t="str">
        <x:v>S001</x:v>
      </x:c>
      <x:c r="M42" s="11" t="str">
        <x:v>S001</x:v>
      </x:c>
      <x:c r="N42" s="11" t="str">
        <x:v>S001; S020; S034</x:v>
      </x:c>
      <x:c r="O42" s="11" t="str">
        <x:v>Bộ 167</x:v>
      </x:c>
      <x:c r="P42" s="11" t="str">
        <x:v>Cần ngữ cảnh song ngữ</x:v>
      </x:c>
      <x:c r="Q42" s="11" t="str"/>
    </x:row>
    <x:row r="43" ht="57" customHeight="1">
      <x:c r="A43" s="11" t="str">
        <x:v>T107</x:v>
      </x:c>
      <x:c r="B43" s="11" t="str">
        <x:v>Bộ Chính trị</x:v>
      </x:c>
      <x:c r="C43" s="11" t="str">
        <x:v>중앙정치국</x:v>
      </x:c>
      <x:c r="D43" s="11" t="str">
        <x:v>N2</x:v>
      </x:c>
      <x:c r="E43" s="11" t="str">
        <x:v>Đã gán theo nghĩa được chọn</x:v>
      </x:c>
      <x:c r="F43" s="11" t="str">
        <x:v>Phù hợp theo nghĩa làm việc</x:v>
      </x:c>
      <x:c r="G43" s="11" t="str">
        <x:v>Giữ làm đơn vị nghiên cứu</x:v>
      </x:c>
      <x:c r="H43" s="11" t="str">
        <x:v>Chính trị</x:v>
      </x:c>
      <x:c r="I43" s="11" t="str">
        <x:v>T107</x:v>
      </x:c>
      <x:c r="J43" s="11" t="str"/>
      <x:c r="K43" s="11" t="str">
        <x:v>Nghĩa Hàn do nghiên cứu diễn đạt theo nguồn vi; không phải định nghĩa từ điển Hàn.</x:v>
      </x:c>
      <x:c r="L43" s="11" t="str">
        <x:v>S021</x:v>
      </x:c>
      <x:c r="M43" s="11" t="str">
        <x:v>S021</x:v>
      </x:c>
      <x:c r="N43" s="11" t="str">
        <x:v>S021; S032</x:v>
      </x:c>
      <x:c r="O43" s="11" t="str">
        <x:v>Bộ 167</x:v>
      </x:c>
      <x:c r="P43" s="11" t="str">
        <x:v>Ứng viên giữ — có căn cứ khái niệm</x:v>
      </x:c>
      <x:c r="Q43" s="11" t="str"/>
    </x:row>
    <x:row r="44" ht="57" customHeight="1">
      <x:c r="A44" s="11" t="str">
        <x:v>T119</x:v>
      </x:c>
      <x:c r="B44" s="11" t="str">
        <x:v>Bộ Công an</x:v>
      </x:c>
      <x:c r="C44" s="11" t="str">
        <x:v>공안부</x:v>
      </x:c>
      <x:c r="D44" s="11" t="str">
        <x:v>N2</x:v>
      </x:c>
      <x:c r="E44" s="11" t="str">
        <x:v>Đã gán theo nghĩa được chọn</x:v>
      </x:c>
      <x:c r="F44" s="16" t="str">
        <x:v>CẦN NGỮ CẢNH đối chiếu</x:v>
      </x:c>
      <x:c r="G44" s="11" t="str">
        <x:v>Giữ làm đơn vị nghiên cứu</x:v>
      </x:c>
      <x:c r="H44" s="11" t="str">
        <x:v>Chính trị</x:v>
      </x:c>
      <x:c r="I44" s="11" t="str">
        <x:v>T119</x:v>
      </x:c>
      <x:c r="J44" s="11" t="str"/>
      <x:c r="K44" s="11" t="str">
        <x:v>Nghĩa Hàn do nghiên cứu diễn đạt theo nguồn vi; không phải định nghĩa từ điển Hàn. Định nghĩa Việt là nghĩa làm việc; nguồn xác nhận cách dùng hoặc chức năng, chưa phải mục từ giải nghĩa trực tiếp.</x:v>
      </x:c>
      <x:c r="L44" s="11" t="str">
        <x:v>S005</x:v>
      </x:c>
      <x:c r="M44" s="11" t="str">
        <x:v>S005</x:v>
      </x:c>
      <x:c r="N44" s="11" t="str">
        <x:v>S005; S055</x:v>
      </x:c>
      <x:c r="O44" s="11" t="str">
        <x:v>Bộ 167</x:v>
      </x:c>
      <x:c r="P44" s="11" t="str">
        <x:v>Cần ngữ cảnh song ngữ</x:v>
      </x:c>
      <x:c r="Q44" s="11" t="str"/>
    </x:row>
    <x:row r="45" ht="57" customHeight="1">
      <x:c r="A45" s="11" t="str">
        <x:v>M025</x:v>
      </x:c>
      <x:c r="B45" s="11" t="str">
        <x:v>Bộ Công Thương</x:v>
      </x:c>
      <x:c r="C45" s="11" t="str">
        <x:v>베트남 산업통상부</x:v>
      </x:c>
      <x:c r="D45" s="11" t="str">
        <x:v>N2</x:v>
      </x:c>
      <x:c r="E45" s="11" t="str">
        <x:v>Đã gán theo nghĩa được chọn</x:v>
      </x:c>
      <x:c r="F45" s="11" t="str">
        <x:v>Phù hợp theo nghĩa làm việc</x:v>
      </x:c>
      <x:c r="G45" s="11" t="str">
        <x:v>Giữ làm đơn vị nghiên cứu</x:v>
      </x:c>
      <x:c r="H45" s="11" t="str">
        <x:v>Chính trị</x:v>
      </x:c>
      <x:c r="I45" s="11" t="str">
        <x:v>M025</x:v>
      </x:c>
      <x:c r="J45" s="11" t="str"/>
      <x:c r="K45" s="11" t="str">
        <x:v>Nghĩa Hàn do nghiên cứu diễn đạt theo nguồn vi; không phải định nghĩa từ điển Hàn.</x:v>
      </x:c>
      <x:c r="L45" s="11" t="str">
        <x:v>S056</x:v>
      </x:c>
      <x:c r="M45" s="11" t="str">
        <x:v>S056</x:v>
      </x:c>
      <x:c r="N45" s="11" t="str">
        <x:v>S056; S055</x:v>
      </x:c>
      <x:c r="O45" s="11" t="str">
        <x:v>Bộ 167</x:v>
      </x:c>
      <x:c r="P45" s="11" t="str">
        <x:v>Ứng viên giữ — có căn cứ khái niệm</x:v>
      </x:c>
      <x:c r="Q45" s="11" t="str"/>
    </x:row>
    <x:row r="46" ht="57" customHeight="1">
      <x:c r="A46" s="11" t="str">
        <x:v>M023</x:v>
      </x:c>
      <x:c r="B46" s="11" t="str">
        <x:v>Bộ Khoa học và Công nghệ</x:v>
      </x:c>
      <x:c r="C46" s="11" t="str">
        <x:v>과학기술부</x:v>
      </x:c>
      <x:c r="D46" s="11" t="str">
        <x:v>N2</x:v>
      </x:c>
      <x:c r="E46" s="11" t="str">
        <x:v>Đã gán theo nghĩa được chọn</x:v>
      </x:c>
      <x:c r="F46" s="16" t="str">
        <x:v>CẦN NGỮ CẢNH đối chiếu</x:v>
      </x:c>
      <x:c r="G46" s="11" t="str">
        <x:v>Giữ làm đơn vị nghiên cứu</x:v>
      </x:c>
      <x:c r="H46" s="11" t="str">
        <x:v>Chính trị</x:v>
      </x:c>
      <x:c r="I46" s="11" t="str">
        <x:v>M023</x:v>
      </x:c>
      <x:c r="J46" s="11" t="str"/>
      <x:c r="K46" s="11" t="str">
        <x:v>Nghĩa Hàn do nghiên cứu diễn đạt theo nguồn vi; không phải định nghĩa từ điển Hàn.</x:v>
      </x:c>
      <x:c r="L46" s="11" t="str">
        <x:v>S057</x:v>
      </x:c>
      <x:c r="M46" s="11" t="str">
        <x:v>S057</x:v>
      </x:c>
      <x:c r="N46" s="11" t="str">
        <x:v>S057; S055</x:v>
      </x:c>
      <x:c r="O46" s="11" t="str">
        <x:v>Bộ 167</x:v>
      </x:c>
      <x:c r="P46" s="11" t="str">
        <x:v>Cần ngữ cảnh song ngữ</x:v>
      </x:c>
      <x:c r="Q46" s="11" t="str"/>
    </x:row>
    <x:row r="47" ht="102" customHeight="1">
      <x:c r="A47" s="11" t="str">
        <x:v>T130</x:v>
      </x:c>
      <x:c r="B47" s="11" t="str">
        <x:v>bộ máy nhà nước</x:v>
      </x:c>
      <x:c r="C47" s="11" t="str">
        <x:v>국가기구</x:v>
      </x:c>
      <x:c r="D47" s="11" t="str">
        <x:v>N2</x:v>
      </x:c>
      <x:c r="E47" s="11" t="str">
        <x:v>Đã gán theo nghĩa được chọn</x:v>
      </x:c>
      <x:c r="F47" s="16" t="str">
        <x:v>CẦN NGỮ CẢNH đối chiếu</x:v>
      </x:c>
      <x:c r="G47" s="11" t="str">
        <x:v>Giữ làm đơn vị nghiên cứu</x:v>
      </x:c>
      <x:c r="H47" s="11" t="str">
        <x:v>Chính trị</x:v>
      </x:c>
      <x:c r="I47" s="11" t="str">
        <x:v>T130</x:v>
      </x:c>
      <x:c r="J47" s="11" t="str"/>
      <x:c r="K47" s="11" t="str">
        <x:v>Chọn nghĩa toàn bộ các cơ quan như chủ thể tập thể; nếu 국가기구 chỉ riêng một cơ quan cần ghi lại phạm vi, không coi là mô hình trừu tượng.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47" s="11" t="str">
        <x:v>S003</x:v>
      </x:c>
      <x:c r="M47" s="11" t="str">
        <x:v>S003</x:v>
      </x:c>
      <x:c r="N47" s="11" t="str">
        <x:v>S003; S058</x:v>
      </x:c>
      <x:c r="O47" s="11" t="str">
        <x:v>Bộ 167</x:v>
      </x:c>
      <x:c r="P47" s="11" t="str">
        <x:v>Cần ngữ cảnh song ngữ</x:v>
      </x:c>
      <x:c r="Q47" s="11" t="str"/>
    </x:row>
    <x:row r="48" ht="57" customHeight="1">
      <x:c r="A48" s="11" t="str">
        <x:v>T120</x:v>
      </x:c>
      <x:c r="B48" s="11" t="str">
        <x:v>Bộ Ngoại giao</x:v>
      </x:c>
      <x:c r="C48" s="11" t="str">
        <x:v>외교부</x:v>
      </x:c>
      <x:c r="D48" s="11" t="str">
        <x:v>N2</x:v>
      </x:c>
      <x:c r="E48" s="11" t="str">
        <x:v>Đã gán theo nghĩa được chọn</x:v>
      </x:c>
      <x:c r="F48" s="16" t="str">
        <x:v>CẦN NGỮ CẢNH đối chiếu</x:v>
      </x:c>
      <x:c r="G48" s="11" t="str">
        <x:v>Giữ làm đơn vị nghiên cứu</x:v>
      </x:c>
      <x:c r="H48" s="11" t="str">
        <x:v>Chính trị và ngoại giao</x:v>
      </x:c>
      <x:c r="I48" s="11" t="str">
        <x:v>T120</x:v>
      </x:c>
      <x:c r="J48" s="11" t="str"/>
      <x:c r="K48" s="11" t="str">
        <x:v>Nghĩa Hàn do nghiên cứu diễn đạt theo nguồn vi; không phải định nghĩa từ điển Hàn.</x:v>
      </x:c>
      <x:c r="L48" s="11" t="str">
        <x:v>S059</x:v>
      </x:c>
      <x:c r="M48" s="11" t="str">
        <x:v>S059</x:v>
      </x:c>
      <x:c r="N48" s="11" t="str">
        <x:v>S059; S052</x:v>
      </x:c>
      <x:c r="O48" s="11" t="str">
        <x:v>Bộ 167</x:v>
      </x:c>
      <x:c r="P48" s="11" t="str">
        <x:v>Cần ngữ cảnh song ngữ</x:v>
      </x:c>
      <x:c r="Q48" s="11" t="str"/>
    </x:row>
    <x:row r="49" ht="57" customHeight="1">
      <x:c r="A49" s="11" t="str">
        <x:v>T114</x:v>
      </x:c>
      <x:c r="B49" s="11" t="str">
        <x:v>Bộ Quốc phòng</x:v>
      </x:c>
      <x:c r="C49" s="11" t="str">
        <x:v>국방부</x:v>
      </x:c>
      <x:c r="D49" s="11" t="str">
        <x:v>N2</x:v>
      </x:c>
      <x:c r="E49" s="11" t="str">
        <x:v>Đã gán theo nghĩa được chọn</x:v>
      </x:c>
      <x:c r="F49" s="16" t="str">
        <x:v>CẦN NGỮ CẢNH đối chiếu</x:v>
      </x:c>
      <x:c r="G49" s="11" t="str">
        <x:v>Giữ làm đơn vị nghiên cứu</x:v>
      </x:c>
      <x:c r="H49" s="11" t="str">
        <x:v>Chính trị</x:v>
      </x:c>
      <x:c r="I49" s="11" t="str">
        <x:v>T114</x:v>
      </x:c>
      <x:c r="J49" s="11" t="str"/>
      <x:c r="K49" s="11" t="str">
        <x:v>Nghĩa Hàn do nghiên cứu diễn đạt theo nguồn vi; không phải định nghĩa từ điển Hàn.</x:v>
      </x:c>
      <x:c r="L49" s="11" t="str">
        <x:v>S008</x:v>
      </x:c>
      <x:c r="M49" s="11" t="str">
        <x:v>S008</x:v>
      </x:c>
      <x:c r="N49" s="11" t="str">
        <x:v>S008; S060</x:v>
      </x:c>
      <x:c r="O49" s="11" t="str">
        <x:v>Bộ 167</x:v>
      </x:c>
      <x:c r="P49" s="11" t="str">
        <x:v>Cần ngữ cảnh song ngữ</x:v>
      </x:c>
      <x:c r="Q49" s="11" t="str"/>
    </x:row>
    <x:row r="50" ht="57" customHeight="1">
      <x:c r="A50" s="11" t="str">
        <x:v>M029</x:v>
      </x:c>
      <x:c r="B50" s="11" t="str">
        <x:v>Bộ Y tế</x:v>
      </x:c>
      <x:c r="C50" s="11" t="str">
        <x:v>베트남 보건부</x:v>
      </x:c>
      <x:c r="D50" s="11" t="str">
        <x:v>N2</x:v>
      </x:c>
      <x:c r="E50" s="11" t="str">
        <x:v>Đã gán theo nghĩa được chọn</x:v>
      </x:c>
      <x:c r="F50" s="16" t="str">
        <x:v>CẦN NGỮ CẢNH đối chiếu</x:v>
      </x:c>
      <x:c r="G50" s="11" t="str">
        <x:v>Giữ làm đơn vị nghiên cứu</x:v>
      </x:c>
      <x:c r="H50" s="11" t="str">
        <x:v>Chính trị</x:v>
      </x:c>
      <x:c r="I50" s="11" t="str">
        <x:v>M029</x:v>
      </x:c>
      <x:c r="J50" s="11" t="str"/>
      <x:c r="K50" s="11" t="str">
        <x:v>Nghĩa Hàn do nghiên cứu diễn đạt theo nguồn vi; không phải định nghĩa từ điển Hàn. Định nghĩa Việt là nghĩa làm việc; nguồn xác nhận cách dùng hoặc chức năng, chưa phải mục từ giải nghĩa trực tiếp.</x:v>
      </x:c>
      <x:c r="L50" s="11" t="str">
        <x:v>S047</x:v>
      </x:c>
      <x:c r="M50" s="11" t="str">
        <x:v>S047</x:v>
      </x:c>
      <x:c r="N50" s="11" t="str">
        <x:v>S047; S055</x:v>
      </x:c>
      <x:c r="O50" s="11" t="str">
        <x:v>Bộ 167</x:v>
      </x:c>
      <x:c r="P50" s="11" t="str">
        <x:v>Cần ngữ cảnh song ngữ</x:v>
      </x:c>
      <x:c r="Q50" s="11" t="str"/>
    </x:row>
    <x:row r="51" ht="57" customHeight="1">
      <x:c r="A51" s="11" t="str">
        <x:v>M039</x:v>
      </x:c>
      <x:c r="B51" s="11" t="str">
        <x:v>Cảnh sát biển Việt Nam</x:v>
      </x:c>
      <x:c r="C51" s="11" t="str">
        <x:v>베트남 해경</x:v>
      </x:c>
      <x:c r="D51" s="11" t="str">
        <x:v>N2</x:v>
      </x:c>
      <x:c r="E51" s="11" t="str">
        <x:v>Đã gán theo nghĩa được chọn</x:v>
      </x:c>
      <x:c r="F51" s="11" t="str">
        <x:v>Phù hợp theo nghĩa làm việc</x:v>
      </x:c>
      <x:c r="G51" s="11" t="str">
        <x:v>Giữ làm đơn vị nghiên cứu</x:v>
      </x:c>
      <x:c r="H51" s="11" t="str">
        <x:v>Chính trị và ngoại giao</x:v>
      </x:c>
      <x:c r="I51" s="11" t="str">
        <x:v>M039</x:v>
      </x:c>
      <x:c r="J51" s="11" t="str"/>
      <x:c r="K51" s="11" t="str">
        <x:v>Nghĩa Hàn do nghiên cứu diễn đạt theo nguồn vi; không phải định nghĩa từ điển Hàn.</x:v>
      </x:c>
      <x:c r="L51" s="11" t="str">
        <x:v>S061</x:v>
      </x:c>
      <x:c r="M51" s="11" t="str">
        <x:v>S061</x:v>
      </x:c>
      <x:c r="N51" s="11" t="str">
        <x:v>S061; S062</x:v>
      </x:c>
      <x:c r="O51" s="11" t="str">
        <x:v>Bộ 167</x:v>
      </x:c>
      <x:c r="P51" s="11" t="str">
        <x:v>Ứng viên giữ — có căn cứ khái niệm</x:v>
      </x:c>
      <x:c r="Q51" s="11" t="str"/>
    </x:row>
    <x:row r="52" ht="57" customHeight="1">
      <x:c r="A52" s="11" t="str">
        <x:v>T105</x:v>
      </x:c>
      <x:c r="B52" s="11" t="str">
        <x:v>Chính phủ</x:v>
      </x:c>
      <x:c r="C52" s="11" t="str">
        <x:v>정부</x:v>
      </x:c>
      <x:c r="D52" s="11" t="str">
        <x:v>N2</x:v>
      </x:c>
      <x:c r="E52" s="11" t="str">
        <x:v>Đã gán theo nghĩa được chọn</x:v>
      </x:c>
      <x:c r="F52" s="11" t="str">
        <x:v>Phù hợp theo nghĩa làm việc</x:v>
      </x:c>
      <x:c r="G52" s="11" t="str">
        <x:v>Giữ làm đơn vị nghiên cứu</x:v>
      </x:c>
      <x:c r="H52" s="11" t="str">
        <x:v>Chính trị</x:v>
      </x:c>
      <x:c r="I52" s="11" t="str">
        <x:v>T105</x:v>
      </x:c>
      <x:c r="J52" s="11" t="str"/>
      <x:c r="K52" s="11" t="str">
        <x:v>Nghĩa Hàn do nghiên cứu diễn đạt theo nguồn vi; không phải định nghĩa từ điển Hàn. Trạng thái tra từ điển Việt chưa được xác nhận từ một mục từ toàn cụm có đơn vị biên soạn trong lần này.</x:v>
      </x:c>
      <x:c r="L52" s="11" t="str">
        <x:v>S003</x:v>
      </x:c>
      <x:c r="M52" s="11" t="str">
        <x:v>S003</x:v>
      </x:c>
      <x:c r="N52" s="11" t="str">
        <x:v>S003; S063</x:v>
      </x:c>
      <x:c r="O52" s="11" t="str">
        <x:v>Bộ 167</x:v>
      </x:c>
      <x:c r="P52" s="11" t="str">
        <x:v>Ứng viên giữ — có căn cứ khái niệm</x:v>
      </x:c>
      <x:c r="Q52" s="11" t="str"/>
    </x:row>
    <x:row r="53" ht="102" customHeight="1">
      <x:c r="A53" s="11" t="str">
        <x:v>M051</x:v>
      </x:c>
      <x:c r="B53" s="11" t="str">
        <x:v>cơ quan ngôn luận của Đảng</x:v>
      </x:c>
      <x:c r="C53" s="11" t="str">
        <x:v>당 기관지</x:v>
      </x:c>
      <x:c r="D53" s="11" t="str">
        <x:v>N2</x:v>
      </x:c>
      <x:c r="E53" s="11" t="str">
        <x:v>N2 theo nghĩa Việt; Hàn khác đối tượng</x:v>
      </x:c>
      <x:c r="F53" s="19" t="str">
        <x:v>CẦN ĐỐI CHIẾU — khác phạm vi</x:v>
      </x:c>
      <x:c r="G53" s="11" t="str">
        <x:v>Cần xem xét tư cách/phạm vi</x:v>
      </x:c>
      <x:c r="H53" s="11" t="str">
        <x:v>Chính trị</x:v>
      </x:c>
      <x:c r="I53" s="11" t="str">
        <x:v>M051</x:v>
      </x:c>
      <x:c r="J53" s="11" t="str"/>
      <x:c r="K53" s="11" t="str">
        <x:v>Cờ chênh lệch cơ quan–ấn phẩm: Việt chọn tổ chức báo chí; 기관지 gọi tờ báo/ấn phẩm. Chỉ tra thấy mục thành tố 기관지, chưa xác nhận mục toàn cụm 당 기관지. Không ép hai phía vào cùng loại đối tượng. Nghĩa Hàn do nghiên cứu diễn đạt theo nguồn ko;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53" s="11" t="str">
        <x:v>S064</x:v>
      </x:c>
      <x:c r="M53" s="11" t="str">
        <x:v>S065</x:v>
      </x:c>
      <x:c r="N53" s="11" t="str">
        <x:v>S064; S065; S066</x:v>
      </x:c>
      <x:c r="O53" s="11" t="str">
        <x:v>Bộ 167</x:v>
      </x:c>
      <x:c r="P53" s="11" t="str">
        <x:v>Cần đối chiếu/sửa cặp</x:v>
      </x:c>
      <x:c r="Q53" s="11" t="str"/>
    </x:row>
    <x:row r="54" ht="57" customHeight="1">
      <x:c r="A54" s="11" t="str">
        <x:v>T171</x:v>
      </x:c>
      <x:c r="B54" s="11" t="str">
        <x:v>Đại hội đồng Liên hợp quốc</x:v>
      </x:c>
      <x:c r="C54" s="11" t="str">
        <x:v>유엔 총회</x:v>
      </x:c>
      <x:c r="D54" s="11" t="str">
        <x:v>N2</x:v>
      </x:c>
      <x:c r="E54" s="11" t="str">
        <x:v>Đã gán theo nghĩa được chọn</x:v>
      </x:c>
      <x:c r="F54" s="11" t="str">
        <x:v>Phù hợp theo nghĩa làm việc</x:v>
      </x:c>
      <x:c r="G54" s="11" t="str">
        <x:v>Giữ làm đơn vị nghiên cứu</x:v>
      </x:c>
      <x:c r="H54" s="11" t="str">
        <x:v>Ngoại giao</x:v>
      </x:c>
      <x:c r="I54" s="11" t="str">
        <x:v>T171</x:v>
      </x:c>
      <x:c r="J54" s="11" t="str"/>
      <x:c r="K54" s="11" t="str">
        <x:v>Nghĩa Hàn do nghiên cứu diễn đạt theo nguồn en; không phải định nghĩa từ điển Hàn.</x:v>
      </x:c>
      <x:c r="L54" s="11" t="str">
        <x:v>S067</x:v>
      </x:c>
      <x:c r="M54" s="11" t="str">
        <x:v>S067</x:v>
      </x:c>
      <x:c r="N54" s="11" t="str">
        <x:v>S067; S068</x:v>
      </x:c>
      <x:c r="O54" s="11" t="str">
        <x:v>Bộ 167</x:v>
      </x:c>
      <x:c r="P54" s="11" t="str">
        <x:v>Ứng viên giữ — có căn cứ khái niệm</x:v>
      </x:c>
      <x:c r="Q54" s="11" t="str"/>
    </x:row>
    <x:row r="55" ht="57" customHeight="1">
      <x:c r="A55" s="11" t="str">
        <x:v>M037</x:v>
      </x:c>
      <x:c r="B55" s="11" t="str">
        <x:v>đại sứ quán</x:v>
      </x:c>
      <x:c r="C55" s="11" t="str">
        <x:v>대사관</x:v>
      </x:c>
      <x:c r="D55" s="11" t="str">
        <x:v>N2</x:v>
      </x:c>
      <x:c r="E55" s="11" t="str">
        <x:v>Đã gán theo nghĩa được chọn</x:v>
      </x:c>
      <x:c r="F55" s="11" t="str">
        <x:v>Phù hợp theo nghĩa làm việc</x:v>
      </x:c>
      <x:c r="G55" s="11" t="str">
        <x:v>Giữ làm đơn vị nghiên cứu</x:v>
      </x:c>
      <x:c r="H55" s="11" t="str">
        <x:v>Ngoại giao</x:v>
      </x:c>
      <x:c r="I55" s="11" t="str">
        <x:v>M037</x:v>
      </x:c>
      <x:c r="J55" s="11" t="str"/>
      <x:c r="K55" s="11" t="str">
        <x:v>Trạng thái tra từ điển Việt chưa được xác nhận từ một mục từ toàn cụm có đơn vị biên soạn trong lần này.</x:v>
      </x:c>
      <x:c r="L55" s="11" t="str">
        <x:v>S019</x:v>
      </x:c>
      <x:c r="M55" s="11" t="str">
        <x:v>S069</x:v>
      </x:c>
      <x:c r="N55" s="11" t="str">
        <x:v>S019; S069; S013</x:v>
      </x:c>
      <x:c r="O55" s="11" t="str">
        <x:v>Bộ 167</x:v>
      </x:c>
      <x:c r="P55" s="11" t="str">
        <x:v>Ứng viên giữ — có căn cứ khái niệm</x:v>
      </x:c>
      <x:c r="Q55" s="11" t="str"/>
    </x:row>
    <x:row r="56" ht="102" customHeight="1">
      <x:c r="A56" s="11" t="str">
        <x:v>T110</x:v>
      </x:c>
      <x:c r="B56" s="11" t="str">
        <x:v>đảng bộ</x:v>
      </x:c>
      <x:c r="C56" s="11" t="str">
        <x:v>당 조직</x:v>
      </x:c>
      <x:c r="D56" s="11" t="str">
        <x:v>N2</x:v>
      </x:c>
      <x:c r="E56" s="11" t="str">
        <x:v>Đã gán theo nghĩa được chọn</x:v>
      </x:c>
      <x:c r="F56" s="19" t="str">
        <x:v>CẦN ĐỐI CHIẾU — khác phạm vi</x:v>
      </x:c>
      <x:c r="G56" s="11" t="str">
        <x:v>Cần xem xét tư cách/phạm vi</x:v>
      </x:c>
      <x:c r="H56" s="11" t="str">
        <x:v>Chính trị</x:v>
      </x:c>
      <x:c r="I56" s="11" t="str">
        <x:v>T110</x:v>
      </x:c>
      <x:c r="J56" s="11" t="str"/>
      <x:c r="K56" s="11" t="str">
        <x:v>당 조직 rộng hơn đảng bộ; lượt Hàn nói Viêng Chăn. Điều lệ ĐCSVN chỉ giải thích phạm vi Việt, không chứng minh cơ cấu Lào tương đương. Cặp cần rà soát.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56" s="11" t="str">
        <x:v>S021</x:v>
      </x:c>
      <x:c r="M56" s="11" t="str">
        <x:v>S021</x:v>
      </x:c>
      <x:c r="N56" s="11" t="str">
        <x:v>S021; S070</x:v>
      </x:c>
      <x:c r="O56" s="11" t="str">
        <x:v>Bộ 167</x:v>
      </x:c>
      <x:c r="P56" s="11" t="str">
        <x:v>Cần đối chiếu/sửa cặp</x:v>
      </x:c>
      <x:c r="Q56" s="11" t="str"/>
    </x:row>
    <x:row r="57" ht="102" customHeight="1">
      <x:c r="A57" s="11" t="str">
        <x:v>T109</x:v>
      </x:c>
      <x:c r="B57" s="11" t="str">
        <x:v>Đảng Cộng sản</x:v>
      </x:c>
      <x:c r="C57" s="11" t="str">
        <x:v>공산당</x:v>
      </x:c>
      <x:c r="D57" s="11" t="str">
        <x:v>N2</x:v>
      </x:c>
      <x:c r="E57" s="11" t="str">
        <x:v>Đã gán theo nghĩa được chọn</x:v>
      </x:c>
      <x:c r="F57" s="11" t="str">
        <x:v>Phù hợp theo nghĩa làm việc</x:v>
      </x:c>
      <x:c r="G57" s="11" t="str">
        <x:v>Giữ làm đơn vị nghiên cứu</x:v>
      </x:c>
      <x:c r="H57" s="11" t="str">
        <x:v>Chính trị</x:v>
      </x:c>
      <x:c r="I57" s="11" t="str">
        <x:v>T109</x:v>
      </x:c>
      <x:c r="J57" s="11" t="str"/>
      <x:c r="K57" s="11" t="str">
        <x:v>Nguồn hệ thống chính trị mô tả ĐCSVN; định nghĩa loại chung Đảng Cộng sản là nghĩa làm việc rộng hơn, chưa có mục từ trực tiếp trong lần rà này.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57" s="11" t="str">
        <x:v>S009</x:v>
      </x:c>
      <x:c r="M57" s="11" t="str">
        <x:v>S009</x:v>
      </x:c>
      <x:c r="N57" s="11" t="str">
        <x:v>S009; S071</x:v>
      </x:c>
      <x:c r="O57" s="11" t="str">
        <x:v>Bộ 167</x:v>
      </x:c>
      <x:c r="P57" s="11" t="str">
        <x:v>Cần bổ sung nguồn định nghĩa</x:v>
      </x:c>
      <x:c r="Q57" s="11" t="str"/>
    </x:row>
    <x:row r="58" ht="57" customHeight="1">
      <x:c r="A58" s="11" t="str">
        <x:v>T111</x:v>
      </x:c>
      <x:c r="B58" s="11" t="str">
        <x:v>Đảng Cộng sản Việt Nam</x:v>
      </x:c>
      <x:c r="C58" s="11" t="str">
        <x:v>베트남 공산당</x:v>
      </x:c>
      <x:c r="D58" s="11" t="str">
        <x:v>N2</x:v>
      </x:c>
      <x:c r="E58" s="11" t="str">
        <x:v>Đã gán theo nghĩa được chọn</x:v>
      </x:c>
      <x:c r="F58" s="11" t="str">
        <x:v>Phù hợp theo nghĩa làm việc</x:v>
      </x:c>
      <x:c r="G58" s="11" t="str">
        <x:v>Giữ làm đơn vị nghiên cứu</x:v>
      </x:c>
      <x:c r="H58" s="11" t="str">
        <x:v>Chính trị</x:v>
      </x:c>
      <x:c r="I58" s="11" t="str">
        <x:v>T111</x:v>
      </x:c>
      <x:c r="J58" s="11" t="str"/>
      <x:c r="K58" s="11" t="str">
        <x:v>Nghĩa Hàn do nghiên cứu diễn đạt theo nguồn vi; không phải định nghĩa từ điển Hàn.</x:v>
      </x:c>
      <x:c r="L58" s="11" t="str">
        <x:v>S009</x:v>
      </x:c>
      <x:c r="M58" s="11" t="str">
        <x:v>S009</x:v>
      </x:c>
      <x:c r="N58" s="11" t="str">
        <x:v>S009; S066</x:v>
      </x:c>
      <x:c r="O58" s="11" t="str">
        <x:v>Bộ 167</x:v>
      </x:c>
      <x:c r="P58" s="11" t="str">
        <x:v>Ứng viên giữ — có căn cứ khái niệm</x:v>
      </x:c>
      <x:c r="Q58" s="11" t="str"/>
    </x:row>
    <x:row r="59" ht="57" customHeight="1">
      <x:c r="A59" s="11" t="str">
        <x:v>T125</x:v>
      </x:c>
      <x:c r="B59" s="11" t="str">
        <x:v>Đảng Nhân dân Cách mạng Lào</x:v>
      </x:c>
      <x:c r="C59" s="11" t="str">
        <x:v>라오인민혁명당</x:v>
      </x:c>
      <x:c r="D59" s="11" t="str">
        <x:v>N2</x:v>
      </x:c>
      <x:c r="E59" s="11" t="str">
        <x:v>Đã gán theo nghĩa được chọn</x:v>
      </x:c>
      <x:c r="F59" s="11" t="str">
        <x:v>Phù hợp theo nghĩa làm việc</x:v>
      </x:c>
      <x:c r="G59" s="11" t="str">
        <x:v>Giữ làm đơn vị nghiên cứu</x:v>
      </x:c>
      <x:c r="H59" s="11" t="str">
        <x:v>Chính trị</x:v>
      </x:c>
      <x:c r="I59" s="11" t="str">
        <x:v>T125</x:v>
      </x:c>
      <x:c r="J59" s="11" t="str"/>
      <x:c r="K59" s="11" t="str">
        <x:v>Nghĩa Hàn do nghiên cứu diễn đạt theo nguồn ko; không phải định nghĩa từ điển Hàn.</x:v>
      </x:c>
      <x:c r="L59" s="11" t="str">
        <x:v>S072</x:v>
      </x:c>
      <x:c r="M59" s="11" t="str">
        <x:v>S072</x:v>
      </x:c>
      <x:c r="N59" s="11" t="str">
        <x:v>S072; S073</x:v>
      </x:c>
      <x:c r="O59" s="11" t="str">
        <x:v>Bộ 167</x:v>
      </x:c>
      <x:c r="P59" s="11" t="str">
        <x:v>Ứng viên giữ — có căn cứ khái niệm</x:v>
      </x:c>
      <x:c r="Q59" s="11" t="str"/>
    </x:row>
    <x:row r="60" ht="57" customHeight="1">
      <x:c r="A60" s="11" t="str">
        <x:v>T128</x:v>
      </x:c>
      <x:c r="B60" s="11" t="str">
        <x:v>Đảng Nhân dân Campuchia</x:v>
      </x:c>
      <x:c r="C60" s="11" t="str">
        <x:v>캄보디아 인민당</x:v>
      </x:c>
      <x:c r="D60" s="11" t="str">
        <x:v>N2</x:v>
      </x:c>
      <x:c r="E60" s="11" t="str">
        <x:v>Đã gán theo nghĩa được chọn</x:v>
      </x:c>
      <x:c r="F60" s="11" t="str">
        <x:v>Phù hợp theo nghĩa làm việc</x:v>
      </x:c>
      <x:c r="G60" s="11" t="str">
        <x:v>Giữ làm đơn vị nghiên cứu</x:v>
      </x:c>
      <x:c r="H60" s="11" t="str">
        <x:v>Chính trị</x:v>
      </x:c>
      <x:c r="I60" s="11" t="str">
        <x:v>T128</x:v>
      </x:c>
      <x:c r="J60" s="11" t="str"/>
      <x:c r="K60" s="11" t="str">
        <x:v>Nghĩa Hàn do nghiên cứu diễn đạt theo nguồn ko; không phải định nghĩa từ điển Hàn.</x:v>
      </x:c>
      <x:c r="L60" s="11" t="str">
        <x:v>S074</x:v>
      </x:c>
      <x:c r="M60" s="11" t="str">
        <x:v>S074</x:v>
      </x:c>
      <x:c r="N60" s="11" t="str">
        <x:v>S074; S058</x:v>
      </x:c>
      <x:c r="O60" s="11" t="str">
        <x:v>Bộ 167</x:v>
      </x:c>
      <x:c r="P60" s="11" t="str">
        <x:v>Ứng viên giữ — có căn cứ khái niệm</x:v>
      </x:c>
      <x:c r="Q60" s="11" t="str"/>
    </x:row>
    <x:row r="61" ht="57" customHeight="1">
      <x:c r="A61" s="11" t="str">
        <x:v>T108</x:v>
      </x:c>
      <x:c r="B61" s="11" t="str">
        <x:v>Đảng ủy</x:v>
      </x:c>
      <x:c r="C61" s="11" t="str">
        <x:v>당위원회</x:v>
      </x:c>
      <x:c r="D61" s="11" t="str">
        <x:v>N2</x:v>
      </x:c>
      <x:c r="E61" s="11" t="str">
        <x:v>Đã gán theo nghĩa được chọn</x:v>
      </x:c>
      <x:c r="F61" s="11" t="str">
        <x:v>Phù hợp theo nghĩa làm việc</x:v>
      </x:c>
      <x:c r="G61" s="11" t="str">
        <x:v>Giữ làm đơn vị nghiên cứu</x:v>
      </x:c>
      <x:c r="H61" s="11" t="str">
        <x:v>Chính trị</x:v>
      </x:c>
      <x:c r="I61" s="11" t="str">
        <x:v>T108</x:v>
      </x:c>
      <x:c r="J61" s="11" t="str"/>
      <x:c r="K61" s="11" t="str">
        <x:v>Nghĩa Hàn do nghiên cứu diễn đạt theo nguồn vi; không phải định nghĩa từ điển Hàn. Trạng thái tra từ điển Việt chưa được xác nhận từ một mục từ toàn cụm có đơn vị biên soạn trong lần này.</x:v>
      </x:c>
      <x:c r="L61" s="11" t="str">
        <x:v>S021</x:v>
      </x:c>
      <x:c r="M61" s="11" t="str">
        <x:v>S021</x:v>
      </x:c>
      <x:c r="N61" s="11" t="str">
        <x:v>S021; S075</x:v>
      </x:c>
      <x:c r="O61" s="11" t="str">
        <x:v>Bộ 167</x:v>
      </x:c>
      <x:c r="P61" s="11" t="str">
        <x:v>Ứng viên giữ — có căn cứ khái niệm</x:v>
      </x:c>
      <x:c r="Q61" s="11" t="str"/>
    </x:row>
    <x:row r="62" ht="72" customHeight="1">
      <x:c r="A62" s="11" t="str">
        <x:v>M015</x:v>
      </x:c>
      <x:c r="B62" s="11" t="str">
        <x:v>đội danh dự</x:v>
      </x:c>
      <x:c r="C62" s="11" t="str">
        <x:v>의장대</x:v>
      </x:c>
      <x:c r="D62" s="11" t="str">
        <x:v>N2</x:v>
      </x:c>
      <x:c r="E62" s="11" t="str">
        <x:v>Đã gán theo nghĩa được chọn</x:v>
      </x:c>
      <x:c r="F62" s="11" t="str">
        <x:v>Phù hợp theo nghĩa làm việc</x:v>
      </x:c>
      <x:c r="G62" s="11" t="str">
        <x:v>Giữ làm đơn vị nghiên cứu</x:v>
      </x:c>
      <x:c r="H62" s="11" t="str">
        <x:v>Chính trị và ngoại giao</x:v>
      </x:c>
      <x:c r="I62" s="11" t="str">
        <x:v>M015</x:v>
      </x:c>
      <x:c r="J62" s="11" t="str"/>
      <x:c r="K62" s="11" t="str">
        <x:v>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62" s="11" t="str">
        <x:v>S076</x:v>
      </x:c>
      <x:c r="M62" s="11" t="str">
        <x:v>S076</x:v>
      </x:c>
      <x:c r="N62" s="11" t="str">
        <x:v>S076; S063</x:v>
      </x:c>
      <x:c r="O62" s="11" t="str">
        <x:v>Bộ 167</x:v>
      </x:c>
      <x:c r="P62" s="11" t="str">
        <x:v>Cần bổ sung nguồn định nghĩa</x:v>
      </x:c>
      <x:c r="Q62" s="11" t="str"/>
    </x:row>
    <x:row r="63" ht="57" customHeight="1">
      <x:c r="A63" s="11" t="str">
        <x:v>T132</x:v>
      </x:c>
      <x:c r="B63" s="11" t="str">
        <x:v>Hiệp hội các quốc gia Đông Nam Á (ASEAN)</x:v>
      </x:c>
      <x:c r="C63" s="11" t="str">
        <x:v>동남아시아국가연합(ASEAN)</x:v>
      </x:c>
      <x:c r="D63" s="11" t="str">
        <x:v>N2</x:v>
      </x:c>
      <x:c r="E63" s="11" t="str">
        <x:v>Đã gán theo nghĩa được chọn</x:v>
      </x:c>
      <x:c r="F63" s="11" t="str">
        <x:v>Phù hợp theo nghĩa làm việc</x:v>
      </x:c>
      <x:c r="G63" s="11" t="str">
        <x:v>Giữ làm đơn vị nghiên cứu</x:v>
      </x:c>
      <x:c r="H63" s="11" t="str">
        <x:v>Ngoại giao</x:v>
      </x:c>
      <x:c r="I63" s="11" t="str">
        <x:v>T132</x:v>
      </x:c>
      <x:c r="J63" s="11" t="str"/>
      <x:c r="K63" s="11" t="str">
        <x:v>Nghĩa Hàn do nghiên cứu diễn đạt theo nguồn en; không phải định nghĩa từ điển Hàn.</x:v>
      </x:c>
      <x:c r="L63" s="11" t="str">
        <x:v>S077</x:v>
      </x:c>
      <x:c r="M63" s="11" t="str">
        <x:v>S077</x:v>
      </x:c>
      <x:c r="N63" s="11" t="str">
        <x:v>S077; S078</x:v>
      </x:c>
      <x:c r="O63" s="11" t="str">
        <x:v>Bộ 167</x:v>
      </x:c>
      <x:c r="P63" s="11" t="str">
        <x:v>Ứng viên giữ — có căn cứ khái niệm</x:v>
      </x:c>
      <x:c r="Q63" s="11" t="str"/>
    </x:row>
    <x:row r="64" ht="57" customHeight="1">
      <x:c r="A64" s="11" t="str">
        <x:v>T169</x:v>
      </x:c>
      <x:c r="B64" s="11" t="str">
        <x:v>Hội đồng Bảo an Liên hợp quốc</x:v>
      </x:c>
      <x:c r="C64" s="11" t="str">
        <x:v>유엔 안전보장이사회</x:v>
      </x:c>
      <x:c r="D64" s="11" t="str">
        <x:v>N2</x:v>
      </x:c>
      <x:c r="E64" s="11" t="str">
        <x:v>Đã gán theo nghĩa được chọn</x:v>
      </x:c>
      <x:c r="F64" s="11" t="str">
        <x:v>Phù hợp theo nghĩa làm việc</x:v>
      </x:c>
      <x:c r="G64" s="11" t="str">
        <x:v>Giữ làm đơn vị nghiên cứu</x:v>
      </x:c>
      <x:c r="H64" s="11" t="str">
        <x:v>Ngoại giao</x:v>
      </x:c>
      <x:c r="I64" s="11" t="str">
        <x:v>T169</x:v>
      </x:c>
      <x:c r="J64" s="11" t="str"/>
      <x:c r="K64" s="11" t="str">
        <x:v>Nghĩa Hàn do nghiên cứu diễn đạt theo nguồn en; không phải định nghĩa từ điển Hàn.</x:v>
      </x:c>
      <x:c r="L64" s="11" t="str">
        <x:v>S067</x:v>
      </x:c>
      <x:c r="M64" s="11" t="str">
        <x:v>S067</x:v>
      </x:c>
      <x:c r="N64" s="11" t="str">
        <x:v>S067; S079</x:v>
      </x:c>
      <x:c r="O64" s="11" t="str">
        <x:v>Bộ 167</x:v>
      </x:c>
      <x:c r="P64" s="11" t="str">
        <x:v>Ứng viên giữ — có căn cứ khái niệm</x:v>
      </x:c>
      <x:c r="Q64" s="11" t="str"/>
    </x:row>
    <x:row r="65" ht="57" customHeight="1">
      <x:c r="A65" s="11" t="str">
        <x:v>T116</x:v>
      </x:c>
      <x:c r="B65" s="11" t="str">
        <x:v>Hội đồng nhân dân</x:v>
      </x:c>
      <x:c r="C65" s="11" t="str">
        <x:v>인민의회</x:v>
      </x:c>
      <x:c r="D65" s="11" t="str">
        <x:v>N2</x:v>
      </x:c>
      <x:c r="E65" s="11" t="str">
        <x:v>Đã gán theo nghĩa được chọn</x:v>
      </x:c>
      <x:c r="F65" s="16" t="str">
        <x:v>CẦN NGỮ CẢNH đối chiếu</x:v>
      </x:c>
      <x:c r="G65" s="11" t="str">
        <x:v>Giữ làm đơn vị nghiên cứu</x:v>
      </x:c>
      <x:c r="H65" s="11" t="str">
        <x:v>Chính trị</x:v>
      </x:c>
      <x:c r="I65" s="11" t="str">
        <x:v>T116</x:v>
      </x:c>
      <x:c r="J65" s="11" t="str"/>
      <x:c r="K65" s="11" t="str">
        <x:v>Nghĩa Hàn do nghiên cứu diễn đạt theo nguồn vi; không phải định nghĩa từ điển Hàn. Trạng thái tra từ điển Việt chưa được xác nhận từ một mục từ toàn cụm có đơn vị biên soạn trong lần này.</x:v>
      </x:c>
      <x:c r="L65" s="11" t="str">
        <x:v>S012</x:v>
      </x:c>
      <x:c r="M65" s="11" t="str">
        <x:v>S012</x:v>
      </x:c>
      <x:c r="N65" s="11" t="str">
        <x:v>S012; S080</x:v>
      </x:c>
      <x:c r="O65" s="11" t="str">
        <x:v>Bộ 167</x:v>
      </x:c>
      <x:c r="P65" s="11" t="str">
        <x:v>Cần ngữ cảnh song ngữ</x:v>
      </x:c>
      <x:c r="Q65" s="11" t="str"/>
    </x:row>
    <x:row r="66" ht="57" customHeight="1">
      <x:c r="A66" s="11" t="str">
        <x:v>T135</x:v>
      </x:c>
      <x:c r="B66" s="11" t="str">
        <x:v>Liên hợp quốc</x:v>
      </x:c>
      <x:c r="C66" s="11" t="str">
        <x:v>유엔(UN)</x:v>
      </x:c>
      <x:c r="D66" s="11" t="str">
        <x:v>N2</x:v>
      </x:c>
      <x:c r="E66" s="11" t="str">
        <x:v>Đã gán theo nghĩa được chọn</x:v>
      </x:c>
      <x:c r="F66" s="11" t="str">
        <x:v>Phù hợp theo nghĩa làm việc</x:v>
      </x:c>
      <x:c r="G66" s="11" t="str">
        <x:v>Giữ làm đơn vị nghiên cứu</x:v>
      </x:c>
      <x:c r="H66" s="11" t="str">
        <x:v>Ngoại giao</x:v>
      </x:c>
      <x:c r="I66" s="11" t="str">
        <x:v>T135</x:v>
      </x:c>
      <x:c r="J66" s="11" t="str"/>
      <x:c r="K66" s="11" t="str">
        <x:v>Nghĩa Hàn do nghiên cứu diễn đạt theo nguồn en; không phải định nghĩa từ điển Hàn.</x:v>
      </x:c>
      <x:c r="L66" s="11" t="str">
        <x:v>S081</x:v>
      </x:c>
      <x:c r="M66" s="11" t="str">
        <x:v>S081</x:v>
      </x:c>
      <x:c r="N66" s="11" t="str">
        <x:v>S081; S082</x:v>
      </x:c>
      <x:c r="O66" s="11" t="str">
        <x:v>Bộ 167</x:v>
      </x:c>
      <x:c r="P66" s="11" t="str">
        <x:v>Ứng viên giữ — có căn cứ khái niệm</x:v>
      </x:c>
      <x:c r="Q66" s="11" t="str"/>
    </x:row>
    <x:row r="67" ht="57" customHeight="1">
      <x:c r="A67" s="11" t="str">
        <x:v>T155</x:v>
      </x:c>
      <x:c r="B67" s="11" t="str">
        <x:v>Liên minh châu Âu</x:v>
      </x:c>
      <x:c r="C67" s="11" t="str">
        <x:v>유럽연합</x:v>
      </x:c>
      <x:c r="D67" s="11" t="str">
        <x:v>N2</x:v>
      </x:c>
      <x:c r="E67" s="11" t="str">
        <x:v>Đã gán theo nghĩa được chọn</x:v>
      </x:c>
      <x:c r="F67" s="11" t="str">
        <x:v>Phù hợp theo nghĩa làm việc</x:v>
      </x:c>
      <x:c r="G67" s="11" t="str">
        <x:v>Giữ làm đơn vị nghiên cứu</x:v>
      </x:c>
      <x:c r="H67" s="11" t="str">
        <x:v>Ngoại giao</x:v>
      </x:c>
      <x:c r="I67" s="11" t="str">
        <x:v>T155</x:v>
      </x:c>
      <x:c r="J67" s="11" t="str"/>
      <x:c r="K67" s="11" t="str">
        <x:v>Nghĩa Hàn do nghiên cứu diễn đạt theo nguồn en; không phải định nghĩa từ điển Hàn.</x:v>
      </x:c>
      <x:c r="L67" s="11" t="str">
        <x:v>S083</x:v>
      </x:c>
      <x:c r="M67" s="11" t="str">
        <x:v>S083</x:v>
      </x:c>
      <x:c r="N67" s="11" t="str">
        <x:v>S083; S084</x:v>
      </x:c>
      <x:c r="O67" s="11" t="str">
        <x:v>Bộ 167</x:v>
      </x:c>
      <x:c r="P67" s="11" t="str">
        <x:v>Ứng viên giữ — có căn cứ khái niệm</x:v>
      </x:c>
      <x:c r="Q67" s="11" t="str"/>
    </x:row>
    <x:row r="68" ht="57" customHeight="1">
      <x:c r="A68" s="11" t="str">
        <x:v>T159</x:v>
      </x:c>
      <x:c r="B68" s="11" t="str">
        <x:v>Liên minh Nghị viện thế giới</x:v>
      </x:c>
      <x:c r="C68" s="11" t="str">
        <x:v>국제의회연맹</x:v>
      </x:c>
      <x:c r="D68" s="11" t="str">
        <x:v>N2</x:v>
      </x:c>
      <x:c r="E68" s="11" t="str">
        <x:v>Đã gán theo nghĩa được chọn</x:v>
      </x:c>
      <x:c r="F68" s="11" t="str">
        <x:v>Phù hợp theo nghĩa làm việc</x:v>
      </x:c>
      <x:c r="G68" s="11" t="str">
        <x:v>Giữ làm đơn vị nghiên cứu</x:v>
      </x:c>
      <x:c r="H68" s="11" t="str">
        <x:v>Ngoại giao</x:v>
      </x:c>
      <x:c r="I68" s="11" t="str">
        <x:v>T159</x:v>
      </x:c>
      <x:c r="J68" s="11" t="str"/>
      <x:c r="K68" s="11" t="str">
        <x:v>Nghĩa Hàn do nghiên cứu diễn đạt theo nguồn en; không phải định nghĩa từ điển Hàn.</x:v>
      </x:c>
      <x:c r="L68" s="11" t="str">
        <x:v>S085</x:v>
      </x:c>
      <x:c r="M68" s="11" t="str">
        <x:v>S085</x:v>
      </x:c>
      <x:c r="N68" s="11" t="str">
        <x:v>S085; S086</x:v>
      </x:c>
      <x:c r="O68" s="11" t="str">
        <x:v>Bộ 167</x:v>
      </x:c>
      <x:c r="P68" s="11" t="str">
        <x:v>Ứng viên giữ — có căn cứ khái niệm</x:v>
      </x:c>
      <x:c r="Q68" s="11" t="str"/>
    </x:row>
    <x:row r="69" ht="57" customHeight="1">
      <x:c r="A69" s="11" t="str">
        <x:v>T112</x:v>
      </x:c>
      <x:c r="B69" s="11" t="str">
        <x:v>Mặt trận Tổ quốc</x:v>
      </x:c>
      <x:c r="C69" s="11" t="str">
        <x:v>조국전선</x:v>
      </x:c>
      <x:c r="D69" s="11" t="str">
        <x:v>N2</x:v>
      </x:c>
      <x:c r="E69" s="11" t="str">
        <x:v>Đã gán theo nghĩa được chọn</x:v>
      </x:c>
      <x:c r="F69" s="16" t="str">
        <x:v>CẦN NGỮ CẢNH đối chiếu</x:v>
      </x:c>
      <x:c r="G69" s="11" t="str">
        <x:v>Giữ làm đơn vị nghiên cứu</x:v>
      </x:c>
      <x:c r="H69" s="11" t="str">
        <x:v>Chính trị</x:v>
      </x:c>
      <x:c r="I69" s="11" t="str">
        <x:v>T112</x:v>
      </x:c>
      <x:c r="J69" s="11" t="str"/>
      <x:c r="K69" s="11" t="str">
        <x:v>Tên rút gọn 조국전선 có thể chỉ cơ quan ở quốc gia khác; khóa quy chiếu Việt Nam khi sử dụng định nghĩa này. Nghĩa Hàn do nghiên cứu diễn đạt theo nguồn vi; không phải định nghĩa từ điển Hàn.</x:v>
      </x:c>
      <x:c r="L69" s="11" t="str">
        <x:v>S087</x:v>
      </x:c>
      <x:c r="M69" s="11" t="str">
        <x:v>S087</x:v>
      </x:c>
      <x:c r="N69" s="11" t="str">
        <x:v>S087; S058</x:v>
      </x:c>
      <x:c r="O69" s="11" t="str">
        <x:v>Bộ 167</x:v>
      </x:c>
      <x:c r="P69" s="11" t="str">
        <x:v>Cần ngữ cảnh song ngữ</x:v>
      </x:c>
      <x:c r="Q69" s="11" t="str"/>
    </x:row>
    <x:row r="70" ht="102" customHeight="1">
      <x:c r="A70" s="11" t="str">
        <x:v>T106</x:v>
      </x:c>
      <x:c r="B70" s="11" t="str">
        <x:v>Nhà nước</x:v>
      </x:c>
      <x:c r="C70" s="11" t="str">
        <x:v>국가</x:v>
      </x:c>
      <x:c r="D70" s="11" t="str">
        <x:v>N2</x:v>
      </x:c>
      <x:c r="E70" s="11" t="str">
        <x:v>Đã gán theo nghĩa được chọn</x:v>
      </x:c>
      <x:c r="F70" s="16" t="str">
        <x:v>CẦN NGỮ CẢNH đối chiếu</x:v>
      </x:c>
      <x:c r="G70" s="11" t="str">
        <x:v>Giữ làm đơn vị nghiên cứu</x:v>
      </x:c>
      <x:c r="H70" s="11" t="str">
        <x:v>Chính trị</x:v>
      </x:c>
      <x:c r="I70" s="11" t="str">
        <x:v>T106</x:v>
      </x:c>
      <x:c r="J70" s="11" t="str"/>
      <x:c r="K70" s="11" t="str">
        <x:v>국가 có thể là quốc gia hoặc Nhà nước; chọn chủ thể quyền lực công trong lượt mẫu. Không suy mọi 국가 đều tương ứng Nhà nước.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70" s="11" t="str">
        <x:v>S009</x:v>
      </x:c>
      <x:c r="M70" s="11" t="str">
        <x:v>S009</x:v>
      </x:c>
      <x:c r="N70" s="11" t="str">
        <x:v>S009; S066</x:v>
      </x:c>
      <x:c r="O70" s="11" t="str">
        <x:v>Bộ 167</x:v>
      </x:c>
      <x:c r="P70" s="11" t="str">
        <x:v>Cần ngữ cảnh song ngữ</x:v>
      </x:c>
      <x:c r="Q70" s="11" t="str"/>
    </x:row>
    <x:row r="71" ht="87" customHeight="1">
      <x:c r="A71" s="11" t="str">
        <x:v>M033</x:v>
      </x:c>
      <x:c r="B71" s="11" t="str">
        <x:v>nhóm nghị sĩ hữu nghị</x:v>
      </x:c>
      <x:c r="C71" s="11" t="str">
        <x:v>의원친선협회</x:v>
      </x:c>
      <x:c r="D71" s="11" t="str">
        <x:v>N2</x:v>
      </x:c>
      <x:c r="E71" s="11" t="str">
        <x:v>Đã gán theo nghĩa được chọn</x:v>
      </x:c>
      <x:c r="F71" s="11" t="str">
        <x:v>Phù hợp theo nghĩa làm việc</x:v>
      </x:c>
      <x:c r="G71" s="11" t="str">
        <x:v>Giữ làm đơn vị nghiên cứu</x:v>
      </x:c>
      <x:c r="H71" s="11" t="str">
        <x:v>Chính trị và ngoại giao</x:v>
      </x:c>
      <x:c r="I71" s="11" t="str">
        <x:v>M033</x:v>
      </x:c>
      <x:c r="J71" s="11" t="str"/>
      <x:c r="K71" s="11" t="str">
        <x:v>Nhận tập thể nghị sĩ có tổ chức, không nhận cuộc gặp hoặc trao đổi nghị sĩ như cùng một khái niệm.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71" s="11" t="str">
        <x:v>S088</x:v>
      </x:c>
      <x:c r="M71" s="11" t="str">
        <x:v>S088</x:v>
      </x:c>
      <x:c r="N71" s="11" t="str">
        <x:v>S088; S011</x:v>
      </x:c>
      <x:c r="O71" s="11" t="str">
        <x:v>Bộ 167</x:v>
      </x:c>
      <x:c r="P71" s="11" t="str">
        <x:v>Cần bổ sung nguồn định nghĩa</x:v>
      </x:c>
      <x:c r="Q71" s="11" t="str"/>
    </x:row>
    <x:row r="72" ht="57" customHeight="1">
      <x:c r="A72" s="11" t="str">
        <x:v>M016</x:v>
      </x:c>
      <x:c r="B72" s="11" t="str">
        <x:v>Quân đội nhân dân Việt Nam</x:v>
      </x:c>
      <x:c r="C72" s="11" t="str">
        <x:v>베트남 인민군</x:v>
      </x:c>
      <x:c r="D72" s="11" t="str">
        <x:v>N2</x:v>
      </x:c>
      <x:c r="E72" s="11" t="str">
        <x:v>Đã gán theo nghĩa được chọn</x:v>
      </x:c>
      <x:c r="F72" s="11" t="str">
        <x:v>Phù hợp theo nghĩa làm việc</x:v>
      </x:c>
      <x:c r="G72" s="11" t="str">
        <x:v>Giữ làm đơn vị nghiên cứu</x:v>
      </x:c>
      <x:c r="H72" s="11" t="str">
        <x:v>Chính trị</x:v>
      </x:c>
      <x:c r="I72" s="11" t="str">
        <x:v>M016</x:v>
      </x:c>
      <x:c r="J72" s="11" t="str"/>
      <x:c r="K72" s="11" t="str">
        <x:v>Nghĩa Hàn do nghiên cứu diễn đạt theo nguồn vi; không phải định nghĩa từ điển Hàn.</x:v>
      </x:c>
      <x:c r="L72" s="11" t="str">
        <x:v>S021</x:v>
      </x:c>
      <x:c r="M72" s="11" t="str">
        <x:v>S021</x:v>
      </x:c>
      <x:c r="N72" s="11" t="str">
        <x:v>S021; S063</x:v>
      </x:c>
      <x:c r="O72" s="11" t="str">
        <x:v>Bộ 167</x:v>
      </x:c>
      <x:c r="P72" s="11" t="str">
        <x:v>Ứng viên giữ — có căn cứ khái niệm</x:v>
      </x:c>
      <x:c r="Q72" s="11" t="str"/>
    </x:row>
    <x:row r="73" ht="57" customHeight="1">
      <x:c r="A73" s="11" t="str">
        <x:v>T104</x:v>
      </x:c>
      <x:c r="B73" s="11" t="str">
        <x:v>Quốc hội</x:v>
      </x:c>
      <x:c r="C73" s="11" t="str">
        <x:v>국회</x:v>
      </x:c>
      <x:c r="D73" s="11" t="str">
        <x:v>N2</x:v>
      </x:c>
      <x:c r="E73" s="11" t="str">
        <x:v>Đã gán theo nghĩa được chọn</x:v>
      </x:c>
      <x:c r="F73" s="11" t="str">
        <x:v>Phù hợp theo nghĩa làm việc</x:v>
      </x:c>
      <x:c r="G73" s="11" t="str">
        <x:v>Giữ làm đơn vị nghiên cứu</x:v>
      </x:c>
      <x:c r="H73" s="11" t="str">
        <x:v>Chính trị</x:v>
      </x:c>
      <x:c r="I73" s="11" t="str">
        <x:v>T104</x:v>
      </x:c>
      <x:c r="J73" s="11" t="str"/>
      <x:c r="K73" s="11" t="str">
        <x:v>Nghĩa Hàn do nghiên cứu diễn đạt theo nguồn vi; không phải định nghĩa từ điển Hàn. Trạng thái tra từ điển Việt chưa được xác nhận từ một mục từ toàn cụm có đơn vị biên soạn trong lần này.</x:v>
      </x:c>
      <x:c r="L73" s="11" t="str">
        <x:v>S089</x:v>
      </x:c>
      <x:c r="M73" s="11" t="str">
        <x:v>S089</x:v>
      </x:c>
      <x:c r="N73" s="11" t="str">
        <x:v>S089; S011</x:v>
      </x:c>
      <x:c r="O73" s="11" t="str">
        <x:v>Bộ 167</x:v>
      </x:c>
      <x:c r="P73" s="11" t="str">
        <x:v>Ứng viên giữ — có căn cứ khái niệm</x:v>
      </x:c>
      <x:c r="Q73" s="11" t="str"/>
    </x:row>
    <x:row r="74" ht="57" customHeight="1">
      <x:c r="A74" s="11" t="str">
        <x:v>T126</x:v>
      </x:c>
      <x:c r="B74" s="11" t="str">
        <x:v>Tòa án nhân dân tối cao</x:v>
      </x:c>
      <x:c r="C74" s="11" t="str">
        <x:v>최고인민법원</x:v>
      </x:c>
      <x:c r="D74" s="11" t="str">
        <x:v>N2</x:v>
      </x:c>
      <x:c r="E74" s="11" t="str">
        <x:v>Đã gán theo nghĩa được chọn</x:v>
      </x:c>
      <x:c r="F74" s="11" t="str">
        <x:v>Phù hợp theo nghĩa làm việc</x:v>
      </x:c>
      <x:c r="G74" s="11" t="str">
        <x:v>Giữ làm đơn vị nghiên cứu</x:v>
      </x:c>
      <x:c r="H74" s="11" t="str">
        <x:v>Chính trị</x:v>
      </x:c>
      <x:c r="I74" s="11" t="str">
        <x:v>T126</x:v>
      </x:c>
      <x:c r="J74" s="11" t="str"/>
      <x:c r="K74" s="11" t="str">
        <x:v>Nghĩa Hàn do nghiên cứu diễn đạt theo nguồn vi; không phải định nghĩa từ điển Hàn.</x:v>
      </x:c>
      <x:c r="L74" s="11" t="str">
        <x:v>S090</x:v>
      </x:c>
      <x:c r="M74" s="11" t="str">
        <x:v>S090</x:v>
      </x:c>
      <x:c r="N74" s="11" t="str">
        <x:v>S090; S091</x:v>
      </x:c>
      <x:c r="O74" s="11" t="str">
        <x:v>Bộ 167</x:v>
      </x:c>
      <x:c r="P74" s="11" t="str">
        <x:v>Ứng viên giữ — có căn cứ khái niệm</x:v>
      </x:c>
      <x:c r="Q74" s="11" t="str"/>
    </x:row>
    <x:row r="75" ht="57" customHeight="1">
      <x:c r="A75" s="11" t="str">
        <x:v>M031</x:v>
      </x:c>
      <x:c r="B75" s="11" t="str">
        <x:v>Tổ chức Giáo dục, Khoa học và Văn hóa của Liên hợp quốc (UNESCO)</x:v>
      </x:c>
      <x:c r="C75" s="11" t="str">
        <x:v>유네스코</x:v>
      </x:c>
      <x:c r="D75" s="11" t="str">
        <x:v>N2</x:v>
      </x:c>
      <x:c r="E75" s="11" t="str">
        <x:v>Đã gán theo nghĩa được chọn</x:v>
      </x:c>
      <x:c r="F75" s="11" t="str">
        <x:v>Phù hợp theo nghĩa làm việc</x:v>
      </x:c>
      <x:c r="G75" s="11" t="str">
        <x:v>Giữ làm đơn vị nghiên cứu</x:v>
      </x:c>
      <x:c r="H75" s="11" t="str">
        <x:v>Ngoại giao</x:v>
      </x:c>
      <x:c r="I75" s="11" t="str">
        <x:v>M031</x:v>
      </x:c>
      <x:c r="J75" s="11" t="str"/>
      <x:c r="K75" s="11" t="str">
        <x:v>Nghĩa Hàn do nghiên cứu diễn đạt theo nguồn en; không phải định nghĩa từ điển Hàn.</x:v>
      </x:c>
      <x:c r="L75" s="11" t="str">
        <x:v>S092</x:v>
      </x:c>
      <x:c r="M75" s="11" t="str">
        <x:v>S092</x:v>
      </x:c>
      <x:c r="N75" s="11" t="str">
        <x:v>S092; S036</x:v>
      </x:c>
      <x:c r="O75" s="11" t="str">
        <x:v>Bộ 167</x:v>
      </x:c>
      <x:c r="P75" s="11" t="str">
        <x:v>Ứng viên giữ — có căn cứ khái niệm</x:v>
      </x:c>
      <x:c r="Q75" s="11" t="str"/>
    </x:row>
    <x:row r="76" ht="102" customHeight="1">
      <x:c r="A76" s="11" t="str">
        <x:v>M034</x:v>
      </x:c>
      <x:c r="B76" s="11" t="str">
        <x:v>ủy ban chuyên môn</x:v>
      </x:c>
      <x:c r="C76" s="11" t="str">
        <x:v>전문위원회</x:v>
      </x:c>
      <x:c r="D76" s="11" t="str">
        <x:v>N2</x:v>
      </x:c>
      <x:c r="E76" s="11" t="str">
        <x:v>Đã gán theo nghĩa được chọn</x:v>
      </x:c>
      <x:c r="F76" s="16" t="str">
        <x:v>CẦN NGỮ CẢNH đối chiếu</x:v>
      </x:c>
      <x:c r="G76" s="11" t="str">
        <x:v>Giữ làm đơn vị nghiên cứu</x:v>
      </x:c>
      <x:c r="H76" s="11" t="str">
        <x:v>Chính trị</x:v>
      </x:c>
      <x:c r="I76" s="11" t="str">
        <x:v>M034</x:v>
      </x:c>
      <x:c r="J76" s="11" t="str"/>
      <x:c r="K76" s="11" t="str">
        <x:v>Chỉ nhận cơ quan thuộc nghị viện trong lượt mẫu; 전문위원회 ở một doanh nghiệp/cơ quan khác không tự thuộc phạm vi này. 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x:v>
      </x:c>
      <x:c r="L76" s="11" t="str">
        <x:v>S088</x:v>
      </x:c>
      <x:c r="M76" s="11" t="str">
        <x:v>S088</x:v>
      </x:c>
      <x:c r="N76" s="11" t="str">
        <x:v>S088; S011</x:v>
      </x:c>
      <x:c r="O76" s="11" t="str">
        <x:v>Bộ 167</x:v>
      </x:c>
      <x:c r="P76" s="11" t="str">
        <x:v>Cần ngữ cảnh song ngữ</x:v>
      </x:c>
      <x:c r="Q76" s="11" t="str"/>
    </x:row>
    <x:row r="77" ht="57" customHeight="1">
      <x:c r="A77" s="11" t="str">
        <x:v>T115</x:v>
      </x:c>
      <x:c r="B77" s="11" t="str">
        <x:v>Ủy ban nhân dân</x:v>
      </x:c>
      <x:c r="C77" s="11" t="str">
        <x:v>인민위원회</x:v>
      </x:c>
      <x:c r="D77" s="11" t="str">
        <x:v>N2</x:v>
      </x:c>
      <x:c r="E77" s="11" t="str">
        <x:v>Đã gán theo nghĩa được chọn</x:v>
      </x:c>
      <x:c r="F77" s="16" t="str">
        <x:v>CẦN NGỮ CẢNH đối chiếu</x:v>
      </x:c>
      <x:c r="G77" s="11" t="str">
        <x:v>Giữ làm đơn vị nghiên cứu</x:v>
      </x:c>
      <x:c r="H77" s="11" t="str">
        <x:v>Chính trị</x:v>
      </x:c>
      <x:c r="I77" s="11" t="str">
        <x:v>T115</x:v>
      </x:c>
      <x:c r="J77" s="11" t="str"/>
      <x:c r="K77" s="11" t="str">
        <x:v>Nghĩa Hàn do nghiên cứu diễn đạt theo nguồn vi; không phải định nghĩa từ điển Hàn. Trạng thái tra từ điển Việt chưa được xác nhận từ một mục từ toàn cụm có đơn vị biên soạn trong lần này.</x:v>
      </x:c>
      <x:c r="L77" s="11" t="str">
        <x:v>S012</x:v>
      </x:c>
      <x:c r="M77" s="11" t="str">
        <x:v>S012</x:v>
      </x:c>
      <x:c r="N77" s="11" t="str">
        <x:v>S012; S013</x:v>
      </x:c>
      <x:c r="O77" s="11" t="str">
        <x:v>Bộ 167</x:v>
      </x:c>
      <x:c r="P77" s="11" t="str">
        <x:v>Cần ngữ cảnh song ngữ</x:v>
      </x:c>
      <x:c r="Q77" s="11" t="str"/>
    </x:row>
    <x:row r="78" ht="57" customHeight="1">
      <x:c r="A78" s="11" t="str">
        <x:v>T121</x:v>
      </x:c>
      <x:c r="B78" s="11" t="str">
        <x:v>Ủy ban Trung ương Mặt trận Tổ quốc Việt Nam</x:v>
      </x:c>
      <x:c r="C78" s="11" t="str">
        <x:v>베트남 조국전선 중앙위원회</x:v>
      </x:c>
      <x:c r="D78" s="11" t="str">
        <x:v>N2</x:v>
      </x:c>
      <x:c r="E78" s="11" t="str">
        <x:v>Đã gán theo nghĩa được chọn</x:v>
      </x:c>
      <x:c r="F78" s="11" t="str">
        <x:v>Phù hợp theo nghĩa làm việc</x:v>
      </x:c>
      <x:c r="G78" s="11" t="str">
        <x:v>Giữ làm đơn vị nghiên cứu</x:v>
      </x:c>
      <x:c r="H78" s="11" t="str">
        <x:v>Chính trị</x:v>
      </x:c>
      <x:c r="I78" s="11" t="str">
        <x:v>T121</x:v>
      </x:c>
      <x:c r="J78" s="11" t="str"/>
      <x:c r="K78" s="11" t="str">
        <x:v>Phân biệt Ủy ban Trung ương MTTQ với cơ quan giúp việc của Ủy ban; bổ sung nguồn Điều lệ mô tả cơ quan chấp hành. Nghĩa Hàn do nghiên cứu diễn đạt theo nguồn vi; không phải định nghĩa từ điển Hàn.</x:v>
      </x:c>
      <x:c r="L78" s="11" t="str">
        <x:v>S093</x:v>
      </x:c>
      <x:c r="M78" s="11" t="str">
        <x:v>S093</x:v>
      </x:c>
      <x:c r="N78" s="11" t="str">
        <x:v>S093; S002</x:v>
      </x:c>
      <x:c r="O78" s="11" t="str">
        <x:v>Bộ 167</x:v>
      </x:c>
      <x:c r="P78" s="11" t="str">
        <x:v>Ứng viên giữ — có căn cứ khái niệm</x:v>
      </x:c>
      <x:c r="Q78" s="11" t="str"/>
    </x:row>
    <x:row r="79" ht="57" customHeight="1">
      <x:c r="A79" s="11" t="str">
        <x:v>T127</x:v>
      </x:c>
      <x:c r="B79" s="11" t="str">
        <x:v>Văn phòng Chính phủ</x:v>
      </x:c>
      <x:c r="C79" s="11" t="str">
        <x:v>정부 사무처</x:v>
      </x:c>
      <x:c r="D79" s="11" t="str">
        <x:v>N2</x:v>
      </x:c>
      <x:c r="E79" s="11" t="str">
        <x:v>Đã gán theo nghĩa được chọn</x:v>
      </x:c>
      <x:c r="F79" s="16" t="str">
        <x:v>CẦN NGỮ CẢNH đối chiếu</x:v>
      </x:c>
      <x:c r="G79" s="11" t="str">
        <x:v>Giữ làm đơn vị nghiên cứu</x:v>
      </x:c>
      <x:c r="H79" s="11" t="str">
        <x:v>Chính trị</x:v>
      </x:c>
      <x:c r="I79" s="11" t="str">
        <x:v>T127</x:v>
      </x:c>
      <x:c r="J79" s="11" t="str"/>
      <x:c r="K79" s="11" t="str">
        <x:v>정부 사무처 là tên dịch trong corpus; không coi tương đương Văn phòng Chính phủ Việt Nam nếu chưa xác định quốc gia và chức năng. Nghĩa Hàn do nghiên cứu diễn đạt theo nguồn vi; không phải định nghĩa từ điển Hàn.</x:v>
      </x:c>
      <x:c r="L79" s="11" t="str">
        <x:v>S094</x:v>
      </x:c>
      <x:c r="M79" s="11" t="str">
        <x:v>S094</x:v>
      </x:c>
      <x:c r="N79" s="11" t="str">
        <x:v>S094; S095</x:v>
      </x:c>
      <x:c r="O79" s="11" t="str">
        <x:v>Bộ 167</x:v>
      </x:c>
      <x:c r="P79" s="11" t="str">
        <x:v>Cần ngữ cảnh song ngữ</x:v>
      </x:c>
      <x:c r="Q79" s="11" t="str"/>
    </x:row>
    <x:row r="80" ht="87" customHeight="1">
      <x:c r="A80" s="11" t="str">
        <x:v>T073</x:v>
      </x:c>
      <x:c r="B80" s="11" t="str">
        <x:v>chế độ chính trị</x:v>
      </x:c>
      <x:c r="C80" s="11" t="str">
        <x:v>정치 체제</x:v>
      </x:c>
      <x:c r="D80" s="11" t="str">
        <x:v>N3</x:v>
      </x:c>
      <x:c r="E80" s="11" t="str">
        <x:v>Đã gán theo nghĩa được chọn</x:v>
      </x:c>
      <x:c r="F80" s="16" t="str">
        <x:v>CẦN NGỮ CẢNH đối chiếu</x:v>
      </x:c>
      <x:c r="G80" s="11" t="str">
        <x:v>Giữ làm đơn vị nghiên cứu</x:v>
      </x:c>
      <x:c r="H80" s="11" t="str">
        <x:v>Chính trị</x:v>
      </x:c>
      <x:c r="I80" s="11" t="str">
        <x:v>T073</x:v>
      </x:c>
      <x:c r="J80" s="11" t="str"/>
      <x:c r="K80" s="11" t="str">
        <x:v>Nhãn danh mục đầy đủ là chế độ chính trị nhưng chuỗi Việt thực tế chỉ là chế độ. 정치 체제 cũng có thể được dùng cho political system; không tự gộp T021. Nghĩa Hàn là giải thích làm việc do lượt rà soát soạn; CHƯA có nguồn giải nghĩa trực tiếp cho toàn biểu thức Hàn. Định nghĩa Việt là giải thích làm việc; CHƯA xác minh nguồn định nghĩa trực tiếp.</x:v>
      </x:c>
      <x:c r="L80" s="11" t="str">
        <x:v>S096</x:v>
      </x:c>
      <x:c r="M80" s="11" t="str"/>
      <x:c r="N80" s="11" t="str">
        <x:v>S096</x:v>
      </x:c>
      <x:c r="O80" s="11" t="str">
        <x:v>Bộ 167</x:v>
      </x:c>
      <x:c r="P80" s="11" t="str">
        <x:v>Cần ngữ cảnh song ngữ</x:v>
      </x:c>
      <x:c r="Q80" s="11" t="str"/>
    </x:row>
    <x:row r="81" ht="72" customHeight="1">
      <x:c r="A81" s="11" t="str">
        <x:v>T129</x:v>
      </x:c>
      <x:c r="B81" s="11" t="str">
        <x:v>chính quyền địa phương hai cấp</x:v>
      </x:c>
      <x:c r="C81" s="11" t="str">
        <x:v>2단계 지방 행정</x:v>
      </x:c>
      <x:c r="D81" s="11" t="str">
        <x:v>N3</x:v>
      </x:c>
      <x:c r="E81" s="11" t="str">
        <x:v>Đã gán theo nghĩa được chọn</x:v>
      </x:c>
      <x:c r="F81" s="19" t="str">
        <x:v>CẦN ĐỐI CHIẾU — khác phạm vi</x:v>
      </x:c>
      <x:c r="G81" s="11" t="str">
        <x:v>Giữ làm đơn vị nghiên cứu</x:v>
      </x:c>
      <x:c r="H81" s="11" t="str">
        <x:v>Chính trị</x:v>
      </x:c>
      <x:c r="I81" s="11" t="str">
        <x:v>T129</x:v>
      </x:c>
      <x:c r="J81" s="11" t="str"/>
      <x:c r="K81" s="11" t="str">
        <x:v>2단계 지방 행정 thiên về hành chính địa phương hai tầng; chưa tự đồng nhất toàn bộ nội hàm với chính quyền địa phương. Giữ nhóm theo nghĩa Việt mô hình tổ chức. Nghĩa Hàn được diễn giải từ nguồn vi; chưa phải mục từ giải nghĩa bằng tiếng Hàn đã xác nhận.</x:v>
      </x:c>
      <x:c r="L81" s="11" t="str">
        <x:v>S012</x:v>
      </x:c>
      <x:c r="M81" s="11" t="str">
        <x:v>S012</x:v>
      </x:c>
      <x:c r="N81" s="11" t="str">
        <x:v>S012</x:v>
      </x:c>
      <x:c r="O81" s="11" t="str">
        <x:v>Bộ 167</x:v>
      </x:c>
      <x:c r="P81" s="11" t="str">
        <x:v>Cần đối chiếu/sửa cặp</x:v>
      </x:c>
      <x:c r="Q81" s="11" t="str"/>
    </x:row>
    <x:row r="82" ht="72" customHeight="1">
      <x:c r="A82" s="11" t="str">
        <x:v>T151</x:v>
      </x:c>
      <x:c r="B82" s="11" t="str">
        <x:v>chính sách đối ngoại</x:v>
      </x:c>
      <x:c r="C82" s="11" t="str">
        <x:v>외교정책</x:v>
      </x:c>
      <x:c r="D82" s="11" t="str">
        <x:v>N3</x:v>
      </x:c>
      <x:c r="E82" s="11" t="str">
        <x:v>Đã gán theo nghĩa được chọn</x:v>
      </x:c>
      <x:c r="F82" s="11" t="str">
        <x:v>Phù hợp theo nghĩa làm việc</x:v>
      </x:c>
      <x:c r="G82" s="11" t="str">
        <x:v>Giữ làm đơn vị nghiên cứu</x:v>
      </x:c>
      <x:c r="H82" s="11" t="str">
        <x:v>Ngoại giao</x:v>
      </x:c>
      <x:c r="I82" s="11" t="str">
        <x:v>T151</x:v>
      </x:c>
      <x:c r="J82" s="11" t="str"/>
      <x:c r="K82" s="11" t="str">
        <x:v>Nguồn luật/sổ đối chiếu cũ xác nhận cách dùng, chưa là định nghĩa từ điển cho toàn thuật ngữ. Nghĩa Hàn là giải thích làm việc do lượt rà soát soạn; CHƯA có nguồn giải nghĩa trực tiếp cho toàn biểu thức Hàn. Định nghĩa Việt là giải thích làm việc; CHƯA xác minh nguồn định nghĩa trực tiếp.</x:v>
      </x:c>
      <x:c r="L82" s="11" t="str">
        <x:v>S019</x:v>
      </x:c>
      <x:c r="M82" s="11" t="str"/>
      <x:c r="N82" s="11" t="str">
        <x:v>S019</x:v>
      </x:c>
      <x:c r="O82" s="11" t="str">
        <x:v>Bộ 167</x:v>
      </x:c>
      <x:c r="P82" s="11" t="str">
        <x:v>Cần bổ sung nguồn định nghĩa</x:v>
      </x:c>
      <x:c r="Q82" s="11" t="str"/>
    </x:row>
    <x:row r="83" ht="57" customHeight="1">
      <x:c r="A83" s="11" t="str">
        <x:v>T066</x:v>
      </x:c>
      <x:c r="B83" s="11" t="str">
        <x:v>chính sách quốc phòng</x:v>
      </x:c>
      <x:c r="C83" s="11" t="str">
        <x:v>국방정책</x:v>
      </x:c>
      <x:c r="D83" s="11" t="str">
        <x:v>N3</x:v>
      </x:c>
      <x:c r="E83" s="11" t="str">
        <x:v>Đã gán theo nghĩa được chọn</x:v>
      </x:c>
      <x:c r="F83" s="11" t="str">
        <x:v>Phù hợp theo nghĩa làm việc</x:v>
      </x:c>
      <x:c r="G83" s="11" t="str">
        <x:v>Giữ làm đơn vị nghiên cứu</x:v>
      </x:c>
      <x:c r="H83" s="11" t="str">
        <x:v>Chính trị và ngoại giao</x:v>
      </x:c>
      <x:c r="I83" s="11" t="str">
        <x:v>T066</x:v>
      </x:c>
      <x:c r="J83" s="11" t="str"/>
      <x:c r="K83" s="11" t="str">
        <x:v> Nghĩa Hàn là giải thích làm việc do lượt rà soát soạn; CHƯA có nguồn giải nghĩa trực tiếp cho toàn biểu thức Hàn. Định nghĩa Việt là giải thích làm việc; CHƯA xác minh nguồn định nghĩa trực tiếp.</x:v>
      </x:c>
      <x:c r="L83" s="11" t="str">
        <x:v>S097</x:v>
      </x:c>
      <x:c r="M83" s="11" t="str"/>
      <x:c r="N83" s="11" t="str">
        <x:v>S097</x:v>
      </x:c>
      <x:c r="O83" s="11" t="str">
        <x:v>Bộ 167</x:v>
      </x:c>
      <x:c r="P83" s="11" t="str">
        <x:v>Cần bổ sung nguồn định nghĩa</x:v>
      </x:c>
      <x:c r="Q83" s="11" t="str"/>
    </x:row>
    <x:row r="84" ht="57" customHeight="1">
      <x:c r="A84" s="11" t="str">
        <x:v>T072</x:v>
      </x:c>
      <x:c r="B84" s="11" t="str">
        <x:v>chính sách tôn giáo</x:v>
      </x:c>
      <x:c r="C84" s="11" t="str">
        <x:v>종교 정책</x:v>
      </x:c>
      <x:c r="D84" s="11" t="str">
        <x:v>N3</x:v>
      </x:c>
      <x:c r="E84" s="11" t="str">
        <x:v>Đã gán theo nghĩa được chọn</x:v>
      </x:c>
      <x:c r="F84" s="11" t="str">
        <x:v>Phù hợp theo nghĩa làm việc</x:v>
      </x:c>
      <x:c r="G84" s="11" t="str">
        <x:v>Giữ làm đơn vị nghiên cứu</x:v>
      </x:c>
      <x:c r="H84" s="11" t="str">
        <x:v>Chính trị</x:v>
      </x:c>
      <x:c r="I84" s="11" t="str">
        <x:v>T072</x:v>
      </x:c>
      <x:c r="J84" s="11" t="str"/>
      <x:c r="K84" s="11" t="str">
        <x:v> Nghĩa Hàn là giải thích làm việc do lượt rà soát soạn; CHƯA có nguồn giải nghĩa trực tiếp cho toàn biểu thức Hàn. Định nghĩa Việt là giải thích làm việc; CHƯA xác minh nguồn định nghĩa trực tiếp.</x:v>
      </x:c>
      <x:c r="L84" s="11" t="str">
        <x:v>S096</x:v>
      </x:c>
      <x:c r="M84" s="11" t="str"/>
      <x:c r="N84" s="11" t="str">
        <x:v>S096</x:v>
      </x:c>
      <x:c r="O84" s="11" t="str">
        <x:v>Bộ 167</x:v>
      </x:c>
      <x:c r="P84" s="11" t="str">
        <x:v>Cần bổ sung nguồn định nghĩa</x:v>
      </x:c>
      <x:c r="Q84" s="11" t="str"/>
    </x:row>
    <x:row r="85" ht="87" customHeight="1">
      <x:c r="A85" s="11" t="str">
        <x:v>T154</x:v>
      </x:c>
      <x:c r="B85" s="11" t="str">
        <x:v>chủ nghĩa đa phương</x:v>
      </x:c>
      <x:c r="C85" s="11" t="str">
        <x:v>다자주의</x:v>
      </x:c>
      <x:c r="D85" s="11" t="str">
        <x:v>N3</x:v>
      </x:c>
      <x:c r="E85" s="11" t="str">
        <x:v>Đã gán theo nghĩa được chọn</x:v>
      </x:c>
      <x:c r="F85" s="11" t="str">
        <x:v>Phù hợp theo nghĩa làm việc</x:v>
      </x:c>
      <x:c r="G85" s="11" t="str">
        <x:v>Giữ làm đơn vị nghiên cứu</x:v>
      </x:c>
      <x:c r="H85" s="11" t="str">
        <x:v>Ngoại giao</x:v>
      </x:c>
      <x:c r="I85" s="11" t="str">
        <x:v>T154</x:v>
      </x:c>
      <x:c r="J85" s="11" t="str"/>
      <x:c r="K85" s="11" t="str">
        <x:v>Nguồn UN giải thích multilateralism với nhiều lớp nghĩa. Nhóm 3.2 chỉ cho quan điểm/nguyên tắc hợp tác trong lượt đã chọn; không đồng nhất với đa phương hóa C091. Nghĩa Việt được diễn giải từ nguồn en; chưa phải mục từ giải nghĩa bằng tiếng Việt đã xác nhận. Nghĩa Hàn được diễn giải từ nguồn en; chưa phải mục từ giải nghĩa bằng tiếng Hàn đã xác nhận.</x:v>
      </x:c>
      <x:c r="L85" s="11" t="str">
        <x:v>S099</x:v>
      </x:c>
      <x:c r="M85" s="11" t="str">
        <x:v>S099</x:v>
      </x:c>
      <x:c r="N85" s="11" t="str">
        <x:v>S098; S099</x:v>
      </x:c>
      <x:c r="O85" s="11" t="str">
        <x:v>Bộ 167</x:v>
      </x:c>
      <x:c r="P85" s="11" t="str">
        <x:v>Ứng viên giữ — có căn cứ khái niệm</x:v>
      </x:c>
      <x:c r="Q85" s="11" t="str"/>
    </x:row>
    <x:row r="86" ht="72" customHeight="1">
      <x:c r="A86" s="11" t="str">
        <x:v>T055</x:v>
      </x:c>
      <x:c r="B86" s="11" t="str">
        <x:v>chủ nghĩa Mác-Lênin</x:v>
      </x:c>
      <x:c r="C86" s="11" t="str">
        <x:v>마르크스-레닌주의</x:v>
      </x:c>
      <x:c r="D86" s="11" t="str">
        <x:v>N3</x:v>
      </x:c>
      <x:c r="E86" s="11" t="str">
        <x:v>Đã gán theo nghĩa được chọn</x:v>
      </x:c>
      <x:c r="F86" s="11" t="str">
        <x:v>Phù hợp theo nghĩa làm việc</x:v>
      </x:c>
      <x:c r="G86" s="11" t="str">
        <x:v>Giữ làm đơn vị nghiên cứu</x:v>
      </x:c>
      <x:c r="H86" s="11" t="str">
        <x:v>Chính trị</x:v>
      </x:c>
      <x:c r="I86" s="11" t="str">
        <x:v>T055</x:v>
      </x:c>
      <x:c r="J86" s="11" t="str"/>
      <x:c r="K86" s="11" t="str">
        <x:v>Định nghĩa làm việc về hệ thống lý luận; dẫn Điều lệ Đảng chỉ xác nhận vai trò nền tảng tư tưởng, không thay thế định nghĩa trực tiếp. Nghĩa Hàn là giải thích làm việc do lượt rà soát soạn; CHƯA có nguồn giải nghĩa trực tiếp cho toàn biểu thức Hàn. Định nghĩa Việt là giải thích làm việc; CHƯA xác minh nguồn định nghĩa trực tiếp.</x:v>
      </x:c>
      <x:c r="L86" s="11" t="str">
        <x:v>S021</x:v>
      </x:c>
      <x:c r="M86" s="11" t="str"/>
      <x:c r="N86" s="11" t="str">
        <x:v>S021</x:v>
      </x:c>
      <x:c r="O86" s="11" t="str">
        <x:v>Bộ 167</x:v>
      </x:c>
      <x:c r="P86" s="11" t="str">
        <x:v>Cần bổ sung nguồn định nghĩa</x:v>
      </x:c>
      <x:c r="Q86" s="11" t="str"/>
    </x:row>
    <x:row r="87" ht="72" customHeight="1">
      <x:c r="A87" s="11" t="str">
        <x:v>CGP001</x:v>
      </x:c>
      <x:c r="B87" s="11" t="str">
        <x:v>chủ nghĩa quốc tế</x:v>
      </x:c>
      <x:c r="C87" s="11" t="str">
        <x:v>국제주의</x:v>
      </x:c>
      <x:c r="D87" s="11" t="str">
        <x:v>N3</x:v>
      </x:c>
      <x:c r="E87" s="11" t="str">
        <x:v>Đã gán theo nghĩa được chọn</x:v>
      </x:c>
      <x:c r="F87" s="16" t="str">
        <x:v>CẦN NGỮ CẢNH đối chiếu</x:v>
      </x:c>
      <x:c r="G87" s="11" t="str">
        <x:v>Giữ làm đơn vị nghiên cứu</x:v>
      </x:c>
      <x:c r="H87" s="11" t="str">
        <x:v>Chính trị và ngoại giao</x:v>
      </x:c>
      <x:c r="I87" s="11" t="str">
        <x:v>CGP001</x:v>
      </x:c>
      <x:c r="J87" s="11" t="str"/>
      <x:c r="K87" s="11" t="str">
        <x:v>Cần phân biệt nghĩa quốc tế chủ nghĩa nói chung với quốc tế vô sản; không tự thêm vô sản vào nhãn. Nghĩa Hàn là giải thích làm việc do lượt rà soát soạn; CHƯA có nguồn giải nghĩa trực tiếp cho toàn biểu thức Hàn. Định nghĩa Việt là giải thích làm việc; CHƯA xác minh nguồn định nghĩa trực tiếp.</x:v>
      </x:c>
      <x:c r="L87" s="11" t="str"/>
      <x:c r="M87" s="11" t="str"/>
      <x:c r="N87" s="11" t="str"/>
      <x:c r="O87" s="11" t="str">
        <x:v>Bộ 167</x:v>
      </x:c>
      <x:c r="P87" s="11" t="str">
        <x:v>Cần ngữ cảnh song ngữ</x:v>
      </x:c>
      <x:c r="Q87" s="11" t="str"/>
    </x:row>
    <x:row r="88" ht="72" customHeight="1">
      <x:c r="A88" s="11" t="str">
        <x:v>T029</x:v>
      </x:c>
      <x:c r="B88" s="11" t="str">
        <x:v>chủ nghĩa xã hội</x:v>
      </x:c>
      <x:c r="C88" s="11" t="str">
        <x:v>사회주의</x:v>
      </x:c>
      <x:c r="D88" s="11" t="str">
        <x:v>N3</x:v>
      </x:c>
      <x:c r="E88" s="11" t="str">
        <x:v>Đã gán theo nghĩa được chọn</x:v>
      </x:c>
      <x:c r="F88" s="16" t="str">
        <x:v>CẦN NGỮ CẢNH đối chiếu</x:v>
      </x:c>
      <x:c r="G88" s="11" t="str">
        <x:v>Giữ làm đơn vị nghiên cứu</x:v>
      </x:c>
      <x:c r="H88" s="11" t="str">
        <x:v>Chính trị</x:v>
      </x:c>
      <x:c r="I88" s="11" t="str">
        <x:v>T029</x:v>
      </x:c>
      <x:c r="J88" s="11" t="str"/>
      <x:c r="K88" s="11" t="str">
        <x:v>Sửa sự không nhất quán giữa mô tả tư tưởng cũ và nghĩa chế độ đã mã hóa: giải thích hiện tại giữ nghĩa mô hình xã hội của lượt corpus. Chưa xác minh mục từ xã hội chủ nghĩa/사회주의 cùng nghĩa chế độ. Nghĩa Hàn được diễn giải từ nguồn vi; chưa phải mục từ giải nghĩa bằng tiếng Hàn đã xác nhận.</x:v>
      </x:c>
      <x:c r="L88" s="11" t="str">
        <x:v>S100</x:v>
      </x:c>
      <x:c r="M88" s="11" t="str">
        <x:v>S100</x:v>
      </x:c>
      <x:c r="N88" s="11" t="str">
        <x:v>S100</x:v>
      </x:c>
      <x:c r="O88" s="11" t="str">
        <x:v>Bộ 167</x:v>
      </x:c>
      <x:c r="P88" s="11" t="str">
        <x:v>Cần ngữ cảnh song ngữ</x:v>
      </x:c>
      <x:c r="Q88" s="11" t="str"/>
    </x:row>
    <x:row r="89" ht="57" customHeight="1">
      <x:c r="A89" s="11" t="str">
        <x:v>T061</x:v>
      </x:c>
      <x:c r="B89" s="11" t="str">
        <x:v>chủ quyền quốc gia</x:v>
      </x:c>
      <x:c r="C89" s="11" t="str">
        <x:v>국가 주권</x:v>
      </x:c>
      <x:c r="D89" s="11" t="str">
        <x:v>N3</x:v>
      </x:c>
      <x:c r="E89" s="11" t="str">
        <x:v>Đã gán theo nghĩa được chọn</x:v>
      </x:c>
      <x:c r="F89" s="11" t="str">
        <x:v>Phù hợp theo nghĩa làm việc</x:v>
      </x:c>
      <x:c r="G89" s="11" t="str">
        <x:v>Giữ làm đơn vị nghiên cứu</x:v>
      </x:c>
      <x:c r="H89" s="11" t="str">
        <x:v>Chính trị và ngoại giao</x:v>
      </x:c>
      <x:c r="I89" s="11" t="str">
        <x:v>T061</x:v>
      </x:c>
      <x:c r="J89" s="11" t="str"/>
      <x:c r="K89" s="11" t="str">
        <x:v> Nghĩa Hàn được diễn giải từ nguồn vi; chưa phải mục từ giải nghĩa bằng tiếng Hàn đã xác nhận.</x:v>
      </x:c>
      <x:c r="L89" s="11" t="str">
        <x:v>S101</x:v>
      </x:c>
      <x:c r="M89" s="11" t="str">
        <x:v>S101</x:v>
      </x:c>
      <x:c r="N89" s="11" t="str">
        <x:v>S101</x:v>
      </x:c>
      <x:c r="O89" s="11" t="str">
        <x:v>Bộ 167</x:v>
      </x:c>
      <x:c r="P89" s="11" t="str">
        <x:v>Ứng viên giữ — có căn cứ khái niệm</x:v>
      </x:c>
      <x:c r="Q89" s="11" t="str"/>
    </x:row>
    <x:row r="90" ht="72" customHeight="1">
      <x:c r="A90" s="11" t="str">
        <x:v>T023</x:v>
      </x:c>
      <x:c r="B90" s="11" t="str">
        <x:v>dân chủ</x:v>
      </x:c>
      <x:c r="C90" s="11" t="str">
        <x:v>민주주의</x:v>
      </x:c>
      <x:c r="D90" s="11" t="str">
        <x:v>N3</x:v>
      </x:c>
      <x:c r="E90" s="11" t="str">
        <x:v>Đã gán theo nghĩa được chọn</x:v>
      </x:c>
      <x:c r="F90" s="16" t="str">
        <x:v>CẦN NGỮ CẢNH đối chiếu</x:v>
      </x:c>
      <x:c r="G90" s="11" t="str">
        <x:v>Giữ làm đơn vị nghiên cứu</x:v>
      </x:c>
      <x:c r="H90" s="11" t="str">
        <x:v>Chính trị</x:v>
      </x:c>
      <x:c r="I90" s="11" t="str">
        <x:v>T023</x:v>
      </x:c>
      <x:c r="J90" s="11" t="str"/>
      <x:c r="K90" s="11" t="str">
        <x:v>Mục từ NIKL nêu nghĩa tư tưởng; ngữ liệu đang chọn nghĩa nền dân chủ/chế độ. Tìm được cùng hình thức không tự xác nhận cùng nghĩa tiểu loại; giữ mã N3.1 của lượt corpus và đánh dấu đối chiếu nghĩa. Định nghĩa Việt là giải thích làm việc; CHƯA xác minh nguồn định nghĩa trực tiếp.</x:v>
      </x:c>
      <x:c r="L90" s="11" t="str">
        <x:v>S096</x:v>
      </x:c>
      <x:c r="M90" s="11" t="str">
        <x:v>S102</x:v>
      </x:c>
      <x:c r="N90" s="11" t="str">
        <x:v>S096; S102</x:v>
      </x:c>
      <x:c r="O90" s="11" t="str">
        <x:v>Bộ 167</x:v>
      </x:c>
      <x:c r="P90" s="11" t="str">
        <x:v>Cần ngữ cảnh song ngữ</x:v>
      </x:c>
      <x:c r="Q90" s="11" t="str"/>
    </x:row>
    <x:row r="91" ht="72" customHeight="1">
      <x:c r="A91" s="11" t="str">
        <x:v>T042</x:v>
      </x:c>
      <x:c r="B91" s="11" t="str">
        <x:v>độc lập dân tộc</x:v>
      </x:c>
      <x:c r="C91" s="11" t="str">
        <x:v>민족 독립</x:v>
      </x:c>
      <x:c r="D91" s="16" t="str">
        <x:v>Cần xem xét</x:v>
      </x:c>
      <x:c r="E91" s="16" t="str">
        <x:v>NGOÀI PHẠM VI 5 NHÓM</x:v>
      </x:c>
      <x:c r="F91" s="11" t="str">
        <x:v>Phù hợp theo nghĩa làm việc</x:v>
      </x:c>
      <x:c r="G91" s="11" t="str">
        <x:v>Giữ làm đơn vị nghiên cứu</x:v>
      </x:c>
      <x:c r="H91" s="11" t="str">
        <x:v>Chính trị và ngoại giao</x:v>
      </x:c>
      <x:c r="I91" s="11" t="str">
        <x:v>T042</x:v>
      </x:c>
      <x:c r="J91" s="11" t="str"/>
      <x:c r="K91" s="11" t="str">
        <x:v>Nghĩa trạng thái độc lập đã rõ nhưng khung 5 nhóm chưa bao phủ; không đổi thành nguyên tắc hoặc hoạt động đấu tranh. Nghĩa Hàn là giải thích làm việc do lượt rà soát soạn; CHƯA có nguồn giải nghĩa trực tiếp cho toàn biểu thức Hàn. Định nghĩa Việt là giải thích làm việc; CHƯA xác minh nguồn định nghĩa trực tiếp.</x:v>
      </x:c>
      <x:c r="L91" s="11" t="str">
        <x:v>S096</x:v>
      </x:c>
      <x:c r="M91" s="11" t="str"/>
      <x:c r="N91" s="11" t="str">
        <x:v>S096</x:v>
      </x:c>
      <x:c r="O91" s="11" t="str">
        <x:v>Bộ 167</x:v>
      </x:c>
      <x:c r="P91" s="11" t="str">
        <x:v>Chưa chốt nhóm</x:v>
      </x:c>
      <x:c r="Q91" s="11" t="str"/>
    </x:row>
    <x:row r="92" ht="57" customHeight="1">
      <x:c r="A92" s="11" t="str">
        <x:v>T037</x:v>
      </x:c>
      <x:c r="B92" s="11" t="str">
        <x:v>độc lập, tự chủ</x:v>
      </x:c>
      <x:c r="C92" s="11" t="str">
        <x:v>독립, 자주</x:v>
      </x:c>
      <x:c r="D92" s="11" t="str">
        <x:v>N3</x:v>
      </x:c>
      <x:c r="E92" s="11" t="str">
        <x:v>Đã gán theo nghĩa được chọn</x:v>
      </x:c>
      <x:c r="F92" s="11" t="str">
        <x:v>Phù hợp theo nghĩa làm việc</x:v>
      </x:c>
      <x:c r="G92" s="11" t="str">
        <x:v>Giữ làm đơn vị nghiên cứu</x:v>
      </x:c>
      <x:c r="H92" s="11" t="str">
        <x:v>Chính trị và ngoại giao</x:v>
      </x:c>
      <x:c r="I92" s="11" t="str">
        <x:v>T037</x:v>
      </x:c>
      <x:c r="J92" s="11" t="str"/>
      <x:c r="K92" s="11" t="str">
        <x:v> Nghĩa Hàn là giải thích làm việc do lượt rà soát soạn; CHƯA có nguồn giải nghĩa trực tiếp cho toàn biểu thức Hàn. Định nghĩa Việt là giải thích làm việc; CHƯA xác minh nguồn định nghĩa trực tiếp.</x:v>
      </x:c>
      <x:c r="L92" s="11" t="str">
        <x:v>S096</x:v>
      </x:c>
      <x:c r="M92" s="11" t="str"/>
      <x:c r="N92" s="11" t="str">
        <x:v>S096</x:v>
      </x:c>
      <x:c r="O92" s="11" t="str">
        <x:v>Bộ 167</x:v>
      </x:c>
      <x:c r="P92" s="11" t="str">
        <x:v>Cần bổ sung nguồn định nghĩa</x:v>
      </x:c>
      <x:c r="Q92" s="11" t="str"/>
    </x:row>
    <x:row r="93" ht="57" customHeight="1">
      <x:c r="A93" s="11" t="str">
        <x:v>T022</x:v>
      </x:c>
      <x:c r="B93" s="11" t="str">
        <x:v>đường lối</x:v>
      </x:c>
      <x:c r="C93" s="11" t="str">
        <x:v>노선</x:v>
      </x:c>
      <x:c r="D93" s="11" t="str">
        <x:v>N3</x:v>
      </x:c>
      <x:c r="E93" s="11" t="str">
        <x:v>Đã gán theo nghĩa được chọn</x:v>
      </x:c>
      <x:c r="F93" s="11" t="str">
        <x:v>Phù hợp theo nghĩa làm việc</x:v>
      </x:c>
      <x:c r="G93" s="11" t="str">
        <x:v>Giữ làm đơn vị nghiên cứu</x:v>
      </x:c>
      <x:c r="H93" s="11" t="str">
        <x:v>Chính trị</x:v>
      </x:c>
      <x:c r="I93" s="11" t="str">
        <x:v>T022</x:v>
      </x:c>
      <x:c r="J93" s="11" t="str"/>
      <x:c r="K93" s="11" t="str">
        <x:v> Nghĩa Hàn là giải thích làm việc do lượt rà soát soạn; CHƯA có nguồn giải nghĩa trực tiếp cho toàn biểu thức Hàn. Định nghĩa Việt là giải thích làm việc; CHƯA xác minh nguồn định nghĩa trực tiếp.</x:v>
      </x:c>
      <x:c r="L93" s="11" t="str">
        <x:v>S021</x:v>
      </x:c>
      <x:c r="M93" s="11" t="str"/>
      <x:c r="N93" s="11" t="str">
        <x:v>S021</x:v>
      </x:c>
      <x:c r="O93" s="11" t="str">
        <x:v>Bộ 167</x:v>
      </x:c>
      <x:c r="P93" s="11" t="str">
        <x:v>Cần bổ sung nguồn định nghĩa</x:v>
      </x:c>
      <x:c r="Q93" s="11" t="str"/>
    </x:row>
    <x:row r="94" ht="57" customHeight="1">
      <x:c r="A94" s="11" t="str">
        <x:v>T145</x:v>
      </x:c>
      <x:c r="B94" s="11" t="str">
        <x:v>đường lối đối ngoại</x:v>
      </x:c>
      <x:c r="C94" s="11" t="str">
        <x:v>대외정책 노선</x:v>
      </x:c>
      <x:c r="D94" s="11" t="str">
        <x:v>N3</x:v>
      </x:c>
      <x:c r="E94" s="11" t="str">
        <x:v>Đã gán theo nghĩa được chọn</x:v>
      </x:c>
      <x:c r="F94" s="11" t="str">
        <x:v>Phù hợp theo nghĩa làm việc</x:v>
      </x:c>
      <x:c r="G94" s="11" t="str">
        <x:v>Giữ làm đơn vị nghiên cứu</x:v>
      </x:c>
      <x:c r="H94" s="11" t="str">
        <x:v>Ngoại giao</x:v>
      </x:c>
      <x:c r="I94" s="11" t="str">
        <x:v>T145</x:v>
      </x:c>
      <x:c r="J94" s="11" t="str"/>
      <x:c r="K94" s="11" t="str">
        <x:v> Nghĩa Hàn là giải thích làm việc do lượt rà soát soạn; CHƯA có nguồn giải nghĩa trực tiếp cho toàn biểu thức Hàn. Định nghĩa Việt là giải thích làm việc; CHƯA xác minh nguồn định nghĩa trực tiếp.</x:v>
      </x:c>
      <x:c r="L94" s="11" t="str">
        <x:v>S103</x:v>
      </x:c>
      <x:c r="M94" s="11" t="str"/>
      <x:c r="N94" s="11" t="str">
        <x:v>S103</x:v>
      </x:c>
      <x:c r="O94" s="11" t="str">
        <x:v>Bộ 167</x:v>
      </x:c>
      <x:c r="P94" s="11" t="str">
        <x:v>Cần bổ sung nguồn định nghĩa</x:v>
      </x:c>
      <x:c r="Q94" s="11" t="str"/>
    </x:row>
    <x:row r="95" ht="87" customHeight="1">
      <x:c r="A95" s="11" t="str">
        <x:v>T021</x:v>
      </x:c>
      <x:c r="B95" s="11" t="str">
        <x:v>hệ thống chính trị</x:v>
      </x:c>
      <x:c r="C95" s="11" t="str">
        <x:v>정치 시스템</x:v>
      </x:c>
      <x:c r="D95" s="11" t="str">
        <x:v>N3</x:v>
      </x:c>
      <x:c r="E95" s="11" t="str">
        <x:v>Đã gán theo nghĩa được chọn</x:v>
      </x:c>
      <x:c r="F95" s="16" t="str">
        <x:v>CẦN NGỮ CẢNH đối chiếu</x:v>
      </x:c>
      <x:c r="G95" s="11" t="str">
        <x:v>Giữ làm đơn vị nghiên cứu</x:v>
      </x:c>
      <x:c r="H95" s="11" t="str">
        <x:v>Chính trị</x:v>
      </x:c>
      <x:c r="I95" s="11" t="str">
        <x:v>T021</x:v>
      </x:c>
      <x:c r="J95" s="11" t="str"/>
      <x:c r="K95" s="11" t="str">
        <x:v>Chọn nghĩa cấu trúc các thiết chế và quan hệ, không chỉ tập hợp các tổ chức như chủ thể. Không gộp với chế độ chính trị T073 chỉ vì gần nghĩa. Nghĩa Hàn là giải thích làm việc do lượt rà soát soạn; CHƯA có nguồn giải nghĩa trực tiếp cho toàn biểu thức Hàn. Định nghĩa Việt là giải thích làm việc; CHƯA xác minh nguồn định nghĩa trực tiếp.</x:v>
      </x:c>
      <x:c r="L95" s="11" t="str">
        <x:v>S100</x:v>
      </x:c>
      <x:c r="M95" s="11" t="str"/>
      <x:c r="N95" s="11" t="str">
        <x:v>S100</x:v>
      </x:c>
      <x:c r="O95" s="11" t="str">
        <x:v>Bộ 167</x:v>
      </x:c>
      <x:c r="P95" s="11" t="str">
        <x:v>Cần ngữ cảnh song ngữ</x:v>
      </x:c>
      <x:c r="Q95" s="11" t="str"/>
    </x:row>
    <x:row r="96" ht="72" customHeight="1">
      <x:c r="A96" s="11" t="str">
        <x:v>T062</x:v>
      </x:c>
      <x:c r="B96" s="11" t="str">
        <x:v>kinh tế thị trường định hướng xã hội chủ nghĩa</x:v>
      </x:c>
      <x:c r="C96" s="11" t="str">
        <x:v>사회주의 지향 시장경제</x:v>
      </x:c>
      <x:c r="D96" s="11" t="str">
        <x:v>N3</x:v>
      </x:c>
      <x:c r="E96" s="11" t="str">
        <x:v>Đã gán theo nghĩa được chọn</x:v>
      </x:c>
      <x:c r="F96" s="11" t="str">
        <x:v>Phù hợp theo nghĩa làm việc</x:v>
      </x:c>
      <x:c r="G96" s="11" t="str">
        <x:v>Giữ làm đơn vị nghiên cứu</x:v>
      </x:c>
      <x:c r="H96" s="11" t="str">
        <x:v>Chính trị</x:v>
      </x:c>
      <x:c r="I96" s="11" t="str">
        <x:v>T062</x:v>
      </x:c>
      <x:c r="J96" s="11" t="str"/>
      <x:c r="K96" s="11" t="str">
        <x:v>Không thay bằng 사회주의 시장경제: mục từ NIKL cho biểu thức này nói mô hình Trung Quốc và thiếu thành tố 지향. Chưa tìm được định nghĩa từ điển chính xác cho toàn biểu thức đang xét. Nghĩa Hàn được diễn giải từ nguồn vi; chưa phải mục từ giải nghĩa bằng tiếng Hàn đã xác nhận.</x:v>
      </x:c>
      <x:c r="L96" s="11" t="str">
        <x:v>S100</x:v>
      </x:c>
      <x:c r="M96" s="11" t="str">
        <x:v>S100</x:v>
      </x:c>
      <x:c r="N96" s="11" t="str">
        <x:v>S100; S104</x:v>
      </x:c>
      <x:c r="O96" s="11" t="str">
        <x:v>Bộ 167</x:v>
      </x:c>
      <x:c r="P96" s="11" t="str">
        <x:v>Ứng viên giữ — có căn cứ khái niệm</x:v>
      </x:c>
      <x:c r="Q96" s="11" t="str"/>
    </x:row>
    <x:row r="97" ht="57" customHeight="1">
      <x:c r="A97" s="11" t="str">
        <x:v>T142</x:v>
      </x:c>
      <x:c r="B97" s="11" t="str">
        <x:v>luật pháp quốc tế</x:v>
      </x:c>
      <x:c r="C97" s="11" t="str">
        <x:v>국제법</x:v>
      </x:c>
      <x:c r="D97" s="11" t="str">
        <x:v>N3</x:v>
      </x:c>
      <x:c r="E97" s="11" t="str">
        <x:v>Đã gán theo nghĩa được chọn</x:v>
      </x:c>
      <x:c r="F97" s="11" t="str">
        <x:v>Phù hợp theo nghĩa làm việc</x:v>
      </x:c>
      <x:c r="G97" s="11" t="str">
        <x:v>Giữ làm đơn vị nghiên cứu</x:v>
      </x:c>
      <x:c r="H97" s="11" t="str">
        <x:v>Ngoại giao</x:v>
      </x:c>
      <x:c r="I97" s="11" t="str">
        <x:v>T142</x:v>
      </x:c>
      <x:c r="J97" s="11" t="str"/>
      <x:c r="K97" s="11" t="str">
        <x:v> Nghĩa Việt được diễn giải từ nguồn en; chưa phải mục từ giải nghĩa bằng tiếng Việt đã xác nhận.</x:v>
      </x:c>
      <x:c r="L97" s="11" t="str">
        <x:v>S105</x:v>
      </x:c>
      <x:c r="M97" s="11" t="str">
        <x:v>S107</x:v>
      </x:c>
      <x:c r="N97" s="11" t="str">
        <x:v>S105; S106; S107</x:v>
      </x:c>
      <x:c r="O97" s="11" t="str">
        <x:v>Bộ 167</x:v>
      </x:c>
      <x:c r="P97" s="11" t="str">
        <x:v>Ứng viên giữ — có căn cứ khái niệm</x:v>
      </x:c>
      <x:c r="Q97" s="11" t="str"/>
    </x:row>
    <x:row r="98" ht="87" customHeight="1">
      <x:c r="A98" s="11" t="str">
        <x:v>M030</x:v>
      </x:c>
      <x:c r="B98" s="11" t="str">
        <x:v>miễn thị thực</x:v>
      </x:c>
      <x:c r="C98" s="11" t="str">
        <x:v>비자 면제</x:v>
      </x:c>
      <x:c r="D98" s="11" t="str">
        <x:v>N3</x:v>
      </x:c>
      <x:c r="E98" s="11" t="str">
        <x:v>Đã gán theo nghĩa được chọn</x:v>
      </x:c>
      <x:c r="F98" s="11" t="str">
        <x:v>Phù hợp theo nghĩa làm việc</x:v>
      </x:c>
      <x:c r="G98" s="11" t="str">
        <x:v>Giữ làm đơn vị nghiên cứu</x:v>
      </x:c>
      <x:c r="H98" s="11" t="str">
        <x:v>Ngoại giao</x:v>
      </x:c>
      <x:c r="I98" s="11" t="str">
        <x:v>M030</x:v>
      </x:c>
      <x:c r="J98" s="11" t="str"/>
      <x:c r="K98" s="11" t="str">
        <x:v>Giữ nghĩa chế độ/quyền được miễn; không đọc thành một quyết định hành chính cấp miễn cho một cá nhân. Nguồn cũ xác nhận cách dùng, không xác nhận điều kiện nhập cảnh hiện hành. Nghĩa Hàn là giải thích làm việc do lượt rà soát soạn; CHƯA có nguồn giải nghĩa trực tiếp cho toàn biểu thức Hàn. Định nghĩa Việt là giải thích làm việc; CHƯA xác minh nguồn định nghĩa trực tiếp.</x:v>
      </x:c>
      <x:c r="L98" s="11" t="str">
        <x:v>S108</x:v>
      </x:c>
      <x:c r="M98" s="11" t="str"/>
      <x:c r="N98" s="11" t="str">
        <x:v>S108</x:v>
      </x:c>
      <x:c r="O98" s="11" t="str">
        <x:v>Bộ 167</x:v>
      </x:c>
      <x:c r="P98" s="11" t="str">
        <x:v>Cần bổ sung nguồn định nghĩa</x:v>
      </x:c>
      <x:c r="Q98" s="11" t="str"/>
    </x:row>
    <x:row r="99" ht="72" customHeight="1">
      <x:c r="A99" s="11" t="str">
        <x:v>CGI005</x:v>
      </x:c>
      <x:c r="B99" s="11" t="str">
        <x:v>mô hình lãnh đạo tập thể</x:v>
      </x:c>
      <x:c r="C99" s="11" t="str">
        <x:v>집단 지도체제</x:v>
      </x:c>
      <x:c r="D99" s="11" t="str">
        <x:v>N3</x:v>
      </x:c>
      <x:c r="E99" s="11" t="str">
        <x:v>Đã gán theo nghĩa được chọn</x:v>
      </x:c>
      <x:c r="F99" s="16" t="str">
        <x:v>CẦN NGỮ CẢNH đối chiếu</x:v>
      </x:c>
      <x:c r="G99" s="11" t="str">
        <x:v>Giữ làm đơn vị nghiên cứu</x:v>
      </x:c>
      <x:c r="H99" s="11" t="str">
        <x:v>Chính trị</x:v>
      </x:c>
      <x:c r="I99" s="11" t="str">
        <x:v>CGI005</x:v>
      </x:c>
      <x:c r="J99" s="11" t="str"/>
      <x:c r="K99" s="11" t="str">
        <x:v>Giải thích làm việc từ nghĩa tập thể lãnh đạo; chưa xác minh định nghĩa trực tiếp của toàn biểu thức ở nguồn từ điển. Nghĩa Hàn là giải thích làm việc do lượt rà soát soạn; CHƯA có nguồn giải nghĩa trực tiếp cho toàn biểu thức Hàn. Định nghĩa Việt là giải thích làm việc; CHƯA xác minh nguồn định nghĩa trực tiếp.</x:v>
      </x:c>
      <x:c r="L99" s="11" t="str"/>
      <x:c r="M99" s="11" t="str"/>
      <x:c r="N99" s="11" t="str"/>
      <x:c r="O99" s="11" t="str">
        <x:v>Bộ 167</x:v>
      </x:c>
      <x:c r="P99" s="11" t="str">
        <x:v>Cần ngữ cảnh song ngữ</x:v>
      </x:c>
      <x:c r="Q99" s="11" t="str"/>
    </x:row>
    <x:row r="100" ht="72" customHeight="1">
      <x:c r="A100" s="11" t="str">
        <x:v>T048</x:v>
      </x:c>
      <x:c r="B100" s="11" t="str">
        <x:v>Nhà nước pháp quyền</x:v>
      </x:c>
      <x:c r="C100" s="11" t="str">
        <x:v>법치국가</x:v>
      </x:c>
      <x:c r="D100" s="11" t="str">
        <x:v>N3</x:v>
      </x:c>
      <x:c r="E100" s="11" t="str">
        <x:v>Đã gán theo nghĩa được chọn</x:v>
      </x:c>
      <x:c r="F100" s="16" t="str">
        <x:v>CẦN NGỮ CẢNH đối chiếu</x:v>
      </x:c>
      <x:c r="G100" s="11" t="str">
        <x:v>Giữ làm đơn vị nghiên cứu</x:v>
      </x:c>
      <x:c r="H100" s="11" t="str">
        <x:v>Chính trị</x:v>
      </x:c>
      <x:c r="I100" s="11" t="str">
        <x:v>T048</x:v>
      </x:c>
      <x:c r="J100" s="11" t="str"/>
      <x:c r="K100" s="11" t="str">
        <x:v>Mục từ 법치 국가 của NIKL chứa các đặc trưng quyền và phân quyền trong cách giải thích của nguồn. Không tự nhập toàn bộ mô tả đó vào mô hình Nhà nước pháp quyền xã hội chủ nghĩa Việt Nam. Định nghĩa Việt là giải thích làm việc; CHƯA xác minh nguồn định nghĩa trực tiếp.</x:v>
      </x:c>
      <x:c r="L100" s="11" t="str">
        <x:v>S096</x:v>
      </x:c>
      <x:c r="M100" s="11" t="str">
        <x:v>S109</x:v>
      </x:c>
      <x:c r="N100" s="11" t="str">
        <x:v>S096; S109</x:v>
      </x:c>
      <x:c r="O100" s="11" t="str">
        <x:v>Bộ 167</x:v>
      </x:c>
      <x:c r="P100" s="11" t="str">
        <x:v>Cần ngữ cảnh song ngữ</x:v>
      </x:c>
      <x:c r="Q100" s="11" t="str"/>
    </x:row>
    <x:row r="101" ht="57" customHeight="1">
      <x:c r="A101" s="11" t="str">
        <x:v>M050</x:v>
      </x:c>
      <x:c r="B101" s="11" t="str">
        <x:v>nhiệm kỳ</x:v>
      </x:c>
      <x:c r="C101" s="11" t="str">
        <x:v>임기</x:v>
      </x:c>
      <x:c r="D101" s="16" t="str">
        <x:v>Cần xem xét</x:v>
      </x:c>
      <x:c r="E101" s="16" t="str">
        <x:v>NGOÀI PHẠM VI 5 NHÓM</x:v>
      </x:c>
      <x:c r="F101" s="11" t="str">
        <x:v>Phù hợp theo nghĩa làm việc</x:v>
      </x:c>
      <x:c r="G101" s="11" t="str">
        <x:v>Giữ làm đơn vị nghiên cứu</x:v>
      </x:c>
      <x:c r="H101" s="11" t="str">
        <x:v>Chính trị</x:v>
      </x:c>
      <x:c r="I101" s="11" t="str">
        <x:v>M050</x:v>
      </x:c>
      <x:c r="J101" s="11" t="str"/>
      <x:c r="K101" s="11" t="str">
        <x:v>임기 có mục từ trực tiếp; đối tượng là khoảng thời gian, chưa được khung 5 nhận rõ. Việc có mục từ không tự giải quyết thiếu nhóm. Định nghĩa Việt là giải thích làm việc; CHƯA xác minh nguồn định nghĩa trực tiếp.</x:v>
      </x:c>
      <x:c r="L101" s="11" t="str"/>
      <x:c r="M101" s="11" t="str">
        <x:v>S110</x:v>
      </x:c>
      <x:c r="N101" s="11" t="str">
        <x:v>S110</x:v>
      </x:c>
      <x:c r="O101" s="11" t="str">
        <x:v>Bộ 167</x:v>
      </x:c>
      <x:c r="P101" s="11" t="str">
        <x:v>Chưa chốt nhóm</x:v>
      </x:c>
      <x:c r="Q101" s="11" t="str"/>
    </x:row>
    <x:row r="102" ht="57" customHeight="1">
      <x:c r="A102" s="11" t="str">
        <x:v>T006</x:v>
      </x:c>
      <x:c r="B102" s="11" t="str">
        <x:v>quyền con người</x:v>
      </x:c>
      <x:c r="C102" s="11" t="str">
        <x:v>인권</x:v>
      </x:c>
      <x:c r="D102" s="11" t="str">
        <x:v>N3</x:v>
      </x:c>
      <x:c r="E102" s="11" t="str">
        <x:v>Đã gán theo nghĩa được chọn</x:v>
      </x:c>
      <x:c r="F102" s="11" t="str">
        <x:v>Phù hợp theo nghĩa làm việc</x:v>
      </x:c>
      <x:c r="G102" s="11" t="str">
        <x:v>Giữ làm đơn vị nghiên cứu</x:v>
      </x:c>
      <x:c r="H102" s="11" t="str">
        <x:v>Chính trị và ngoại giao</x:v>
      </x:c>
      <x:c r="I102" s="11" t="str">
        <x:v>T006</x:v>
      </x:c>
      <x:c r="J102" s="11" t="str"/>
      <x:c r="K102" s="11" t="str">
        <x:v> Nghĩa Việt được diễn giải từ nguồn en; chưa phải mục từ giải nghĩa bằng tiếng Việt đã xác nhận.</x:v>
      </x:c>
      <x:c r="L102" s="11" t="str">
        <x:v>S111</x:v>
      </x:c>
      <x:c r="M102" s="11" t="str">
        <x:v>S112</x:v>
      </x:c>
      <x:c r="N102" s="11" t="str">
        <x:v>S096; S111; S112</x:v>
      </x:c>
      <x:c r="O102" s="11" t="str">
        <x:v>Bộ 167</x:v>
      </x:c>
      <x:c r="P102" s="11" t="str">
        <x:v>Ứng viên giữ — có căn cứ khái niệm</x:v>
      </x:c>
      <x:c r="Q102" s="11" t="str"/>
    </x:row>
    <x:row r="103" ht="72" customHeight="1">
      <x:c r="A103" s="11" t="str">
        <x:v>T008</x:v>
      </x:c>
      <x:c r="B103" s="11" t="str">
        <x:v>quyền công dân</x:v>
      </x:c>
      <x:c r="C103" s="11" t="str">
        <x:v>시민권</x:v>
      </x:c>
      <x:c r="D103" s="11" t="str">
        <x:v>N3</x:v>
      </x:c>
      <x:c r="E103" s="11" t="str">
        <x:v>Đã gán theo nghĩa được chọn</x:v>
      </x:c>
      <x:c r="F103" s="19" t="str">
        <x:v>CẦN ĐỐI CHIẾU — khác phạm vi</x:v>
      </x:c>
      <x:c r="G103" s="11" t="str">
        <x:v>Giữ làm đơn vị nghiên cứu</x:v>
      </x:c>
      <x:c r="H103" s="11" t="str">
        <x:v>Chính trị và ngoại giao</x:v>
      </x:c>
      <x:c r="I103" s="11" t="str">
        <x:v>T008</x:v>
      </x:c>
      <x:c r="J103" s="11" t="str"/>
      <x:c r="K103" s="11" t="str">
        <x:v>시민권 trong nguồn từ điển bao gồm quyền của công dân/cư dân và cách dùng chỉ tư cách công dân. Cần phân biệt quyền công dân Việt Nam với citizenship/civil rights; không xác nhận tương đương toàn bộ nội hàm. Định nghĩa Việt là giải thích làm việc; CHƯA xác minh nguồn định nghĩa trực tiếp.</x:v>
      </x:c>
      <x:c r="L103" s="11" t="str">
        <x:v>S096</x:v>
      </x:c>
      <x:c r="M103" s="11" t="str">
        <x:v>S113</x:v>
      </x:c>
      <x:c r="N103" s="11" t="str">
        <x:v>S096; S113</x:v>
      </x:c>
      <x:c r="O103" s="11" t="str">
        <x:v>Bộ 167</x:v>
      </x:c>
      <x:c r="P103" s="11" t="str">
        <x:v>Cần đối chiếu/sửa cặp</x:v>
      </x:c>
      <x:c r="Q103" s="11" t="str"/>
    </x:row>
    <x:row r="104" ht="72" customHeight="1">
      <x:c r="A104" s="11" t="str">
        <x:v>T013</x:v>
      </x:c>
      <x:c r="B104" s="11" t="str">
        <x:v>quyền tự quyết</x:v>
      </x:c>
      <x:c r="C104" s="11" t="str">
        <x:v>자결권</x:v>
      </x:c>
      <x:c r="D104" s="11" t="str">
        <x:v>N3</x:v>
      </x:c>
      <x:c r="E104" s="11" t="str">
        <x:v>Đã gán theo nghĩa được chọn</x:v>
      </x:c>
      <x:c r="F104" s="11" t="str">
        <x:v>Phù hợp theo nghĩa làm việc</x:v>
      </x:c>
      <x:c r="G104" s="11" t="str">
        <x:v>Giữ làm đơn vị nghiên cứu</x:v>
      </x:c>
      <x:c r="H104" s="11" t="str">
        <x:v>Chính trị và ngoại giao</x:v>
      </x:c>
      <x:c r="I104" s="11" t="str">
        <x:v>T013</x:v>
      </x:c>
      <x:c r="J104" s="11" t="str"/>
      <x:c r="K104" s="11" t="str">
        <x:v>Nghĩa chọn là quyền tự quyết của các dân tộc. 자결권 có thể rộng sang tự quyết cá nhân ở lĩnh vực khác; không dùng ngoài phạm vi đang xét. Nghĩa Việt được diễn giải từ nguồn en; chưa phải mục từ giải nghĩa bằng tiếng Việt đã xác nhận. Nghĩa Hàn được diễn giải từ nguồn en; chưa phải mục từ giải nghĩa bằng tiếng Hàn đã xác nhận.</x:v>
      </x:c>
      <x:c r="L104" s="11" t="str">
        <x:v>S115</x:v>
      </x:c>
      <x:c r="M104" s="11" t="str">
        <x:v>S115</x:v>
      </x:c>
      <x:c r="N104" s="11" t="str">
        <x:v>S114; S115</x:v>
      </x:c>
      <x:c r="O104" s="11" t="str">
        <x:v>Bộ 167</x:v>
      </x:c>
      <x:c r="P104" s="11" t="str">
        <x:v>Ứng viên giữ — có căn cứ khái niệm</x:v>
      </x:c>
      <x:c r="Q104" s="11" t="str"/>
    </x:row>
    <x:row r="105" ht="72" customHeight="1">
      <x:c r="A105" s="11" t="str">
        <x:v>T056</x:v>
      </x:c>
      <x:c r="B105" s="11" t="str">
        <x:v>toàn vẹn lãnh thổ</x:v>
      </x:c>
      <x:c r="C105" s="11" t="str">
        <x:v>영토 보전</x:v>
      </x:c>
      <x:c r="D105" s="16" t="str">
        <x:v>Cần xem xét</x:v>
      </x:c>
      <x:c r="E105" s="16" t="str">
        <x:v>NGOÀI PHẠM VI 5 NHÓM</x:v>
      </x:c>
      <x:c r="F105" s="11" t="str">
        <x:v>Phù hợp theo nghĩa làm việc</x:v>
      </x:c>
      <x:c r="G105" s="11" t="str">
        <x:v>Giữ làm đơn vị nghiên cứu</x:v>
      </x:c>
      <x:c r="H105" s="11" t="str">
        <x:v>Chính trị và ngoại giao</x:v>
      </x:c>
      <x:c r="I105" s="11" t="str">
        <x:v>T056</x:v>
      </x:c>
      <x:c r="J105" s="11" t="str"/>
      <x:c r="K105" s="11" t="str">
        <x:v>Toàn vẹn lãnh thổ là trạng thái/thuộc tính trong lượt chọn; phân biệt với nguyên tắc tôn trọng toàn vẹn lãnh thổ. Nghĩa Hàn là giải thích làm việc do lượt rà soát soạn; CHƯA có nguồn giải nghĩa trực tiếp cho toàn biểu thức Hàn. Định nghĩa Việt là giải thích làm việc; CHƯA xác minh nguồn định nghĩa trực tiếp.</x:v>
      </x:c>
      <x:c r="L105" s="11" t="str">
        <x:v>S096</x:v>
      </x:c>
      <x:c r="M105" s="11" t="str"/>
      <x:c r="N105" s="11" t="str">
        <x:v>S096</x:v>
      </x:c>
      <x:c r="O105" s="11" t="str">
        <x:v>Bộ 167</x:v>
      </x:c>
      <x:c r="P105" s="11" t="str">
        <x:v>Chưa chốt nhóm</x:v>
      </x:c>
      <x:c r="Q105" s="11" t="str"/>
    </x:row>
    <x:row r="106" ht="87" customHeight="1">
      <x:c r="A106" s="11" t="str">
        <x:v>T147</x:v>
      </x:c>
      <x:c r="B106" s="11" t="str">
        <x:v>tự chủ chiến lược</x:v>
      </x:c>
      <x:c r="C106" s="11" t="str">
        <x:v>전략적 자율성</x:v>
      </x:c>
      <x:c r="D106" s="16" t="str">
        <x:v>Cần xem xét</x:v>
      </x:c>
      <x:c r="E106" s="16" t="str">
        <x:v>NGOÀI PHẠM VI 5 NHÓM</x:v>
      </x:c>
      <x:c r="F106" s="16" t="str">
        <x:v>CẦN NGỮ CẢNH đối chiếu</x:v>
      </x:c>
      <x:c r="G106" s="11" t="str">
        <x:v>Giữ làm đơn vị nghiên cứu</x:v>
      </x:c>
      <x:c r="H106" s="11" t="str">
        <x:v>Chính trị và ngoại giao</x:v>
      </x:c>
      <x:c r="I106" s="11" t="str">
        <x:v>T147</x:v>
      </x:c>
      <x:c r="J106" s="11" t="str"/>
      <x:c r="K106" s="11" t="str">
        <x:v>Nguồn EEAS cung cấp nghĩa năng lực nhưng trong bối cảnh EU; không coi đây là định nghĩa duy nhất của thuật ngữ Việt. Khung 5 chưa bao phủ năng lực. Nghĩa Việt được diễn giải từ nguồn en; chưa phải mục từ giải nghĩa bằng tiếng Việt đã xác nhận. Nghĩa Hàn được diễn giải từ nguồn en; chưa phải mục từ giải nghĩa bằng tiếng Hàn đã xác nhận.</x:v>
      </x:c>
      <x:c r="L106" s="11" t="str">
        <x:v>S117</x:v>
      </x:c>
      <x:c r="M106" s="11" t="str">
        <x:v>S117</x:v>
      </x:c>
      <x:c r="N106" s="11" t="str">
        <x:v>S116; S117</x:v>
      </x:c>
      <x:c r="O106" s="11" t="str">
        <x:v>Bộ 167</x:v>
      </x:c>
      <x:c r="P106" s="11" t="str">
        <x:v>Chưa chốt nhóm</x:v>
      </x:c>
      <x:c r="Q106" s="11" t="str"/>
    </x:row>
    <x:row r="107" ht="57" customHeight="1">
      <x:c r="A107" s="11" t="str">
        <x:v>T018</x:v>
      </x:c>
      <x:c r="B107" s="11" t="str">
        <x:v>tư pháp</x:v>
      </x:c>
      <x:c r="C107" s="11" t="str">
        <x:v>사법</x:v>
      </x:c>
      <x:c r="D107" s="11" t="str">
        <x:v>N4</x:v>
      </x:c>
      <x:c r="E107" s="11" t="str">
        <x:v>Đã gán theo nghĩa được chọn</x:v>
      </x:c>
      <x:c r="F107" s="16" t="str">
        <x:v>CẦN NGỮ CẢNH đối chiếu</x:v>
      </x:c>
      <x:c r="G107" s="11" t="str">
        <x:v>Giữ làm đơn vị nghiên cứu</x:v>
      </x:c>
      <x:c r="H107" s="11" t="str">
        <x:v>Chính trị</x:v>
      </x:c>
      <x:c r="I107" s="11" t="str">
        <x:v>T018</x:v>
      </x:c>
      <x:c r="J107" s="11" t="str"/>
      <x:c r="K107" s="11" t="str">
        <x:v>N4.2 được hiểu bao gồm các loại hình/lĩnh vực thực hành như định nghĩa nhóm 4 đã nêu. Không dùng định nghĩa hẹp “quyền xét xử” để thay nghĩa lĩnh vực trong lượt này.</x:v>
      </x:c>
      <x:c r="L107" s="11" t="str">
        <x:v>S096</x:v>
      </x:c>
      <x:c r="M107" s="11" t="str">
        <x:v>S118</x:v>
      </x:c>
      <x:c r="N107" s="11" t="str">
        <x:v>S096; S118</x:v>
      </x:c>
      <x:c r="O107" s="11" t="str">
        <x:v>Bộ 167</x:v>
      </x:c>
      <x:c r="P107" s="11" t="str">
        <x:v>Cần ngữ cảnh song ngữ</x:v>
      </x:c>
      <x:c r="Q107" s="11" t="str"/>
    </x:row>
    <x:row r="108" ht="57" customHeight="1">
      <x:c r="A108" s="11" t="str">
        <x:v>T050</x:v>
      </x:c>
      <x:c r="B108" s="11" t="str">
        <x:v>tư tưởng Hồ Chí Minh</x:v>
      </x:c>
      <x:c r="C108" s="11" t="str">
        <x:v>호찌민 사상</x:v>
      </x:c>
      <x:c r="D108" s="11" t="str">
        <x:v>N3</x:v>
      </x:c>
      <x:c r="E108" s="11" t="str">
        <x:v>Đã gán theo nghĩa được chọn</x:v>
      </x:c>
      <x:c r="F108" s="11" t="str">
        <x:v>Phù hợp theo nghĩa làm việc</x:v>
      </x:c>
      <x:c r="G108" s="11" t="str">
        <x:v>Giữ làm đơn vị nghiên cứu</x:v>
      </x:c>
      <x:c r="H108" s="11" t="str">
        <x:v>Chính trị</x:v>
      </x:c>
      <x:c r="I108" s="11" t="str">
        <x:v>T050</x:v>
      </x:c>
      <x:c r="J108" s="11" t="str"/>
      <x:c r="K108" s="11" t="str">
        <x:v>Tiếng Hàn là diễn giải định nghĩa chính thức tiếng Việt; không phải mục từ tiếng Hàn đã tra được. Nghĩa Hàn được diễn giải từ nguồn vi; chưa phải mục từ giải nghĩa bằng tiếng Hàn đã xác nhận.</x:v>
      </x:c>
      <x:c r="L108" s="11" t="str">
        <x:v>S100</x:v>
      </x:c>
      <x:c r="M108" s="11" t="str">
        <x:v>S100</x:v>
      </x:c>
      <x:c r="N108" s="11" t="str">
        <x:v>S100</x:v>
      </x:c>
      <x:c r="O108" s="11" t="str">
        <x:v>Bộ 167</x:v>
      </x:c>
      <x:c r="P108" s="11" t="str">
        <x:v>Ứng viên giữ — có căn cứ khái niệm</x:v>
      </x:c>
      <x:c r="Q108" s="11" t="str"/>
    </x:row>
    <x:row r="109" ht="57" customHeight="1">
      <x:c r="A109" s="11" t="str">
        <x:v>M006</x:v>
      </x:c>
      <x:c r="B109" s="11" t="str">
        <x:v>vai trò trung tâm của ASEAN</x:v>
      </x:c>
      <x:c r="C109" s="11" t="str">
        <x:v>아세안 중심성</x:v>
      </x:c>
      <x:c r="D109" s="11" t="str">
        <x:v>N3</x:v>
      </x:c>
      <x:c r="E109" s="11" t="str">
        <x:v>Đã gán theo nghĩa được chọn</x:v>
      </x:c>
      <x:c r="F109" s="11" t="str">
        <x:v>Phù hợp theo nghĩa làm việc</x:v>
      </x:c>
      <x:c r="G109" s="11" t="str">
        <x:v>Giữ làm đơn vị nghiên cứu</x:v>
      </x:c>
      <x:c r="H109" s="11" t="str">
        <x:v>Ngoại giao</x:v>
      </x:c>
      <x:c r="I109" s="11" t="str">
        <x:v>M006</x:v>
      </x:c>
      <x:c r="J109" s="11" t="str"/>
      <x:c r="K109" s="11" t="str">
        <x:v>Vai trò trung tâm được chọn theo nghĩa nguyên tắc; ở lượt khác có thể chỉ vị thế thực tế. Nguồn MOFA Hàn định nghĩa trực tiếp nguyên tắc này. Nghĩa Việt được diễn giải từ nguồn ko; chưa phải mục từ giải nghĩa bằng tiếng Việt đã xác nhận.</x:v>
      </x:c>
      <x:c r="L109" s="11" t="str">
        <x:v>S121</x:v>
      </x:c>
      <x:c r="M109" s="11" t="str">
        <x:v>S121</x:v>
      </x:c>
      <x:c r="N109" s="11" t="str">
        <x:v>S119; S120; S121</x:v>
      </x:c>
      <x:c r="O109" s="11" t="str">
        <x:v>Bộ 167</x:v>
      </x:c>
      <x:c r="P109" s="11" t="str">
        <x:v>Ứng viên giữ — có căn cứ khái niệm</x:v>
      </x:c>
      <x:c r="Q109" s="11" t="str"/>
    </x:row>
    <x:row r="110" ht="57" customHeight="1">
      <x:c r="A110" s="11" t="str">
        <x:v>M008</x:v>
      </x:c>
      <x:c r="B110" s="11" t="str">
        <x:v>ASEAN+3</x:v>
      </x:c>
      <x:c r="C110" s="11" t="str">
        <x:v>아세안+3</x:v>
      </x:c>
      <x:c r="D110" s="11" t="str">
        <x:v>N3</x:v>
      </x:c>
      <x:c r="E110" s="11" t="str">
        <x:v>Đã gán theo nghĩa được chọn</x:v>
      </x:c>
      <x:c r="F110" s="11" t="str">
        <x:v>Phù hợp theo nghĩa làm việc</x:v>
      </x:c>
      <x:c r="G110" s="11" t="str">
        <x:v>Giữ làm đơn vị nghiên cứu</x:v>
      </x:c>
      <x:c r="H110" s="11" t="str">
        <x:v>Ngoại giao</x:v>
      </x:c>
      <x:c r="I110" s="11" t="str">
        <x:v>M008</x:v>
      </x:c>
      <x:c r="J110" s="11" t="str"/>
      <x:c r="K110" s="11" t="str">
        <x:v> Nghĩa Việt được diễn giải từ nguồn en; chưa phải mục từ giải nghĩa bằng tiếng Việt đã xác nhận. Nghĩa Hàn được diễn giải từ nguồn en; chưa phải mục từ giải nghĩa bằng tiếng Hàn đã xác nhận.</x:v>
      </x:c>
      <x:c r="L110" s="11" t="str">
        <x:v>S124</x:v>
      </x:c>
      <x:c r="M110" s="11" t="str">
        <x:v>S124</x:v>
      </x:c>
      <x:c r="N110" s="11" t="str">
        <x:v>S119; S122; S123; S124</x:v>
      </x:c>
      <x:c r="O110" s="11" t="str">
        <x:v>Bộ 167</x:v>
      </x:c>
      <x:c r="P110" s="11" t="str">
        <x:v>Ứng viên giữ — có căn cứ khái niệm</x:v>
      </x:c>
      <x:c r="Q110" s="11" t="str"/>
    </x:row>
    <x:row r="111" ht="57" customHeight="1">
      <x:c r="A111" s="11" t="str">
        <x:v>M010</x:v>
      </x:c>
      <x:c r="B111" s="11" t="str">
        <x:v>Diễn đàn khu vực ASEAN (ARF)</x:v>
      </x:c>
      <x:c r="C111" s="11" t="str">
        <x:v>아세안지역포럼</x:v>
      </x:c>
      <x:c r="D111" s="11" t="str">
        <x:v>N3</x:v>
      </x:c>
      <x:c r="E111" s="11" t="str">
        <x:v>Đã gán theo nghĩa được chọn</x:v>
      </x:c>
      <x:c r="F111" s="11" t="str">
        <x:v>Phù hợp theo nghĩa làm việc</x:v>
      </x:c>
      <x:c r="G111" s="11" t="str">
        <x:v>Giữ làm đơn vị nghiên cứu</x:v>
      </x:c>
      <x:c r="H111" s="11" t="str">
        <x:v>Ngoại giao</x:v>
      </x:c>
      <x:c r="I111" s="11" t="str">
        <x:v>M010</x:v>
      </x:c>
      <x:c r="J111" s="11" t="str"/>
      <x:c r="K111" s="11" t="str">
        <x:v> Nghĩa Việt được diễn giải từ nguồn en; chưa phải mục từ giải nghĩa bằng tiếng Việt đã xác nhận. Nghĩa Hàn được diễn giải từ nguồn en; chưa phải mục từ giải nghĩa bằng tiếng Hàn đã xác nhận.</x:v>
      </x:c>
      <x:c r="L111" s="11" t="str">
        <x:v>S125</x:v>
      </x:c>
      <x:c r="M111" s="11" t="str">
        <x:v>S125</x:v>
      </x:c>
      <x:c r="N111" s="11" t="str">
        <x:v>S122; S120; S125</x:v>
      </x:c>
      <x:c r="O111" s="11" t="str">
        <x:v>Bộ 167</x:v>
      </x:c>
      <x:c r="P111" s="11" t="str">
        <x:v>Ứng viên giữ — có căn cứ khái niệm</x:v>
      </x:c>
      <x:c r="Q111" s="11" t="str"/>
    </x:row>
    <x:row r="112" ht="57" customHeight="1">
      <x:c r="A112" s="11" t="str">
        <x:v>T134</x:v>
      </x:c>
      <x:c r="B112" s="11" t="str">
        <x:v>đối tác chiến lược</x:v>
      </x:c>
      <x:c r="C112" s="11" t="str">
        <x:v>전략적 동반자 관계</x:v>
      </x:c>
      <x:c r="D112" s="11" t="str">
        <x:v>N4</x:v>
      </x:c>
      <x:c r="E112" s="11" t="str">
        <x:v>Đã gán theo nghĩa được chọn</x:v>
      </x:c>
      <x:c r="F112" s="16" t="str">
        <x:v>CẦN NGỮ CẢNH đối chiếu</x:v>
      </x:c>
      <x:c r="G112" s="11" t="str">
        <x:v>Giữ làm đơn vị nghiên cứu</x:v>
      </x:c>
      <x:c r="H112" s="11" t="str">
        <x:v>Ngoại giao</x:v>
      </x:c>
      <x:c r="I112" s="11" t="str">
        <x:v>T134</x:v>
      </x:c>
      <x:c r="J112" s="11" t="str"/>
      <x:c r="K112" s="11" t="str"/>
      <x:c r="L112" s="11" t="str">
        <x:v>S103</x:v>
      </x:c>
      <x:c r="M112" s="11" t="str">
        <x:v>S103</x:v>
      </x:c>
      <x:c r="N112" s="11" t="str">
        <x:v>S103</x:v>
      </x:c>
      <x:c r="O112" s="11" t="str">
        <x:v>Bộ 167</x:v>
      </x:c>
      <x:c r="P112" s="11" t="str">
        <x:v>Cần ngữ cảnh song ngữ</x:v>
      </x:c>
      <x:c r="Q112" s="11" t="str"/>
    </x:row>
    <x:row r="113" ht="57" customHeight="1">
      <x:c r="A113" s="11" t="str">
        <x:v>T137</x:v>
      </x:c>
      <x:c r="B113" s="11" t="str">
        <x:v>đối tác chiến lược toàn diện</x:v>
      </x:c>
      <x:c r="C113" s="11" t="str">
        <x:v>포괄적 전략적 동반자 관계</x:v>
      </x:c>
      <x:c r="D113" s="11" t="str">
        <x:v>N4</x:v>
      </x:c>
      <x:c r="E113" s="11" t="str">
        <x:v>Đã gán theo nghĩa được chọn</x:v>
      </x:c>
      <x:c r="F113" s="16" t="str">
        <x:v>CẦN NGỮ CẢNH đối chiếu</x:v>
      </x:c>
      <x:c r="G113" s="11" t="str">
        <x:v>Giữ làm đơn vị nghiên cứu</x:v>
      </x:c>
      <x:c r="H113" s="11" t="str">
        <x:v>Ngoại giao</x:v>
      </x:c>
      <x:c r="I113" s="11" t="str">
        <x:v>T137</x:v>
      </x:c>
      <x:c r="J113" s="11" t="str"/>
      <x:c r="K113" s="11" t="str">
        <x:v>Giữ riêng ID theo mẫu 167. T137 và T163 cùng họ khái niệm; khác tên và cặp nước không tự chứng minh hai cấp bậc quan hệ phổ quát.</x:v>
      </x:c>
      <x:c r="L113" s="11" t="str">
        <x:v>S106</x:v>
      </x:c>
      <x:c r="M113" s="11" t="str">
        <x:v>S106</x:v>
      </x:c>
      <x:c r="N113" s="11" t="str">
        <x:v>S106</x:v>
      </x:c>
      <x:c r="O113" s="11" t="str">
        <x:v>Bộ 167</x:v>
      </x:c>
      <x:c r="P113" s="11" t="str">
        <x:v>Cần ngữ cảnh song ngữ</x:v>
      </x:c>
      <x:c r="Q113" s="11" t="str"/>
    </x:row>
    <x:row r="114" ht="57" customHeight="1">
      <x:c r="A114" s="11" t="str">
        <x:v>T163</x:v>
      </x:c>
      <x:c r="B114" s="11" t="str">
        <x:v>đối tác hợp tác chiến lược toàn diện</x:v>
      </x:c>
      <x:c r="C114" s="11" t="str">
        <x:v>포괄적 전략적 협력 동반자 관계</x:v>
      </x:c>
      <x:c r="D114" s="11" t="str">
        <x:v>N4</x:v>
      </x:c>
      <x:c r="E114" s="11" t="str">
        <x:v>Đã gán theo nghĩa được chọn</x:v>
      </x:c>
      <x:c r="F114" s="16" t="str">
        <x:v>CẦN NGỮ CẢNH đối chiếu</x:v>
      </x:c>
      <x:c r="G114" s="11" t="str">
        <x:v>Giữ làm đơn vị nghiên cứu</x:v>
      </x:c>
      <x:c r="H114" s="11" t="str">
        <x:v>Ngoại giao</x:v>
      </x:c>
      <x:c r="I114" s="11" t="str">
        <x:v>T163</x:v>
      </x:c>
      <x:c r="J114" s="11" t="str"/>
      <x:c r="K114" s="11" t="str">
        <x:v>Giữ riêng biểu thức/ID theo mẫu 167 và liên kết với T137. Tính khác biệt tên gọi không tự chứng minh hai khái niệm hoặc hai cấp quan hệ tách biệt phổ quát.</x:v>
      </x:c>
      <x:c r="L114" s="11" t="str">
        <x:v>S126</x:v>
      </x:c>
      <x:c r="M114" s="11" t="str">
        <x:v>S126</x:v>
      </x:c>
      <x:c r="N114" s="11" t="str">
        <x:v>S126</x:v>
      </x:c>
      <x:c r="O114" s="11" t="str">
        <x:v>Bộ 167</x:v>
      </x:c>
      <x:c r="P114" s="11" t="str">
        <x:v>Cần ngữ cảnh song ngữ</x:v>
      </x:c>
      <x:c r="Q114" s="11" t="str"/>
    </x:row>
    <x:row r="115" ht="57" customHeight="1">
      <x:c r="A115" s="11" t="str">
        <x:v>T150</x:v>
      </x:c>
      <x:c r="B115" s="11" t="str">
        <x:v>đối tác toàn diện</x:v>
      </x:c>
      <x:c r="C115" s="11" t="str">
        <x:v>포괄적 동반자 관계</x:v>
      </x:c>
      <x:c r="D115" s="11" t="str">
        <x:v>N4</x:v>
      </x:c>
      <x:c r="E115" s="11" t="str">
        <x:v>Đã gán theo nghĩa được chọn</x:v>
      </x:c>
      <x:c r="F115" s="16" t="str">
        <x:v>CẦN NGỮ CẢNH đối chiếu</x:v>
      </x:c>
      <x:c r="G115" s="11" t="str">
        <x:v>Giữ làm đơn vị nghiên cứu</x:v>
      </x:c>
      <x:c r="H115" s="11" t="str">
        <x:v>Ngoại giao</x:v>
      </x:c>
      <x:c r="I115" s="11" t="str">
        <x:v>T150</x:v>
      </x:c>
      <x:c r="J115" s="11" t="str"/>
      <x:c r="K115" s="11" t="str"/>
      <x:c r="L115" s="11" t="str">
        <x:v>S103</x:v>
      </x:c>
      <x:c r="M115" s="11" t="str">
        <x:v>S103</x:v>
      </x:c>
      <x:c r="N115" s="11" t="str">
        <x:v>S103</x:v>
      </x:c>
      <x:c r="O115" s="11" t="str">
        <x:v>Bộ 167</x:v>
      </x:c>
      <x:c r="P115" s="11" t="str">
        <x:v>Cần ngữ cảnh song ngữ</x:v>
      </x:c>
      <x:c r="Q115" s="11" t="str"/>
    </x:row>
    <x:row r="116" ht="57" customHeight="1">
      <x:c r="A116" s="11" t="str">
        <x:v>T161</x:v>
      </x:c>
      <x:c r="B116" s="11" t="str">
        <x:v>đối thoại chiến lược</x:v>
      </x:c>
      <x:c r="C116" s="11" t="str">
        <x:v>전략대화</x:v>
      </x:c>
      <x:c r="D116" s="11" t="str">
        <x:v>N3</x:v>
      </x:c>
      <x:c r="E116" s="11" t="str">
        <x:v>Đã gán theo nghĩa được chọn</x:v>
      </x:c>
      <x:c r="F116" s="11" t="str">
        <x:v>Phù hợp theo nghĩa làm việc</x:v>
      </x:c>
      <x:c r="G116" s="11" t="str">
        <x:v>Giữ làm đơn vị nghiên cứu</x:v>
      </x:c>
      <x:c r="H116" s="11" t="str">
        <x:v>Ngoại giao</x:v>
      </x:c>
      <x:c r="I116" s="11" t="str">
        <x:v>T161</x:v>
      </x:c>
      <x:c r="J116" s="11" t="str"/>
      <x:c r="K116" s="11" t="str">
        <x:v>Nhóm N3.1 gắn đúng cơ chế 3+3 đã xác định trong hồ sơ; định nghĩa chung đối thoại chiến lược chưa khóa được nhóm cho C163. Nghĩa Hàn được diễn giải từ nguồn vi; chưa phải mục từ giải nghĩa bằng tiếng Hàn đã xác nhận.</x:v>
      </x:c>
      <x:c r="L116" s="11" t="str">
        <x:v>S128</x:v>
      </x:c>
      <x:c r="M116" s="11" t="str">
        <x:v>S128</x:v>
      </x:c>
      <x:c r="N116" s="11" t="str">
        <x:v>S127; S128</x:v>
      </x:c>
      <x:c r="O116" s="11" t="str">
        <x:v>Bộ 167</x:v>
      </x:c>
      <x:c r="P116" s="11" t="str">
        <x:v>Ứng viên giữ — có căn cứ khái niệm</x:v>
      </x:c>
      <x:c r="Q116" s="11" t="str"/>
    </x:row>
    <x:row r="117" ht="57" customHeight="1">
      <x:c r="A117" s="11" t="str">
        <x:v>M009</x:v>
      </x:c>
      <x:c r="B117" s="11" t="str">
        <x:v>Hội nghị cấp cao Đông Á (EAS)</x:v>
      </x:c>
      <x:c r="C117" s="11" t="str">
        <x:v>동아시아정상회의</x:v>
      </x:c>
      <x:c r="D117" s="11" t="str">
        <x:v>N3</x:v>
      </x:c>
      <x:c r="E117" s="11" t="str">
        <x:v>Đã gán theo nghĩa được chọn</x:v>
      </x:c>
      <x:c r="F117" s="11" t="str">
        <x:v>Phù hợp theo nghĩa làm việc</x:v>
      </x:c>
      <x:c r="G117" s="11" t="str">
        <x:v>Giữ làm đơn vị nghiên cứu</x:v>
      </x:c>
      <x:c r="H117" s="11" t="str">
        <x:v>Ngoại giao</x:v>
      </x:c>
      <x:c r="I117" s="11" t="str">
        <x:v>M009</x:v>
      </x:c>
      <x:c r="J117" s="11" t="str"/>
      <x:c r="K117" s="11" t="str">
        <x:v>Giữ nghĩa diễn đàn/cơ chế thường xuyên trong lượt đã chọn. Một kỳ hội nghị EAS là sự kiện N4; tên gọi không tự quyết định nghĩa. Nghĩa Việt được diễn giải từ nguồn ko; chưa phải mục từ giải nghĩa bằng tiếng Việt đã xác nhận.</x:v>
      </x:c>
      <x:c r="L117" s="11" t="str">
        <x:v>S129</x:v>
      </x:c>
      <x:c r="M117" s="11" t="str">
        <x:v>S129</x:v>
      </x:c>
      <x:c r="N117" s="11" t="str">
        <x:v>S119; S129</x:v>
      </x:c>
      <x:c r="O117" s="11" t="str">
        <x:v>Bộ 167</x:v>
      </x:c>
      <x:c r="P117" s="11" t="str">
        <x:v>Ứng viên giữ — có căn cứ khái niệm</x:v>
      </x:c>
      <x:c r="Q117" s="11" t="str"/>
    </x:row>
    <x:row r="118" ht="57" customHeight="1">
      <x:c r="A118" s="11" t="str">
        <x:v>T143</x:v>
      </x:c>
      <x:c r="B118" s="11" t="str">
        <x:v>quan hệ ngoại giao</x:v>
      </x:c>
      <x:c r="C118" s="11" t="str">
        <x:v>외교관계</x:v>
      </x:c>
      <x:c r="D118" s="11" t="str">
        <x:v>N4</x:v>
      </x:c>
      <x:c r="E118" s="11" t="str">
        <x:v>Đã gán theo nghĩa được chọn</x:v>
      </x:c>
      <x:c r="F118" s="16" t="str">
        <x:v>CẦN NGỮ CẢNH đối chiếu</x:v>
      </x:c>
      <x:c r="G118" s="11" t="str">
        <x:v>Giữ làm đơn vị nghiên cứu</x:v>
      </x:c>
      <x:c r="H118" s="11" t="str">
        <x:v>Ngoại giao</x:v>
      </x:c>
      <x:c r="I118" s="11" t="str">
        <x:v>T143</x:v>
      </x:c>
      <x:c r="J118" s="11" t="str"/>
      <x:c r="K118" s="11" t="str"/>
      <x:c r="L118" s="11" t="str">
        <x:v>S106</x:v>
      </x:c>
      <x:c r="M118" s="11" t="str">
        <x:v>S106</x:v>
      </x:c>
      <x:c r="N118" s="11" t="str">
        <x:v>S106</x:v>
      </x:c>
      <x:c r="O118" s="11" t="str">
        <x:v>Bộ 167</x:v>
      </x:c>
      <x:c r="P118" s="11" t="str">
        <x:v>Cần ngữ cảnh song ngữ</x:v>
      </x:c>
      <x:c r="Q118" s="11" t="str"/>
    </x:row>
    <x:row r="119" ht="57" customHeight="1">
      <x:c r="A119" s="11" t="str">
        <x:v>T001</x:v>
      </x:c>
      <x:c r="B119" s="11" t="str">
        <x:v>bầu cử</x:v>
      </x:c>
      <x:c r="C119" s="11" t="str">
        <x:v>선거</x:v>
      </x:c>
      <x:c r="D119" s="11" t="str">
        <x:v>N4</x:v>
      </x:c>
      <x:c r="E119" s="11" t="str">
        <x:v>Đã gán theo nghĩa được chọn</x:v>
      </x:c>
      <x:c r="F119" s="11" t="str">
        <x:v>Phù hợp theo nghĩa làm việc</x:v>
      </x:c>
      <x:c r="G119" s="11" t="str">
        <x:v>Giữ làm đơn vị nghiên cứu</x:v>
      </x:c>
      <x:c r="H119" s="11" t="str">
        <x:v>Chính trị</x:v>
      </x:c>
      <x:c r="I119" s="11" t="str">
        <x:v>T001</x:v>
      </x:c>
      <x:c r="J119" s="11" t="str"/>
      <x:c r="K119" s="11" t="str">
        <x:v>compatible = có khả năng tương ứng theo nghĩa làm việc; chưa thay thế kiểm tra câu song hành.</x:v>
      </x:c>
      <x:c r="L119" s="11" t="str">
        <x:v>S014</x:v>
      </x:c>
      <x:c r="M119" s="11" t="str">
        <x:v>S130</x:v>
      </x:c>
      <x:c r="N119" s="11" t="str">
        <x:v>S014; S130</x:v>
      </x:c>
      <x:c r="O119" s="11" t="str">
        <x:v>Bộ 167</x:v>
      </x:c>
      <x:c r="P119" s="11" t="str">
        <x:v>Cần bổ sung nguồn định nghĩa</x:v>
      </x:c>
      <x:c r="Q119" s="11" t="str"/>
    </x:row>
    <x:row r="120" ht="57" customHeight="1">
      <x:c r="A120" s="11" t="str">
        <x:v>T004</x:v>
      </x:c>
      <x:c r="B120" s="11" t="str">
        <x:v>bầu cử đại biểu Quốc hội</x:v>
      </x:c>
      <x:c r="C120" s="11" t="str">
        <x:v>국회 의원 선거</x:v>
      </x:c>
      <x:c r="D120" s="11" t="str">
        <x:v>N4</x:v>
      </x:c>
      <x:c r="E120" s="11" t="str">
        <x:v>Đã gán theo nghĩa được chọn</x:v>
      </x:c>
      <x:c r="F120" s="11" t="str">
        <x:v>Phù hợp theo nghĩa làm việc</x:v>
      </x:c>
      <x:c r="G120" s="11" t="str">
        <x:v>Giữ làm đơn vị nghiên cứu</x:v>
      </x:c>
      <x:c r="H120" s="11" t="str">
        <x:v>Chính trị</x:v>
      </x:c>
      <x:c r="I120" s="11" t="str">
        <x:v>T004</x:v>
      </x:c>
      <x:c r="J120" s="11" t="str"/>
      <x:c r="K120" s="11" t="str">
        <x:v>compatible = có khả năng tương ứng theo nghĩa làm việc; chưa thay thế kiểm tra câu song hành.</x:v>
      </x:c>
      <x:c r="L120" s="11" t="str">
        <x:v>S014</x:v>
      </x:c>
      <x:c r="M120" s="11" t="str">
        <x:v>S014</x:v>
      </x:c>
      <x:c r="N120" s="11" t="str">
        <x:v>S014</x:v>
      </x:c>
      <x:c r="O120" s="11" t="str">
        <x:v>Bộ 167</x:v>
      </x:c>
      <x:c r="P120" s="11" t="str">
        <x:v>Cần bổ sung nguồn định nghĩa</x:v>
      </x:c>
      <x:c r="Q120" s="11" t="str"/>
    </x:row>
    <x:row r="121" ht="57" customHeight="1">
      <x:c r="A121" s="11" t="str">
        <x:v>T041</x:v>
      </x:c>
      <x:c r="B121" s="11" t="str">
        <x:v>cải cách hành chính</x:v>
      </x:c>
      <x:c r="C121" s="11" t="str">
        <x:v>행정 개혁</x:v>
      </x:c>
      <x:c r="D121" s="11" t="str">
        <x:v>N4</x:v>
      </x:c>
      <x:c r="E121" s="11" t="str">
        <x:v>Đã gán theo nghĩa được chọn</x:v>
      </x:c>
      <x:c r="F121" s="11" t="str">
        <x:v>Phù hợp theo nghĩa làm việc</x:v>
      </x:c>
      <x:c r="G121" s="11" t="str">
        <x:v>Giữ làm đơn vị nghiên cứu</x:v>
      </x:c>
      <x:c r="H121" s="11" t="str">
        <x:v>Chính trị</x:v>
      </x:c>
      <x:c r="I121" s="11" t="str">
        <x:v>T041</x:v>
      </x:c>
      <x:c r="J121" s="11" t="str"/>
      <x:c r="K121" s="11" t="str">
        <x:v>compatible = có khả năng tương ứng theo nghĩa làm việc; chưa thay thế kiểm tra câu song hành.</x:v>
      </x:c>
      <x:c r="L121" s="11" t="str">
        <x:v>S131</x:v>
      </x:c>
      <x:c r="M121" s="11" t="str">
        <x:v>S131</x:v>
      </x:c>
      <x:c r="N121" s="11" t="str">
        <x:v>S131</x:v>
      </x:c>
      <x:c r="O121" s="11" t="str">
        <x:v>Bộ 167</x:v>
      </x:c>
      <x:c r="P121" s="11" t="str">
        <x:v>Cần bổ sung nguồn định nghĩa</x:v>
      </x:c>
      <x:c r="Q121" s="11" t="str"/>
    </x:row>
    <x:row r="122" ht="57" customHeight="1">
      <x:c r="A122" s="11" t="str">
        <x:v>T060</x:v>
      </x:c>
      <x:c r="B122" s="11" t="str">
        <x:v>cải cách thể chế</x:v>
      </x:c>
      <x:c r="C122" s="11" t="str">
        <x:v>제도 개혁</x:v>
      </x:c>
      <x:c r="D122" s="11" t="str">
        <x:v>N4</x:v>
      </x:c>
      <x:c r="E122" s="11" t="str">
        <x:v>Đã gán theo nghĩa được chọn</x:v>
      </x:c>
      <x:c r="F122" s="11" t="str">
        <x:v>Phù hợp theo nghĩa làm việc</x:v>
      </x:c>
      <x:c r="G122" s="11" t="str">
        <x:v>Giữ làm đơn vị nghiên cứu</x:v>
      </x:c>
      <x:c r="H122" s="11" t="str">
        <x:v>Chính trị</x:v>
      </x:c>
      <x:c r="I122" s="11" t="str">
        <x:v>T060</x:v>
      </x:c>
      <x:c r="J122" s="11" t="str"/>
      <x:c r="K122" s="11" t="str">
        <x:v>compatible = có khả năng tương ứng theo nghĩa làm việc; chưa thay thế kiểm tra câu song hành.</x:v>
      </x:c>
      <x:c r="L122" s="11" t="str">
        <x:v>S131</x:v>
      </x:c>
      <x:c r="M122" s="11" t="str">
        <x:v>S131</x:v>
      </x:c>
      <x:c r="N122" s="11" t="str">
        <x:v>S131</x:v>
      </x:c>
      <x:c r="O122" s="11" t="str">
        <x:v>Bộ 167</x:v>
      </x:c>
      <x:c r="P122" s="11" t="str">
        <x:v>Cần bổ sung nguồn định nghĩa</x:v>
      </x:c>
      <x:c r="Q122" s="11" t="str"/>
    </x:row>
    <x:row r="123" ht="72" customHeight="1">
      <x:c r="A123" s="11" t="str">
        <x:v>M047</x:v>
      </x:c>
      <x:c r="B123" s="11" t="str">
        <x:v>chào xã giao</x:v>
      </x:c>
      <x:c r="C123" s="11" t="str">
        <x:v>예방할</x:v>
      </x:c>
      <x:c r="D123" s="11" t="str">
        <x:v>N4</x:v>
      </x:c>
      <x:c r="E123" s="11" t="str">
        <x:v>Đã gán theo nghĩa được chọn</x:v>
      </x:c>
      <x:c r="F123" s="16" t="str">
        <x:v>CẦN NGỮ CẢNH đối chiếu</x:v>
      </x:c>
      <x:c r="G123" s="11" t="str">
        <x:v>Cần xem xét tư cách/phạm vi</x:v>
      </x:c>
      <x:c r="H123" s="11" t="str">
        <x:v>Ngoại giao</x:v>
      </x:c>
      <x:c r="I123" s="11" t="str">
        <x:v>M047</x:v>
      </x:c>
      <x:c r="J123" s="11" t="str"/>
      <x:c r="K123" s="11" t="str">
        <x:v>Giữ nguyên dạng ngữ liệu 예방할; dạng tra cứu đề xuất 예방하다/예방(禮訪). Không nhầm 豫防 là phòng ngừa. Bằng chứng khác trong hồ sơ có 예방 방문; không thay âm thầm dạng gốc. Đã thử tìm trên nguồn Quốc ngữ viện nhưng chưa đọc được mục từ nguyên dạng phù hợp; needs_check không có nghĩa thuật ngữ không tồn tại.</x:v>
      </x:c>
      <x:c r="L123" s="11" t="str">
        <x:v>S132</x:v>
      </x:c>
      <x:c r="M123" s="11" t="str">
        <x:v>S133</x:v>
      </x:c>
      <x:c r="N123" s="11" t="str">
        <x:v>S132; S133</x:v>
      </x:c>
      <x:c r="O123" s="11" t="str">
        <x:v>Bộ 167</x:v>
      </x:c>
      <x:c r="P123" s="11" t="str">
        <x:v>Cần ngữ cảnh song ngữ</x:v>
      </x:c>
      <x:c r="Q123" s="11" t="str">
        <x:v>KO tra: 예방하다 / 예방(禮訪). Giữ nguyên 예방할 ở cột ngữ liệu.</x:v>
      </x:c>
    </x:row>
    <x:row r="124" ht="57" customHeight="1">
      <x:c r="A124" s="11" t="str">
        <x:v>T025</x:v>
      </x:c>
      <x:c r="B124" s="11" t="str">
        <x:v>Đại hội đại biểu toàn quốc</x:v>
      </x:c>
      <x:c r="C124" s="11" t="str">
        <x:v>전국대회</x:v>
      </x:c>
      <x:c r="D124" s="11" t="str">
        <x:v>N4</x:v>
      </x:c>
      <x:c r="E124" s="11" t="str">
        <x:v>Đã gán theo nghĩa được chọn</x:v>
      </x:c>
      <x:c r="F124" s="11" t="str">
        <x:v>Phù hợp theo nghĩa làm việc</x:v>
      </x:c>
      <x:c r="G124" s="11" t="str">
        <x:v>Giữ làm đơn vị nghiên cứu</x:v>
      </x:c>
      <x:c r="H124" s="11" t="str">
        <x:v>Chính trị</x:v>
      </x:c>
      <x:c r="I124" s="11" t="str">
        <x:v>T025</x:v>
      </x:c>
      <x:c r="J124" s="11" t="str"/>
      <x:c r="K124" s="11" t="str">
        <x:v>compatible = có khả năng tương ứng theo nghĩa làm việc; chưa thay thế kiểm tra câu song hành.</x:v>
      </x:c>
      <x:c r="L124" s="11" t="str">
        <x:v>S021</x:v>
      </x:c>
      <x:c r="M124" s="11" t="str">
        <x:v>S021</x:v>
      </x:c>
      <x:c r="N124" s="11" t="str">
        <x:v>S021</x:v>
      </x:c>
      <x:c r="O124" s="11" t="str">
        <x:v>Bộ 167</x:v>
      </x:c>
      <x:c r="P124" s="11" t="str">
        <x:v>Cần bổ sung nguồn định nghĩa</x:v>
      </x:c>
      <x:c r="Q124" s="11" t="str"/>
    </x:row>
    <x:row r="125" ht="72" customHeight="1">
      <x:c r="A125" s="11" t="str">
        <x:v>T012</x:v>
      </x:c>
      <x:c r="B125" s="11" t="str">
        <x:v>đề cử</x:v>
      </x:c>
      <x:c r="C125" s="11" t="str">
        <x:v>지명한</x:v>
      </x:c>
      <x:c r="D125" s="11" t="str">
        <x:v>N4</x:v>
      </x:c>
      <x:c r="E125" s="11" t="str">
        <x:v>Đã gán theo nghĩa được chọn</x:v>
      </x:c>
      <x:c r="F125" s="16" t="str">
        <x:v>CẦN NGỮ CẢNH đối chiếu</x:v>
      </x:c>
      <x:c r="G125" s="11" t="str">
        <x:v>Cần xem xét tư cách/phạm vi</x:v>
      </x:c>
      <x:c r="H125" s="11" t="str">
        <x:v>Chính trị</x:v>
      </x:c>
      <x:c r="I125" s="11" t="str">
        <x:v>T012</x:v>
      </x:c>
      <x:c r="J125" s="11" t="str"/>
      <x:c r="K125" s="11" t="str">
        <x:v>Giữ nguyên 지명한; đây là dạng biến tố. Tra cứu 지명하다/지명(指名), và xét cụm 후보 지명 trong nguồn. Không coi mọi nghĩa chỉ định là đề cử chính trị. Đã thử tìm trên nguồn Quốc ngữ viện nhưng chưa đọc được mục từ nguyên dạng phù hợp; needs_check không có nghĩa thuật ngữ không tồn tại.</x:v>
      </x:c>
      <x:c r="L125" s="11" t="str">
        <x:v>S134</x:v>
      </x:c>
      <x:c r="M125" s="11" t="str">
        <x:v>S134</x:v>
      </x:c>
      <x:c r="N125" s="11" t="str">
        <x:v>S134</x:v>
      </x:c>
      <x:c r="O125" s="11" t="str">
        <x:v>Bộ 167</x:v>
      </x:c>
      <x:c r="P125" s="11" t="str">
        <x:v>Cần ngữ cảnh song ngữ</x:v>
      </x:c>
      <x:c r="Q125" s="11" t="str">
        <x:v>KO tra: 지명하다 / 지명(指名); xét 후보 지명 trong câu nguồn.</x:v>
      </x:c>
    </x:row>
    <x:row r="126" ht="57" customHeight="1">
      <x:c r="A126" s="11" t="str">
        <x:v>T153</x:v>
      </x:c>
      <x:c r="B126" s="11" t="str">
        <x:v>điện đàm</x:v>
      </x:c>
      <x:c r="C126" s="11" t="str">
        <x:v>전화 회담</x:v>
      </x:c>
      <x:c r="D126" s="11" t="str">
        <x:v>N4</x:v>
      </x:c>
      <x:c r="E126" s="11" t="str">
        <x:v>Đã gán theo nghĩa được chọn</x:v>
      </x:c>
      <x:c r="F126" s="11" t="str">
        <x:v>Phù hợp theo nghĩa làm việc</x:v>
      </x:c>
      <x:c r="G126" s="11" t="str">
        <x:v>Giữ làm đơn vị nghiên cứu</x:v>
      </x:c>
      <x:c r="H126" s="11" t="str">
        <x:v>Ngoại giao</x:v>
      </x:c>
      <x:c r="I126" s="11" t="str">
        <x:v>T153</x:v>
      </x:c>
      <x:c r="J126" s="11" t="str"/>
      <x:c r="K126" s="11" t="str">
        <x:v>compatible = có khả năng tương ứng theo nghĩa làm việc; chưa thay thế kiểm tra câu song hành.</x:v>
      </x:c>
      <x:c r="L126" s="11" t="str">
        <x:v>S135</x:v>
      </x:c>
      <x:c r="M126" s="11" t="str">
        <x:v>S135</x:v>
      </x:c>
      <x:c r="N126" s="11" t="str">
        <x:v>S135</x:v>
      </x:c>
      <x:c r="O126" s="11" t="str">
        <x:v>Bộ 167</x:v>
      </x:c>
      <x:c r="P126" s="11" t="str">
        <x:v>Cần bổ sung nguồn định nghĩa</x:v>
      </x:c>
      <x:c r="Q126" s="11" t="str"/>
    </x:row>
    <x:row r="127" ht="57" customHeight="1">
      <x:c r="A127" s="11" t="str">
        <x:v>T016</x:v>
      </x:c>
      <x:c r="B127" s="11" t="str">
        <x:v>Đổi mới</x:v>
      </x:c>
      <x:c r="C127" s="11" t="str">
        <x:v>도이머이(혁신)</x:v>
      </x:c>
      <x:c r="D127" s="11" t="str">
        <x:v>N4</x:v>
      </x:c>
      <x:c r="E127" s="11" t="str">
        <x:v>Đã gán theo nghĩa được chọn</x:v>
      </x:c>
      <x:c r="F127" s="16" t="str">
        <x:v>CẦN NGỮ CẢNH đối chiếu</x:v>
      </x:c>
      <x:c r="G127" s="11" t="str">
        <x:v>Giữ làm đơn vị nghiên cứu</x:v>
      </x:c>
      <x:c r="H127" s="11" t="str">
        <x:v>Chính trị</x:v>
      </x:c>
      <x:c r="I127" s="11" t="str">
        <x:v>T016</x:v>
      </x:c>
      <x:c r="J127" s="11" t="str"/>
      <x:c r="K127" s="11" t="str"/>
      <x:c r="L127" s="11" t="str">
        <x:v>S136</x:v>
      </x:c>
      <x:c r="M127" s="11" t="str">
        <x:v>S136</x:v>
      </x:c>
      <x:c r="N127" s="11" t="str">
        <x:v>S136</x:v>
      </x:c>
      <x:c r="O127" s="11" t="str">
        <x:v>Bộ 167</x:v>
      </x:c>
      <x:c r="P127" s="11" t="str">
        <x:v>Cần ngữ cảnh song ngữ</x:v>
      </x:c>
      <x:c r="Q127" s="11" t="str"/>
    </x:row>
    <x:row r="128" ht="57" customHeight="1">
      <x:c r="A128" s="11" t="str">
        <x:v>T160</x:v>
      </x:c>
      <x:c r="B128" s="11" t="str">
        <x:v>đối ngoại quốc phòng</x:v>
      </x:c>
      <x:c r="C128" s="11" t="str">
        <x:v>국방 외교</x:v>
      </x:c>
      <x:c r="D128" s="11" t="str">
        <x:v>N4</x:v>
      </x:c>
      <x:c r="E128" s="11" t="str">
        <x:v>Đã gán theo nghĩa được chọn</x:v>
      </x:c>
      <x:c r="F128" s="11" t="str">
        <x:v>Phù hợp theo nghĩa làm việc</x:v>
      </x:c>
      <x:c r="G128" s="11" t="str">
        <x:v>Giữ làm đơn vị nghiên cứu</x:v>
      </x:c>
      <x:c r="H128" s="11" t="str">
        <x:v>Ngoại giao</x:v>
      </x:c>
      <x:c r="I128" s="11" t="str">
        <x:v>T160</x:v>
      </x:c>
      <x:c r="J128" s="11" t="str"/>
      <x:c r="K128" s="11" t="str">
        <x:v>compatible = có khả năng tương ứng theo nghĩa làm việc; chưa thay thế kiểm tra câu song hành.</x:v>
      </x:c>
      <x:c r="L128" s="11" t="str">
        <x:v>S137</x:v>
      </x:c>
      <x:c r="M128" s="11" t="str">
        <x:v>S137</x:v>
      </x:c>
      <x:c r="N128" s="11" t="str">
        <x:v>S137</x:v>
      </x:c>
      <x:c r="O128" s="11" t="str">
        <x:v>Bộ 167</x:v>
      </x:c>
      <x:c r="P128" s="11" t="str">
        <x:v>Cần bổ sung nguồn định nghĩa</x:v>
      </x:c>
      <x:c r="Q128" s="11" t="str"/>
    </x:row>
    <x:row r="129" ht="57" customHeight="1">
      <x:c r="A129" s="11" t="str">
        <x:v>T165</x:v>
      </x:c>
      <x:c r="B129" s="11" t="str">
        <x:v>đối thoại chính sách</x:v>
      </x:c>
      <x:c r="C129" s="11" t="str">
        <x:v>정책 대화</x:v>
      </x:c>
      <x:c r="D129" s="11" t="str">
        <x:v>N4</x:v>
      </x:c>
      <x:c r="E129" s="11" t="str">
        <x:v>Đã gán theo nghĩa được chọn</x:v>
      </x:c>
      <x:c r="F129" s="11" t="str">
        <x:v>Phù hợp theo nghĩa làm việc</x:v>
      </x:c>
      <x:c r="G129" s="11" t="str">
        <x:v>Giữ làm đơn vị nghiên cứu</x:v>
      </x:c>
      <x:c r="H129" s="11" t="str">
        <x:v>Chính trị và ngoại giao</x:v>
      </x:c>
      <x:c r="I129" s="11" t="str">
        <x:v>T165</x:v>
      </x:c>
      <x:c r="J129" s="11" t="str"/>
      <x:c r="K129" s="11" t="str">
        <x:v>compatible = có khả năng tương ứng theo nghĩa làm việc; chưa thay thế kiểm tra câu song hành.</x:v>
      </x:c>
      <x:c r="L129" s="11" t="str">
        <x:v>S138</x:v>
      </x:c>
      <x:c r="M129" s="11" t="str">
        <x:v>S138</x:v>
      </x:c>
      <x:c r="N129" s="11" t="str">
        <x:v>S138; S139</x:v>
      </x:c>
      <x:c r="O129" s="11" t="str">
        <x:v>Bộ 167</x:v>
      </x:c>
      <x:c r="P129" s="11" t="str">
        <x:v>Cần bổ sung nguồn định nghĩa</x:v>
      </x:c>
      <x:c r="Q129" s="11" t="str"/>
    </x:row>
    <x:row r="130" ht="57" customHeight="1">
      <x:c r="A130" s="11" t="str">
        <x:v>T040</x:v>
      </x:c>
      <x:c r="B130" s="11" t="str">
        <x:v>giải phóng dân tộc</x:v>
      </x:c>
      <x:c r="C130" s="11" t="str">
        <x:v>민족 해방</x:v>
      </x:c>
      <x:c r="D130" s="11" t="str">
        <x:v>N4</x:v>
      </x:c>
      <x:c r="E130" s="11" t="str">
        <x:v>Đã gán theo nghĩa được chọn</x:v>
      </x:c>
      <x:c r="F130" s="11" t="str">
        <x:v>Phù hợp theo nghĩa làm việc</x:v>
      </x:c>
      <x:c r="G130" s="11" t="str">
        <x:v>Giữ làm đơn vị nghiên cứu</x:v>
      </x:c>
      <x:c r="H130" s="11" t="str">
        <x:v>Chính trị</x:v>
      </x:c>
      <x:c r="I130" s="11" t="str">
        <x:v>T040</x:v>
      </x:c>
      <x:c r="J130" s="11" t="str"/>
      <x:c r="K130" s="11" t="str">
        <x:v>compatible = có khả năng tương ứng theo nghĩa làm việc; chưa thay thế kiểm tra câu song hành.</x:v>
      </x:c>
      <x:c r="L130" s="11" t="str">
        <x:v>S100</x:v>
      </x:c>
      <x:c r="M130" s="11" t="str">
        <x:v>S100</x:v>
      </x:c>
      <x:c r="N130" s="11" t="str">
        <x:v>S100</x:v>
      </x:c>
      <x:c r="O130" s="11" t="str">
        <x:v>Bộ 167</x:v>
      </x:c>
      <x:c r="P130" s="11" t="str">
        <x:v>Cần bổ sung nguồn định nghĩa</x:v>
      </x:c>
      <x:c r="Q130" s="11" t="str"/>
    </x:row>
    <x:row r="131" ht="57" customHeight="1">
      <x:c r="A131" s="11" t="str">
        <x:v>T010</x:v>
      </x:c>
      <x:c r="B131" s="11" t="str">
        <x:v>giám sát tối cao</x:v>
      </x:c>
      <x:c r="C131" s="11" t="str">
        <x:v>최고 감독</x:v>
      </x:c>
      <x:c r="D131" s="11" t="str">
        <x:v>N4</x:v>
      </x:c>
      <x:c r="E131" s="11" t="str">
        <x:v>Đã gán theo nghĩa được chọn</x:v>
      </x:c>
      <x:c r="F131" s="16" t="str">
        <x:v>CẦN NGỮ CẢNH đối chiếu</x:v>
      </x:c>
      <x:c r="G131" s="11" t="str">
        <x:v>Giữ làm đơn vị nghiên cứu</x:v>
      </x:c>
      <x:c r="H131" s="11" t="str">
        <x:v>Chính trị</x:v>
      </x:c>
      <x:c r="I131" s="11" t="str">
        <x:v>T010</x:v>
      </x:c>
      <x:c r="J131" s="11" t="str"/>
      <x:c r="K131" s="11" t="str"/>
      <x:c r="L131" s="11" t="str">
        <x:v>S140</x:v>
      </x:c>
      <x:c r="M131" s="11" t="str">
        <x:v>S140</x:v>
      </x:c>
      <x:c r="N131" s="11" t="str">
        <x:v>S140</x:v>
      </x:c>
      <x:c r="O131" s="11" t="str">
        <x:v>Bộ 167</x:v>
      </x:c>
      <x:c r="P131" s="11" t="str">
        <x:v>Cần ngữ cảnh song ngữ</x:v>
      </x:c>
      <x:c r="Q131" s="11" t="str"/>
    </x:row>
    <x:row r="132" ht="57" customHeight="1">
      <x:c r="A132" s="11" t="str">
        <x:v>T141</x:v>
      </x:c>
      <x:c r="B132" s="11" t="str">
        <x:v>hội đàm</x:v>
      </x:c>
      <x:c r="C132" s="11" t="str">
        <x:v>회담</x:v>
      </x:c>
      <x:c r="D132" s="11" t="str">
        <x:v>N4</x:v>
      </x:c>
      <x:c r="E132" s="11" t="str">
        <x:v>Đã gán theo nghĩa được chọn</x:v>
      </x:c>
      <x:c r="F132" s="11" t="str">
        <x:v>Phù hợp theo nghĩa làm việc</x:v>
      </x:c>
      <x:c r="G132" s="11" t="str">
        <x:v>Giữ làm đơn vị nghiên cứu</x:v>
      </x:c>
      <x:c r="H132" s="11" t="str">
        <x:v>Ngoại giao</x:v>
      </x:c>
      <x:c r="I132" s="11" t="str">
        <x:v>T141</x:v>
      </x:c>
      <x:c r="J132" s="11" t="str"/>
      <x:c r="K132"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132" s="11" t="str">
        <x:v>S141</x:v>
      </x:c>
      <x:c r="M132" s="11" t="str">
        <x:v>S141</x:v>
      </x:c>
      <x:c r="N132" s="11" t="str">
        <x:v>S141</x:v>
      </x:c>
      <x:c r="O132" s="11" t="str">
        <x:v>Bộ 167</x:v>
      </x:c>
      <x:c r="P132" s="11" t="str">
        <x:v>Cần bổ sung nguồn định nghĩa</x:v>
      </x:c>
      <x:c r="Q132" s="11" t="str"/>
    </x:row>
    <x:row r="133" ht="57" customHeight="1">
      <x:c r="A133" s="11" t="str">
        <x:v>T148</x:v>
      </x:c>
      <x:c r="B133" s="11" t="str">
        <x:v>hội nghị cấp cao</x:v>
      </x:c>
      <x:c r="C133" s="11" t="str">
        <x:v>정상회의</x:v>
      </x:c>
      <x:c r="D133" s="11" t="str">
        <x:v>N4</x:v>
      </x:c>
      <x:c r="E133" s="11" t="str">
        <x:v>Đã gán theo nghĩa được chọn</x:v>
      </x:c>
      <x:c r="F133" s="16" t="str">
        <x:v>CẦN NGỮ CẢNH đối chiếu</x:v>
      </x:c>
      <x:c r="G133" s="11" t="str">
        <x:v>Giữ làm đơn vị nghiên cứu</x:v>
      </x:c>
      <x:c r="H133" s="11" t="str">
        <x:v>Ngoại giao</x:v>
      </x:c>
      <x:c r="I133" s="11" t="str">
        <x:v>T148</x:v>
      </x:c>
      <x:c r="J133" s="11" t="str"/>
      <x:c r="K133" s="11" t="str"/>
      <x:c r="L133" s="11" t="str">
        <x:v>S142</x:v>
      </x:c>
      <x:c r="M133" s="11" t="str">
        <x:v>S142</x:v>
      </x:c>
      <x:c r="N133" s="11" t="str">
        <x:v>S142; S143</x:v>
      </x:c>
      <x:c r="O133" s="11" t="str">
        <x:v>Bộ 167</x:v>
      </x:c>
      <x:c r="P133" s="11" t="str">
        <x:v>Cần ngữ cảnh song ngữ</x:v>
      </x:c>
      <x:c r="Q133" s="11" t="str"/>
    </x:row>
    <x:row r="134" ht="57" customHeight="1">
      <x:c r="A134" s="11" t="str">
        <x:v>M004</x:v>
      </x:c>
      <x:c r="B134" s="11" t="str">
        <x:v>Hội nghị cấp cao APEC</x:v>
      </x:c>
      <x:c r="C134" s="11" t="str">
        <x:v>APEC 정상회의</x:v>
      </x:c>
      <x:c r="D134" s="11" t="str">
        <x:v>N4</x:v>
      </x:c>
      <x:c r="E134" s="11" t="str">
        <x:v>Đã gán theo nghĩa được chọn</x:v>
      </x:c>
      <x:c r="F134" s="11" t="str">
        <x:v>Phù hợp theo nghĩa làm việc</x:v>
      </x:c>
      <x:c r="G134" s="11" t="str">
        <x:v>Giữ làm đơn vị nghiên cứu</x:v>
      </x:c>
      <x:c r="H134" s="11" t="str">
        <x:v>Ngoại giao</x:v>
      </x:c>
      <x:c r="I134" s="11" t="str">
        <x:v>M004</x:v>
      </x:c>
      <x:c r="J134" s="11" t="str"/>
      <x:c r="K134" s="11" t="str">
        <x:v>compatible = có khả năng tương ứng theo nghĩa làm việc; chưa thay thế kiểm tra câu song hành.</x:v>
      </x:c>
      <x:c r="L134" s="11" t="str">
        <x:v>S144</x:v>
      </x:c>
      <x:c r="M134" s="11" t="str">
        <x:v>S144</x:v>
      </x:c>
      <x:c r="N134" s="11" t="str">
        <x:v>S144</x:v>
      </x:c>
      <x:c r="O134" s="11" t="str">
        <x:v>Bộ 167</x:v>
      </x:c>
      <x:c r="P134" s="11" t="str">
        <x:v>Cần bổ sung nguồn định nghĩa</x:v>
      </x:c>
      <x:c r="Q134" s="11" t="str"/>
    </x:row>
    <x:row r="135" ht="57" customHeight="1">
      <x:c r="A135" s="11" t="str">
        <x:v>M019</x:v>
      </x:c>
      <x:c r="B135" s="11" t="str">
        <x:v>Hội nghị cấp cao Mekong–Hàn Quốc</x:v>
      </x:c>
      <x:c r="C135" s="11" t="str">
        <x:v>메콩-한 정상회의</x:v>
      </x:c>
      <x:c r="D135" s="11" t="str">
        <x:v>N4</x:v>
      </x:c>
      <x:c r="E135" s="11" t="str">
        <x:v>Đã gán theo nghĩa được chọn</x:v>
      </x:c>
      <x:c r="F135" s="11" t="str">
        <x:v>Phù hợp theo nghĩa làm việc</x:v>
      </x:c>
      <x:c r="G135" s="11" t="str">
        <x:v>Giữ làm đơn vị nghiên cứu</x:v>
      </x:c>
      <x:c r="H135" s="11" t="str">
        <x:v>Ngoại giao</x:v>
      </x:c>
      <x:c r="I135" s="11" t="str">
        <x:v>M019</x:v>
      </x:c>
      <x:c r="J135" s="11" t="str"/>
      <x:c r="K135" s="11" t="str">
        <x:v>compatible = có khả năng tương ứng theo nghĩa làm việc; chưa thay thế kiểm tra câu song hành.</x:v>
      </x:c>
      <x:c r="L135" s="11" t="str">
        <x:v>S145</x:v>
      </x:c>
      <x:c r="M135" s="11" t="str">
        <x:v>S145</x:v>
      </x:c>
      <x:c r="N135" s="11" t="str">
        <x:v>S145</x:v>
      </x:c>
      <x:c r="O135" s="11" t="str">
        <x:v>Bộ 167</x:v>
      </x:c>
      <x:c r="P135" s="11" t="str">
        <x:v>Cần bổ sung nguồn định nghĩa</x:v>
      </x:c>
      <x:c r="Q135" s="11" t="str"/>
    </x:row>
    <x:row r="136" ht="57" customHeight="1">
      <x:c r="A136" s="11" t="str">
        <x:v>T138</x:v>
      </x:c>
      <x:c r="B136" s="11" t="str">
        <x:v>hội nhập quốc tế</x:v>
      </x:c>
      <x:c r="C136" s="11" t="str">
        <x:v>국제 통합</x:v>
      </x:c>
      <x:c r="D136" s="11" t="str">
        <x:v>N4</x:v>
      </x:c>
      <x:c r="E136" s="11" t="str">
        <x:v>Đã gán theo nghĩa được chọn</x:v>
      </x:c>
      <x:c r="F136" s="11" t="str">
        <x:v>Phù hợp theo nghĩa làm việc</x:v>
      </x:c>
      <x:c r="G136" s="11" t="str">
        <x:v>Giữ làm đơn vị nghiên cứu</x:v>
      </x:c>
      <x:c r="H136" s="11" t="str">
        <x:v>Chính trị và ngoại giao</x:v>
      </x:c>
      <x:c r="I136" s="11" t="str">
        <x:v>T138</x:v>
      </x:c>
      <x:c r="J136" s="11" t="str"/>
      <x:c r="K136" s="11" t="str">
        <x:v>compatible = có khả năng tương ứng theo nghĩa làm việc; chưa thay thế kiểm tra câu song hành.</x:v>
      </x:c>
      <x:c r="L136" s="11" t="str">
        <x:v>S116</x:v>
      </x:c>
      <x:c r="M136" s="11" t="str">
        <x:v>S116</x:v>
      </x:c>
      <x:c r="N136" s="11" t="str">
        <x:v>S116</x:v>
      </x:c>
      <x:c r="O136" s="11" t="str">
        <x:v>Bộ 167</x:v>
      </x:c>
      <x:c r="P136" s="11" t="str">
        <x:v>Cần bổ sung nguồn định nghĩa</x:v>
      </x:c>
      <x:c r="Q136" s="11" t="str"/>
    </x:row>
    <x:row r="137" ht="57" customHeight="1">
      <x:c r="A137" s="11" t="str">
        <x:v>M003</x:v>
      </x:c>
      <x:c r="B137" s="11" t="str">
        <x:v>hợp tác đa phương</x:v>
      </x:c>
      <x:c r="C137" s="11" t="str">
        <x:v>다자 협력</x:v>
      </x:c>
      <x:c r="D137" s="11" t="str">
        <x:v>N4</x:v>
      </x:c>
      <x:c r="E137" s="11" t="str">
        <x:v>Đã gán theo nghĩa được chọn</x:v>
      </x:c>
      <x:c r="F137" s="11" t="str">
        <x:v>Phù hợp theo nghĩa làm việc</x:v>
      </x:c>
      <x:c r="G137" s="11" t="str">
        <x:v>Giữ làm đơn vị nghiên cứu</x:v>
      </x:c>
      <x:c r="H137" s="11" t="str">
        <x:v>Ngoại giao</x:v>
      </x:c>
      <x:c r="I137" s="11" t="str">
        <x:v>M003</x:v>
      </x:c>
      <x:c r="J137" s="11" t="str"/>
      <x:c r="K137" s="11" t="str">
        <x:v>compatible = có khả năng tương ứng theo nghĩa làm việc; chưa thay thế kiểm tra câu song hành.</x:v>
      </x:c>
      <x:c r="L137" s="11" t="str">
        <x:v>S146</x:v>
      </x:c>
      <x:c r="M137" s="11" t="str">
        <x:v>S146</x:v>
      </x:c>
      <x:c r="N137" s="11" t="str">
        <x:v>S146</x:v>
      </x:c>
      <x:c r="O137" s="11" t="str">
        <x:v>Bộ 167</x:v>
      </x:c>
      <x:c r="P137" s="11" t="str">
        <x:v>Cần bổ sung nguồn định nghĩa</x:v>
      </x:c>
      <x:c r="Q137" s="11" t="str"/>
    </x:row>
    <x:row r="138" ht="57" customHeight="1">
      <x:c r="A138" s="11" t="str">
        <x:v>M035</x:v>
      </x:c>
      <x:c r="B138" s="11" t="str">
        <x:v>hợp tác nghị viện</x:v>
      </x:c>
      <x:c r="C138" s="11" t="str">
        <x:v>의회 협력</x:v>
      </x:c>
      <x:c r="D138" s="11" t="str">
        <x:v>N4</x:v>
      </x:c>
      <x:c r="E138" s="11" t="str">
        <x:v>Đã gán theo nghĩa được chọn</x:v>
      </x:c>
      <x:c r="F138" s="11" t="str">
        <x:v>Phù hợp theo nghĩa làm việc</x:v>
      </x:c>
      <x:c r="G138" s="11" t="str">
        <x:v>Giữ làm đơn vị nghiên cứu</x:v>
      </x:c>
      <x:c r="H138" s="11" t="str">
        <x:v>Ngoại giao</x:v>
      </x:c>
      <x:c r="I138" s="11" t="str">
        <x:v>M035</x:v>
      </x:c>
      <x:c r="J138" s="11" t="str"/>
      <x:c r="K138" s="11" t="str">
        <x:v>compatible = có khả năng tương ứng theo nghĩa làm việc; chưa thay thế kiểm tra câu song hành.</x:v>
      </x:c>
      <x:c r="L138" s="11" t="str">
        <x:v>S147</x:v>
      </x:c>
      <x:c r="M138" s="11" t="str">
        <x:v>S147</x:v>
      </x:c>
      <x:c r="N138" s="11" t="str">
        <x:v>S147</x:v>
      </x:c>
      <x:c r="O138" s="11" t="str">
        <x:v>Bộ 167</x:v>
      </x:c>
      <x:c r="P138" s="11" t="str">
        <x:v>Cần bổ sung nguồn định nghĩa</x:v>
      </x:c>
      <x:c r="Q138" s="11" t="str"/>
    </x:row>
    <x:row r="139" ht="57" customHeight="1">
      <x:c r="A139" s="11" t="str">
        <x:v>T178</x:v>
      </x:c>
      <x:c r="B139" s="11" t="str">
        <x:v>hợp tác quốc phòng</x:v>
      </x:c>
      <x:c r="C139" s="11" t="str">
        <x:v>국방 협력</x:v>
      </x:c>
      <x:c r="D139" s="11" t="str">
        <x:v>N4</x:v>
      </x:c>
      <x:c r="E139" s="11" t="str">
        <x:v>Đã gán theo nghĩa được chọn</x:v>
      </x:c>
      <x:c r="F139" s="11" t="str">
        <x:v>Phù hợp theo nghĩa làm việc</x:v>
      </x:c>
      <x:c r="G139" s="11" t="str">
        <x:v>Giữ làm đơn vị nghiên cứu</x:v>
      </x:c>
      <x:c r="H139" s="11" t="str">
        <x:v>Ngoại giao</x:v>
      </x:c>
      <x:c r="I139" s="11" t="str">
        <x:v>T178</x:v>
      </x:c>
      <x:c r="J139" s="11" t="str"/>
      <x:c r="K139" s="11" t="str">
        <x:v>compatible = có khả năng tương ứng theo nghĩa làm việc; chưa thay thế kiểm tra câu song hành.</x:v>
      </x:c>
      <x:c r="L139" s="11" t="str">
        <x:v>S148</x:v>
      </x:c>
      <x:c r="M139" s="11" t="str">
        <x:v>S148</x:v>
      </x:c>
      <x:c r="N139" s="11" t="str">
        <x:v>S148; S149</x:v>
      </x:c>
      <x:c r="O139" s="11" t="str">
        <x:v>Bộ 167</x:v>
      </x:c>
      <x:c r="P139" s="11" t="str">
        <x:v>Cần bổ sung nguồn định nghĩa</x:v>
      </x:c>
      <x:c r="Q139" s="11" t="str"/>
    </x:row>
    <x:row r="140" ht="57" customHeight="1">
      <x:c r="A140" s="11" t="str">
        <x:v>T030</x:v>
      </x:c>
      <x:c r="B140" s="11" t="str">
        <x:v>lập pháp</x:v>
      </x:c>
      <x:c r="C140" s="11" t="str">
        <x:v>입법</x:v>
      </x:c>
      <x:c r="D140" s="11" t="str">
        <x:v>N4</x:v>
      </x:c>
      <x:c r="E140" s="11" t="str">
        <x:v>Đã gán theo nghĩa được chọn</x:v>
      </x:c>
      <x:c r="F140" s="11" t="str">
        <x:v>Phù hợp theo nghĩa làm việc</x:v>
      </x:c>
      <x:c r="G140" s="11" t="str">
        <x:v>Giữ làm đơn vị nghiên cứu</x:v>
      </x:c>
      <x:c r="H140" s="11" t="str">
        <x:v>Chính trị</x:v>
      </x:c>
      <x:c r="I140" s="11" t="str">
        <x:v>T030</x:v>
      </x:c>
      <x:c r="J140" s="11" t="str"/>
      <x:c r="K140" s="11" t="str">
        <x:v>compatible = có khả năng tương ứng theo nghĩa làm việc; chưa thay thế kiểm tra câu song hành.</x:v>
      </x:c>
      <x:c r="L140" s="11" t="str">
        <x:v>S096</x:v>
      </x:c>
      <x:c r="M140" s="11" t="str">
        <x:v>S150</x:v>
      </x:c>
      <x:c r="N140" s="11" t="str">
        <x:v>S096; S150</x:v>
      </x:c>
      <x:c r="O140" s="11" t="str">
        <x:v>Bộ 167</x:v>
      </x:c>
      <x:c r="P140" s="11" t="str">
        <x:v>Cần bổ sung nguồn định nghĩa</x:v>
      </x:c>
      <x:c r="Q140" s="11" t="str"/>
    </x:row>
    <x:row r="141" ht="57" customHeight="1">
      <x:c r="A141" s="11" t="str">
        <x:v>M012</x:v>
      </x:c>
      <x:c r="B141" s="11" t="str">
        <x:v>lễ đón chính thức</x:v>
      </x:c>
      <x:c r="C141" s="11" t="str">
        <x:v>공식 환영식</x:v>
      </x:c>
      <x:c r="D141" s="11" t="str">
        <x:v>N4</x:v>
      </x:c>
      <x:c r="E141" s="11" t="str">
        <x:v>Đã gán theo nghĩa được chọn</x:v>
      </x:c>
      <x:c r="F141" s="11" t="str">
        <x:v>Phù hợp theo nghĩa làm việc</x:v>
      </x:c>
      <x:c r="G141" s="11" t="str">
        <x:v>Giữ làm đơn vị nghiên cứu</x:v>
      </x:c>
      <x:c r="H141" s="11" t="str">
        <x:v>Ngoại giao</x:v>
      </x:c>
      <x:c r="I141" s="11" t="str">
        <x:v>M012</x:v>
      </x:c>
      <x:c r="J141" s="11" t="str"/>
      <x:c r="K141" s="11" t="str">
        <x:v>compatible = có khả năng tương ứng theo nghĩa làm việc; chưa thay thế kiểm tra câu song hành.</x:v>
      </x:c>
      <x:c r="L141" s="11" t="str">
        <x:v>S141</x:v>
      </x:c>
      <x:c r="M141" s="11" t="str">
        <x:v>S141</x:v>
      </x:c>
      <x:c r="N141" s="11" t="str">
        <x:v>S141</x:v>
      </x:c>
      <x:c r="O141" s="11" t="str">
        <x:v>Bộ 167</x:v>
      </x:c>
      <x:c r="P141" s="11" t="str">
        <x:v>Cần bổ sung nguồn định nghĩa</x:v>
      </x:c>
      <x:c r="Q141" s="11" t="str"/>
    </x:row>
    <x:row r="142" ht="57" customHeight="1">
      <x:c r="A142" s="11" t="str">
        <x:v>T146</x:v>
      </x:c>
      <x:c r="B142" s="11" t="str">
        <x:v>nâng cấp quan hệ</x:v>
      </x:c>
      <x:c r="C142" s="11" t="str">
        <x:v>관계가 포괄적 전략적 동반자 관계로 격상된</x:v>
      </x:c>
      <x:c r="D142" s="11" t="str">
        <x:v>N4</x:v>
      </x:c>
      <x:c r="E142" s="11" t="str">
        <x:v>Đã gán theo nghĩa được chọn</x:v>
      </x:c>
      <x:c r="F142" s="16" t="str">
        <x:v>CẦN NGỮ CẢNH đối chiếu</x:v>
      </x:c>
      <x:c r="G142" s="11" t="str">
        <x:v>Biểu thức ngữ liệu, chưa là mục từ chuẩn</x:v>
      </x:c>
      <x:c r="H142" s="11" t="str">
        <x:v>Chính trị và ngoại giao</x:v>
      </x:c>
      <x:c r="I142" s="11" t="str">
        <x:v>T146</x:v>
      </x:c>
      <x:c r="J142" s="11" t="str"/>
      <x:c r="K142" s="11" t="str">
        <x:v>Cụm Hàn nguyên văn là một cấu trúc câu chứa kết quả nâng lên đối tác chiến lược toàn diện; nhãn Việt là khái quát. Dạng tra cứu đề xuất 관계 격상, không thay chuỗi nguồn.</x:v>
      </x:c>
      <x:c r="L142" s="11" t="str">
        <x:v>S106</x:v>
      </x:c>
      <x:c r="M142" s="11" t="str">
        <x:v>S106</x:v>
      </x:c>
      <x:c r="N142" s="11" t="str">
        <x:v>S106</x:v>
      </x:c>
      <x:c r="O142" s="11" t="str">
        <x:v>Bộ 167</x:v>
      </x:c>
      <x:c r="P142" s="11" t="str">
        <x:v>Biểu thức ngữ liệu — cần chuẩn hóa</x:v>
      </x:c>
      <x:c r="Q142" s="11" t="str">
        <x:v>KO tra: 관계 격상. Chưa thay cấu trúc câu gốc bằng mục từ chuẩn.</x:v>
      </x:c>
    </x:row>
    <x:row r="143" ht="57" customHeight="1">
      <x:c r="A143" s="11" t="str">
        <x:v>T131</x:v>
      </x:c>
      <x:c r="B143" s="11" t="str">
        <x:v>ngoại giao</x:v>
      </x:c>
      <x:c r="C143" s="11" t="str">
        <x:v>외교</x:v>
      </x:c>
      <x:c r="D143" s="11" t="str">
        <x:v>N4</x:v>
      </x:c>
      <x:c r="E143" s="11" t="str">
        <x:v>Đã gán theo nghĩa được chọn</x:v>
      </x:c>
      <x:c r="F143" s="11" t="str">
        <x:v>Phù hợp theo nghĩa làm việc</x:v>
      </x:c>
      <x:c r="G143" s="11" t="str">
        <x:v>Giữ làm đơn vị nghiên cứu</x:v>
      </x:c>
      <x:c r="H143" s="11" t="str">
        <x:v>Ngoại giao</x:v>
      </x:c>
      <x:c r="I143" s="11" t="str">
        <x:v>T131</x:v>
      </x:c>
      <x:c r="J143" s="11" t="str"/>
      <x:c r="K143"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143" s="11" t="str">
        <x:v>S151</x:v>
      </x:c>
      <x:c r="M143" s="11" t="str">
        <x:v>S151</x:v>
      </x:c>
      <x:c r="N143" s="11" t="str">
        <x:v>S151</x:v>
      </x:c>
      <x:c r="O143" s="11" t="str">
        <x:v>Bộ 167</x:v>
      </x:c>
      <x:c r="P143" s="11" t="str">
        <x:v>Cần bổ sung nguồn định nghĩa</x:v>
      </x:c>
      <x:c r="Q143" s="11" t="str"/>
    </x:row>
    <x:row r="144" ht="72" customHeight="1">
      <x:c r="A144" s="11" t="str">
        <x:v>T172</x:v>
      </x:c>
      <x:c r="B144" s="11" t="str">
        <x:v>ngoại giao đa phương</x:v>
      </x:c>
      <x:c r="C144" s="11" t="str">
        <x:v>다자외교</x:v>
      </x:c>
      <x:c r="D144" s="11" t="str">
        <x:v>N4</x:v>
      </x:c>
      <x:c r="E144" s="11" t="str">
        <x:v>Đã gán theo nghĩa được chọn</x:v>
      </x:c>
      <x:c r="F144" s="11" t="str">
        <x:v>Phù hợp theo nghĩa làm việc</x:v>
      </x:c>
      <x:c r="G144" s="11" t="str">
        <x:v>Giữ làm đơn vị nghiên cứu</x:v>
      </x:c>
      <x:c r="H144" s="11" t="str">
        <x:v>Ngoại giao</x:v>
      </x:c>
      <x:c r="I144" s="11" t="str">
        <x:v>T172</x:v>
      </x:c>
      <x:c r="J144" s="11" t="str"/>
      <x:c r="K144" s="11" t="str">
        <x:v>Nhãn danh mục là ngoại giao đa phương; dạng Việt thực tế được chọn là đối ngoại đa phương. Phân loại nghĩa hoạt động của dạng thực tế, không tự sửa nguyên văn hoặc coi hai nhãn đồng nghĩa hoàn toàn. compatible = có khả năng tương ứng theo nghĩa làm việc; chưa thay thế kiểm tra câu song hành.</x:v>
      </x:c>
      <x:c r="L144" s="11" t="str">
        <x:v>S098</x:v>
      </x:c>
      <x:c r="M144" s="11" t="str">
        <x:v>S098</x:v>
      </x:c>
      <x:c r="N144" s="11" t="str">
        <x:v>S098</x:v>
      </x:c>
      <x:c r="O144" s="11" t="str">
        <x:v>Bộ 167</x:v>
      </x:c>
      <x:c r="P144" s="11" t="str">
        <x:v>Cần bổ sung nguồn định nghĩa</x:v>
      </x:c>
      <x:c r="Q144" s="11" t="str"/>
    </x:row>
    <x:row r="145" ht="57" customHeight="1">
      <x:c r="A145" s="11" t="str">
        <x:v>T156</x:v>
      </x:c>
      <x:c r="B145" s="11" t="str">
        <x:v>ngoại giao kinh tế</x:v>
      </x:c>
      <x:c r="C145" s="11" t="str">
        <x:v>경제외교</x:v>
      </x:c>
      <x:c r="D145" s="11" t="str">
        <x:v>N4</x:v>
      </x:c>
      <x:c r="E145" s="11" t="str">
        <x:v>Đã gán theo nghĩa được chọn</x:v>
      </x:c>
      <x:c r="F145" s="11" t="str">
        <x:v>Phù hợp theo nghĩa làm việc</x:v>
      </x:c>
      <x:c r="G145" s="11" t="str">
        <x:v>Giữ làm đơn vị nghiên cứu</x:v>
      </x:c>
      <x:c r="H145" s="11" t="str">
        <x:v>Ngoại giao</x:v>
      </x:c>
      <x:c r="I145" s="11" t="str">
        <x:v>T156</x:v>
      </x:c>
      <x:c r="J145" s="11" t="str"/>
      <x:c r="K145" s="11" t="str">
        <x:v>compatible = có khả năng tương ứng theo nghĩa làm việc; chưa thay thế kiểm tra câu song hành.</x:v>
      </x:c>
      <x:c r="L145" s="11" t="str">
        <x:v>S152</x:v>
      </x:c>
      <x:c r="M145" s="11" t="str">
        <x:v>S152</x:v>
      </x:c>
      <x:c r="N145" s="11" t="str">
        <x:v>S152</x:v>
      </x:c>
      <x:c r="O145" s="11" t="str">
        <x:v>Bộ 167</x:v>
      </x:c>
      <x:c r="P145" s="11" t="str">
        <x:v>Cần bổ sung nguồn định nghĩa</x:v>
      </x:c>
      <x:c r="Q145" s="11" t="str"/>
    </x:row>
    <x:row r="146" ht="57" customHeight="1">
      <x:c r="A146" s="11" t="str">
        <x:v>T167</x:v>
      </x:c>
      <x:c r="B146" s="11" t="str">
        <x:v>ngoại giao nghị viện</x:v>
      </x:c>
      <x:c r="C146" s="11" t="str">
        <x:v>의회 외교</x:v>
      </x:c>
      <x:c r="D146" s="11" t="str">
        <x:v>N4</x:v>
      </x:c>
      <x:c r="E146" s="11" t="str">
        <x:v>Đã gán theo nghĩa được chọn</x:v>
      </x:c>
      <x:c r="F146" s="11" t="str">
        <x:v>Phù hợp theo nghĩa làm việc</x:v>
      </x:c>
      <x:c r="G146" s="11" t="str">
        <x:v>Giữ làm đơn vị nghiên cứu</x:v>
      </x:c>
      <x:c r="H146" s="11" t="str">
        <x:v>Ngoại giao</x:v>
      </x:c>
      <x:c r="I146" s="11" t="str">
        <x:v>T167</x:v>
      </x:c>
      <x:c r="J146" s="11" t="str"/>
      <x:c r="K146" s="11" t="str">
        <x:v>compatible = có khả năng tương ứng theo nghĩa làm việc; chưa thay thế kiểm tra câu song hành.</x:v>
      </x:c>
      <x:c r="L146" s="11" t="str">
        <x:v>S085</x:v>
      </x:c>
      <x:c r="M146" s="11" t="str">
        <x:v>S085</x:v>
      </x:c>
      <x:c r="N146" s="11" t="str">
        <x:v>S085; S153</x:v>
      </x:c>
      <x:c r="O146" s="11" t="str">
        <x:v>Bộ 167</x:v>
      </x:c>
      <x:c r="P146" s="11" t="str">
        <x:v>Cần bổ sung nguồn định nghĩa</x:v>
      </x:c>
      <x:c r="Q146" s="11" t="str"/>
    </x:row>
    <x:row r="147" ht="57" customHeight="1">
      <x:c r="A147" s="11" t="str">
        <x:v>T168</x:v>
      </x:c>
      <x:c r="B147" s="11" t="str">
        <x:v>ngoại giao nhân dân</x:v>
      </x:c>
      <x:c r="C147" s="11" t="str">
        <x:v>인민외교</x:v>
      </x:c>
      <x:c r="D147" s="11" t="str">
        <x:v>N4</x:v>
      </x:c>
      <x:c r="E147" s="11" t="str">
        <x:v>Đã gán theo nghĩa được chọn</x:v>
      </x:c>
      <x:c r="F147" s="16" t="str">
        <x:v>CẦN NGỮ CẢNH đối chiếu</x:v>
      </x:c>
      <x:c r="G147" s="11" t="str">
        <x:v>Giữ làm đơn vị nghiên cứu</x:v>
      </x:c>
      <x:c r="H147" s="11" t="str">
        <x:v>Ngoại giao</x:v>
      </x:c>
      <x:c r="I147" s="11" t="str">
        <x:v>T168</x:v>
      </x:c>
      <x:c r="J147" s="11" t="str"/>
      <x:c r="K147" s="11" t="str"/>
      <x:c r="L147" s="11" t="str">
        <x:v>S154</x:v>
      </x:c>
      <x:c r="M147" s="11" t="str">
        <x:v>S154</x:v>
      </x:c>
      <x:c r="N147" s="11" t="str">
        <x:v>S154; S146</x:v>
      </x:c>
      <x:c r="O147" s="11" t="str">
        <x:v>Bộ 167</x:v>
      </x:c>
      <x:c r="P147" s="11" t="str">
        <x:v>Cần ngữ cảnh song ngữ</x:v>
      </x:c>
      <x:c r="Q147" s="11" t="str"/>
    </x:row>
    <x:row r="148" ht="57" customHeight="1">
      <x:c r="A148" s="11" t="str">
        <x:v>T162</x:v>
      </x:c>
      <x:c r="B148" s="11" t="str">
        <x:v>ngoại giao văn hóa</x:v>
      </x:c>
      <x:c r="C148" s="11" t="str">
        <x:v>문화 외교</x:v>
      </x:c>
      <x:c r="D148" s="11" t="str">
        <x:v>N4</x:v>
      </x:c>
      <x:c r="E148" s="11" t="str">
        <x:v>Đã gán theo nghĩa được chọn</x:v>
      </x:c>
      <x:c r="F148" s="11" t="str">
        <x:v>Phù hợp theo nghĩa làm việc</x:v>
      </x:c>
      <x:c r="G148" s="11" t="str">
        <x:v>Giữ làm đơn vị nghiên cứu</x:v>
      </x:c>
      <x:c r="H148" s="11" t="str">
        <x:v>Ngoại giao</x:v>
      </x:c>
      <x:c r="I148" s="11" t="str">
        <x:v>T162</x:v>
      </x:c>
      <x:c r="J148" s="11" t="str"/>
      <x:c r="K148" s="11" t="str">
        <x:v>compatible = có khả năng tương ứng theo nghĩa làm việc; chưa thay thế kiểm tra câu song hành.</x:v>
      </x:c>
      <x:c r="L148" s="11" t="str">
        <x:v>S155</x:v>
      </x:c>
      <x:c r="M148" s="11" t="str">
        <x:v>S155</x:v>
      </x:c>
      <x:c r="N148" s="11" t="str">
        <x:v>S155</x:v>
      </x:c>
      <x:c r="O148" s="11" t="str">
        <x:v>Bộ 167</x:v>
      </x:c>
      <x:c r="P148" s="11" t="str">
        <x:v>Cần bổ sung nguồn định nghĩa</x:v>
      </x:c>
      <x:c r="Q148" s="11" t="str"/>
    </x:row>
    <x:row r="149" ht="57" customHeight="1">
      <x:c r="A149" s="11" t="str">
        <x:v>T032</x:v>
      </x:c>
      <x:c r="B149" s="11" t="str">
        <x:v>phòng, chống tham nhũng</x:v>
      </x:c>
      <x:c r="C149" s="11" t="str">
        <x:v>부패 방지 및 통제</x:v>
      </x:c>
      <x:c r="D149" s="11" t="str">
        <x:v>N4</x:v>
      </x:c>
      <x:c r="E149" s="11" t="str">
        <x:v>Đã gán theo nghĩa được chọn</x:v>
      </x:c>
      <x:c r="F149" s="11" t="str">
        <x:v>Phù hợp theo nghĩa làm việc</x:v>
      </x:c>
      <x:c r="G149" s="11" t="str">
        <x:v>Giữ làm đơn vị nghiên cứu</x:v>
      </x:c>
      <x:c r="H149" s="11" t="str">
        <x:v>Chính trị</x:v>
      </x:c>
      <x:c r="I149" s="11" t="str">
        <x:v>T032</x:v>
      </x:c>
      <x:c r="J149" s="11" t="str"/>
      <x:c r="K149" s="11" t="str">
        <x:v>compatible = có khả năng tương ứng theo nghĩa làm việc; chưa thay thế kiểm tra câu song hành.</x:v>
      </x:c>
      <x:c r="L149" s="11" t="str">
        <x:v>S156</x:v>
      </x:c>
      <x:c r="M149" s="11" t="str">
        <x:v>S156</x:v>
      </x:c>
      <x:c r="N149" s="11" t="str">
        <x:v>S156</x:v>
      </x:c>
      <x:c r="O149" s="11" t="str">
        <x:v>Bộ 167</x:v>
      </x:c>
      <x:c r="P149" s="11" t="str">
        <x:v>Cần bổ sung nguồn định nghĩa</x:v>
      </x:c>
      <x:c r="Q149" s="11" t="str"/>
    </x:row>
    <x:row r="150" ht="57" customHeight="1">
      <x:c r="A150" s="11" t="str">
        <x:v>T033</x:v>
      </x:c>
      <x:c r="B150" s="11" t="str">
        <x:v>quản lý nhà nước</x:v>
      </x:c>
      <x:c r="C150" s="11" t="str">
        <x:v>국가 운영</x:v>
      </x:c>
      <x:c r="D150" s="11" t="str">
        <x:v>N4</x:v>
      </x:c>
      <x:c r="E150" s="11" t="str">
        <x:v>Đã gán theo nghĩa được chọn</x:v>
      </x:c>
      <x:c r="F150" s="19" t="str">
        <x:v>CẦN ĐỐI CHIẾU — khác phạm vi</x:v>
      </x:c>
      <x:c r="G150" s="11" t="str">
        <x:v>Cần xem xét tư cách/phạm vi</x:v>
      </x:c>
      <x:c r="H150" s="11" t="str">
        <x:v>Chính trị</x:v>
      </x:c>
      <x:c r="I150" s="11" t="str">
        <x:v>T033</x:v>
      </x:c>
      <x:c r="J150" s="11" t="str"/>
      <x:c r="K150" s="11" t="str">
        <x:v>국가 운영 có phạm vi điều hành quốc gia rộng; nguồn phụ còn có 국가 관리. Chưa xác nhận toàn bộ phạm vi pháp lý quản lý nhà nước tương đương một-một.</x:v>
      </x:c>
      <x:c r="L150" s="11" t="str">
        <x:v>S096</x:v>
      </x:c>
      <x:c r="M150" s="11" t="str">
        <x:v>S096</x:v>
      </x:c>
      <x:c r="N150" s="11" t="str">
        <x:v>S096</x:v>
      </x:c>
      <x:c r="O150" s="11" t="str">
        <x:v>Bộ 167</x:v>
      </x:c>
      <x:c r="P150" s="11" t="str">
        <x:v>Cần đối chiếu/sửa cặp</x:v>
      </x:c>
      <x:c r="Q150" s="11" t="str"/>
    </x:row>
    <x:row r="151" ht="57" customHeight="1">
      <x:c r="A151" s="11" t="str">
        <x:v>T045</x:v>
      </x:c>
      <x:c r="B151" s="11" t="str">
        <x:v>quản trị quốc gia</x:v>
      </x:c>
      <x:c r="C151" s="11" t="str">
        <x:v>국가 거버넌스</x:v>
      </x:c>
      <x:c r="D151" s="11" t="str">
        <x:v>N4</x:v>
      </x:c>
      <x:c r="E151" s="11" t="str">
        <x:v>Đã gán theo nghĩa được chọn</x:v>
      </x:c>
      <x:c r="F151" s="11" t="str">
        <x:v>Phù hợp theo nghĩa làm việc</x:v>
      </x:c>
      <x:c r="G151" s="11" t="str">
        <x:v>Giữ làm đơn vị nghiên cứu</x:v>
      </x:c>
      <x:c r="H151" s="11" t="str">
        <x:v>Chính trị</x:v>
      </x:c>
      <x:c r="I151" s="11" t="str">
        <x:v>T045</x:v>
      </x:c>
      <x:c r="J151" s="11" t="str"/>
      <x:c r="K151" s="11" t="str">
        <x:v>compatible = có khả năng tương ứng theo nghĩa làm việc; chưa thay thế kiểm tra câu song hành.</x:v>
      </x:c>
      <x:c r="L151" s="11" t="str">
        <x:v>S157</x:v>
      </x:c>
      <x:c r="M151" s="11" t="str">
        <x:v>S157</x:v>
      </x:c>
      <x:c r="N151" s="11" t="str">
        <x:v>S157</x:v>
      </x:c>
      <x:c r="O151" s="11" t="str">
        <x:v>Bộ 167</x:v>
      </x:c>
      <x:c r="P151" s="11" t="str">
        <x:v>Cần bổ sung nguồn định nghĩa</x:v>
      </x:c>
      <x:c r="Q151" s="11" t="str"/>
    </x:row>
    <x:row r="152" ht="57" customHeight="1">
      <x:c r="A152" s="11" t="str">
        <x:v>CGI004</x:v>
      </x:c>
      <x:c r="B152" s="11" t="str">
        <x:v>tái đắc cử</x:v>
      </x:c>
      <x:c r="C152" s="11" t="str">
        <x:v>재선</x:v>
      </x:c>
      <x:c r="D152" s="11" t="str">
        <x:v>N4</x:v>
      </x:c>
      <x:c r="E152" s="11" t="str">
        <x:v>Đã gán theo nghĩa được chọn</x:v>
      </x:c>
      <x:c r="F152" s="11" t="str">
        <x:v>Phù hợp theo nghĩa làm việc</x:v>
      </x:c>
      <x:c r="G152" s="11" t="str">
        <x:v>Giữ làm đơn vị nghiên cứu</x:v>
      </x:c>
      <x:c r="H152" s="11" t="str">
        <x:v>Chính trị</x:v>
      </x:c>
      <x:c r="I152" s="11" t="str">
        <x:v>CGI004</x:v>
      </x:c>
      <x:c r="J152" s="11" t="str"/>
      <x:c r="K152"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152" s="11" t="str">
        <x:v>S158</x:v>
      </x:c>
      <x:c r="M152" s="11" t="str">
        <x:v>S158</x:v>
      </x:c>
      <x:c r="N152" s="11" t="str">
        <x:v>S158</x:v>
      </x:c>
      <x:c r="O152" s="11" t="str">
        <x:v>Bộ 167</x:v>
      </x:c>
      <x:c r="P152" s="11" t="str">
        <x:v>Cần bổ sung nguồn định nghĩa</x:v>
      </x:c>
      <x:c r="Q152" s="11" t="str"/>
    </x:row>
    <x:row r="153" ht="57" customHeight="1">
      <x:c r="A153" s="11" t="str">
        <x:v>T136</x:v>
      </x:c>
      <x:c r="B153" s="11" t="str">
        <x:v>thăm cấp Nhà nước</x:v>
      </x:c>
      <x:c r="C153" s="11" t="str">
        <x:v>국빈 방문</x:v>
      </x:c>
      <x:c r="D153" s="11" t="str">
        <x:v>N4</x:v>
      </x:c>
      <x:c r="E153" s="11" t="str">
        <x:v>Đã gán theo nghĩa được chọn</x:v>
      </x:c>
      <x:c r="F153" s="11" t="str">
        <x:v>Phù hợp theo nghĩa làm việc</x:v>
      </x:c>
      <x:c r="G153" s="11" t="str">
        <x:v>Giữ làm đơn vị nghiên cứu</x:v>
      </x:c>
      <x:c r="H153" s="11" t="str">
        <x:v>Ngoại giao</x:v>
      </x:c>
      <x:c r="I153" s="11" t="str">
        <x:v>T136</x:v>
      </x:c>
      <x:c r="J153" s="11" t="str"/>
      <x:c r="K153" s="11" t="str">
        <x:v>compatible = có khả năng tương ứng theo nghĩa làm việc; chưa thay thế kiểm tra câu song hành.</x:v>
      </x:c>
      <x:c r="L153" s="11" t="str">
        <x:v>S141</x:v>
      </x:c>
      <x:c r="M153" s="11" t="str">
        <x:v>S141</x:v>
      </x:c>
      <x:c r="N153" s="11" t="str">
        <x:v>S141</x:v>
      </x:c>
      <x:c r="O153" s="11" t="str">
        <x:v>Bộ 167</x:v>
      </x:c>
      <x:c r="P153" s="11" t="str">
        <x:v>Cần bổ sung nguồn định nghĩa</x:v>
      </x:c>
      <x:c r="Q153" s="11" t="str"/>
    </x:row>
    <x:row r="154" ht="57" customHeight="1">
      <x:c r="A154" s="11" t="str">
        <x:v>T139</x:v>
      </x:c>
      <x:c r="B154" s="11" t="str">
        <x:v>thăm chính thức</x:v>
      </x:c>
      <x:c r="C154" s="11" t="str">
        <x:v>공식 방문</x:v>
      </x:c>
      <x:c r="D154" s="11" t="str">
        <x:v>N4</x:v>
      </x:c>
      <x:c r="E154" s="11" t="str">
        <x:v>Đã gán theo nghĩa được chọn</x:v>
      </x:c>
      <x:c r="F154" s="11" t="str">
        <x:v>Phù hợp theo nghĩa làm việc</x:v>
      </x:c>
      <x:c r="G154" s="11" t="str">
        <x:v>Giữ làm đơn vị nghiên cứu</x:v>
      </x:c>
      <x:c r="H154" s="11" t="str">
        <x:v>Ngoại giao</x:v>
      </x:c>
      <x:c r="I154" s="11" t="str">
        <x:v>T139</x:v>
      </x:c>
      <x:c r="J154" s="11" t="str"/>
      <x:c r="K154" s="11" t="str">
        <x:v>compatible = có khả năng tương ứng theo nghĩa làm việc; chưa thay thế kiểm tra câu song hành.</x:v>
      </x:c>
      <x:c r="L154" s="11" t="str">
        <x:v>S141</x:v>
      </x:c>
      <x:c r="M154" s="11" t="str">
        <x:v>S141</x:v>
      </x:c>
      <x:c r="N154" s="11" t="str">
        <x:v>S141</x:v>
      </x:c>
      <x:c r="O154" s="11" t="str">
        <x:v>Bộ 167</x:v>
      </x:c>
      <x:c r="P154" s="11" t="str">
        <x:v>Cần bổ sung nguồn định nghĩa</x:v>
      </x:c>
      <x:c r="Q154" s="11" t="str"/>
    </x:row>
    <x:row r="155" ht="57" customHeight="1">
      <x:c r="A155" s="11" t="str">
        <x:v>T144</x:v>
      </x:c>
      <x:c r="B155" s="11" t="str">
        <x:v>thiết lập quan hệ ngoại giao</x:v>
      </x:c>
      <x:c r="C155" s="11" t="str">
        <x:v>수교</x:v>
      </x:c>
      <x:c r="D155" s="11" t="str">
        <x:v>N4</x:v>
      </x:c>
      <x:c r="E155" s="11" t="str">
        <x:v>Đã gán theo nghĩa được chọn</x:v>
      </x:c>
      <x:c r="F155" s="11" t="str">
        <x:v>Phù hợp theo nghĩa làm việc</x:v>
      </x:c>
      <x:c r="G155" s="11" t="str">
        <x:v>Giữ làm đơn vị nghiên cứu</x:v>
      </x:c>
      <x:c r="H155" s="11" t="str">
        <x:v>Ngoại giao</x:v>
      </x:c>
      <x:c r="I155" s="11" t="str">
        <x:v>T144</x:v>
      </x:c>
      <x:c r="J155" s="11" t="str"/>
      <x:c r="K155"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155" s="11" t="str">
        <x:v>S106</x:v>
      </x:c>
      <x:c r="M155" s="11" t="str">
        <x:v>S106</x:v>
      </x:c>
      <x:c r="N155" s="11" t="str">
        <x:v>S106</x:v>
      </x:c>
      <x:c r="O155" s="11" t="str">
        <x:v>Bộ 167</x:v>
      </x:c>
      <x:c r="P155" s="11" t="str">
        <x:v>Cần bổ sung nguồn định nghĩa</x:v>
      </x:c>
      <x:c r="Q155" s="11" t="str"/>
    </x:row>
    <x:row r="156" ht="57" customHeight="1">
      <x:c r="A156" s="11" t="str">
        <x:v>T180</x:v>
      </x:c>
      <x:c r="B156" s="11" t="str">
        <x:v>thông tin đối ngoại</x:v>
      </x:c>
      <x:c r="C156" s="11" t="str">
        <x:v>대외 정보</x:v>
      </x:c>
      <x:c r="D156" s="11" t="str">
        <x:v>N4</x:v>
      </x:c>
      <x:c r="E156" s="11" t="str">
        <x:v>Đã gán theo nghĩa được chọn</x:v>
      </x:c>
      <x:c r="F156" s="16" t="str">
        <x:v>CẦN NGỮ CẢNH đối chiếu</x:v>
      </x:c>
      <x:c r="G156" s="11" t="str">
        <x:v>Cần xem xét tư cách/phạm vi</x:v>
      </x:c>
      <x:c r="H156" s="11" t="str">
        <x:v>Chính trị và ngoại giao</x:v>
      </x:c>
      <x:c r="I156" s="11" t="str">
        <x:v>T180</x:v>
      </x:c>
      <x:c r="J156" s="11" t="str"/>
      <x:c r="K156" s="11" t="str">
        <x:v>Chọn nghĩa hoạt động thông tin đối ngoại theo câu Việt; 대외 정보 tự thân chưa thể hiện đầy đủ phạm vi. Không gán nghĩa tình báo.</x:v>
      </x:c>
      <x:c r="L156" s="11" t="str">
        <x:v>S155</x:v>
      </x:c>
      <x:c r="M156" s="11" t="str">
        <x:v>S155</x:v>
      </x:c>
      <x:c r="N156" s="11" t="str">
        <x:v>S155</x:v>
      </x:c>
      <x:c r="O156" s="11" t="str">
        <x:v>Bộ 167</x:v>
      </x:c>
      <x:c r="P156" s="11" t="str">
        <x:v>Cần ngữ cảnh song ngữ</x:v>
      </x:c>
      <x:c r="Q156" s="11" t="str"/>
    </x:row>
    <x:row r="157" ht="57" customHeight="1">
      <x:c r="A157" s="11" t="str">
        <x:v>M045</x:v>
      </x:c>
      <x:c r="B157" s="11" t="str">
        <x:v>thực thi pháp luật trên biển</x:v>
      </x:c>
      <x:c r="C157" s="11" t="str">
        <x:v>해양 법 집행</x:v>
      </x:c>
      <x:c r="D157" s="11" t="str">
        <x:v>N4</x:v>
      </x:c>
      <x:c r="E157" s="11" t="str">
        <x:v>Đã gán theo nghĩa được chọn</x:v>
      </x:c>
      <x:c r="F157" s="11" t="str">
        <x:v>Phù hợp theo nghĩa làm việc</x:v>
      </x:c>
      <x:c r="G157" s="11" t="str">
        <x:v>Giữ làm đơn vị nghiên cứu</x:v>
      </x:c>
      <x:c r="H157" s="11" t="str">
        <x:v>Ngoại giao</x:v>
      </x:c>
      <x:c r="I157" s="11" t="str">
        <x:v>M045</x:v>
      </x:c>
      <x:c r="J157" s="11" t="str"/>
      <x:c r="K157" s="11" t="str">
        <x:v>compatible = có khả năng tương ứng theo nghĩa làm việc; chưa thay thế kiểm tra câu song hành.</x:v>
      </x:c>
      <x:c r="L157" s="11" t="str">
        <x:v>S061</x:v>
      </x:c>
      <x:c r="M157" s="11" t="str">
        <x:v>S061</x:v>
      </x:c>
      <x:c r="N157" s="11" t="str">
        <x:v>S061</x:v>
      </x:c>
      <x:c r="O157" s="11" t="str">
        <x:v>Bộ 167</x:v>
      </x:c>
      <x:c r="P157" s="11" t="str">
        <x:v>Cần bổ sung nguồn định nghĩa</x:v>
      </x:c>
      <x:c r="Q157" s="11" t="str"/>
    </x:row>
    <x:row r="158" ht="57" customHeight="1">
      <x:c r="A158" s="11" t="str">
        <x:v>T069</x:v>
      </x:c>
      <x:c r="B158" s="11" t="str">
        <x:v>tinh giản biên chế</x:v>
      </x:c>
      <x:c r="C158" s="11" t="str">
        <x:v>인력 감축</x:v>
      </x:c>
      <x:c r="D158" s="11" t="str">
        <x:v>N4</x:v>
      </x:c>
      <x:c r="E158" s="11" t="str">
        <x:v>Đã gán theo nghĩa được chọn</x:v>
      </x:c>
      <x:c r="F158" s="19" t="str">
        <x:v>CẦN ĐỐI CHIẾU — khác phạm vi</x:v>
      </x:c>
      <x:c r="G158" s="11" t="str">
        <x:v>Cần xem xét tư cách/phạm vi</x:v>
      </x:c>
      <x:c r="H158" s="11" t="str">
        <x:v>Chính trị</x:v>
      </x:c>
      <x:c r="I158" s="11" t="str">
        <x:v>T069</x:v>
      </x:c>
      <x:c r="J158" s="11" t="str"/>
      <x:c r="K158" s="11" t="str">
        <x:v>인력 감축 chỉ việc giảm nhân lực nói chung; phải kiểm tra câu để xác nhận nghĩa tinh giản biên chế công.</x:v>
      </x:c>
      <x:c r="L158" s="11" t="str">
        <x:v>S159</x:v>
      </x:c>
      <x:c r="M158" s="11" t="str">
        <x:v>S159</x:v>
      </x:c>
      <x:c r="N158" s="11" t="str">
        <x:v>S159</x:v>
      </x:c>
      <x:c r="O158" s="11" t="str">
        <x:v>Bộ 167</x:v>
      </x:c>
      <x:c r="P158" s="11" t="str">
        <x:v>Cần đối chiếu/sửa cặp</x:v>
      </x:c>
      <x:c r="Q158" s="11" t="str"/>
    </x:row>
    <x:row r="159" ht="57" customHeight="1">
      <x:c r="A159" s="11" t="str">
        <x:v>T014</x:v>
      </x:c>
      <x:c r="B159" s="11" t="str">
        <x:v>tổng tuyển cử</x:v>
      </x:c>
      <x:c r="C159" s="11" t="str">
        <x:v>총선</x:v>
      </x:c>
      <x:c r="D159" s="11" t="str">
        <x:v>N4</x:v>
      </x:c>
      <x:c r="E159" s="11" t="str">
        <x:v>Đã gán theo nghĩa được chọn</x:v>
      </x:c>
      <x:c r="F159" s="11" t="str">
        <x:v>Phù hợp theo nghĩa làm việc</x:v>
      </x:c>
      <x:c r="G159" s="11" t="str">
        <x:v>Giữ làm đơn vị nghiên cứu</x:v>
      </x:c>
      <x:c r="H159" s="11" t="str">
        <x:v>Chính trị</x:v>
      </x:c>
      <x:c r="I159" s="11" t="str">
        <x:v>T014</x:v>
      </x:c>
      <x:c r="J159" s="11" t="str"/>
      <x:c r="K159"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159" s="11" t="str">
        <x:v>S160</x:v>
      </x:c>
      <x:c r="M159" s="11" t="str">
        <x:v>S160</x:v>
      </x:c>
      <x:c r="N159" s="11" t="str">
        <x:v>S160</x:v>
      </x:c>
      <x:c r="O159" s="11" t="str">
        <x:v>Bộ 167</x:v>
      </x:c>
      <x:c r="P159" s="11" t="str">
        <x:v>Cần bổ sung nguồn định nghĩa</x:v>
      </x:c>
      <x:c r="Q159" s="11" t="str"/>
    </x:row>
    <x:row r="160" ht="57" customHeight="1">
      <x:c r="A160" s="11" t="str">
        <x:v>T176</x:v>
      </x:c>
      <x:c r="B160" s="11" t="str">
        <x:v>trao đổi đoàn cấp cao</x:v>
      </x:c>
      <x:c r="C160" s="11" t="str">
        <x:v>고위급 대표단 교류</x:v>
      </x:c>
      <x:c r="D160" s="11" t="str">
        <x:v>N4</x:v>
      </x:c>
      <x:c r="E160" s="11" t="str">
        <x:v>Đã gán theo nghĩa được chọn</x:v>
      </x:c>
      <x:c r="F160" s="11" t="str">
        <x:v>Phù hợp theo nghĩa làm việc</x:v>
      </x:c>
      <x:c r="G160" s="11" t="str">
        <x:v>Giữ làm đơn vị nghiên cứu</x:v>
      </x:c>
      <x:c r="H160" s="11" t="str">
        <x:v>Ngoại giao</x:v>
      </x:c>
      <x:c r="I160" s="11" t="str">
        <x:v>T176</x:v>
      </x:c>
      <x:c r="J160" s="11" t="str"/>
      <x:c r="K160" s="11" t="str">
        <x:v>compatible = có khả năng tương ứng theo nghĩa làm việc; chưa thay thế kiểm tra câu song hành.</x:v>
      </x:c>
      <x:c r="L160" s="11" t="str">
        <x:v>S161</x:v>
      </x:c>
      <x:c r="M160" s="11" t="str">
        <x:v>S161</x:v>
      </x:c>
      <x:c r="N160" s="11" t="str">
        <x:v>S161</x:v>
      </x:c>
      <x:c r="O160" s="11" t="str">
        <x:v>Bộ 167</x:v>
      </x:c>
      <x:c r="P160" s="11" t="str">
        <x:v>Cần bổ sung nguồn định nghĩa</x:v>
      </x:c>
      <x:c r="Q160" s="11" t="str"/>
    </x:row>
    <x:row r="161" ht="57" customHeight="1">
      <x:c r="A161" s="11" t="str">
        <x:v>T026</x:v>
      </x:c>
      <x:c r="B161" s="11" t="str">
        <x:v>xây dựng Đảng</x:v>
      </x:c>
      <x:c r="C161" s="11" t="str">
        <x:v>당 건설</x:v>
      </x:c>
      <x:c r="D161" s="11" t="str">
        <x:v>N4</x:v>
      </x:c>
      <x:c r="E161" s="11" t="str">
        <x:v>Đã gán theo nghĩa được chọn</x:v>
      </x:c>
      <x:c r="F161" s="11" t="str">
        <x:v>Phù hợp theo nghĩa làm việc</x:v>
      </x:c>
      <x:c r="G161" s="11" t="str">
        <x:v>Giữ làm đơn vị nghiên cứu</x:v>
      </x:c>
      <x:c r="H161" s="11" t="str">
        <x:v>Chính trị</x:v>
      </x:c>
      <x:c r="I161" s="11" t="str">
        <x:v>T026</x:v>
      </x:c>
      <x:c r="J161" s="11" t="str"/>
      <x:c r="K161" s="11" t="str">
        <x:v>compatible = có khả năng tương ứng theo nghĩa làm việc; chưa thay thế kiểm tra câu song hành.</x:v>
      </x:c>
      <x:c r="L161" s="11" t="str">
        <x:v>S021</x:v>
      </x:c>
      <x:c r="M161" s="11" t="str">
        <x:v>S021</x:v>
      </x:c>
      <x:c r="N161" s="11" t="str">
        <x:v>S021</x:v>
      </x:c>
      <x:c r="O161" s="11" t="str">
        <x:v>Bộ 167</x:v>
      </x:c>
      <x:c r="P161" s="11" t="str">
        <x:v>Cần bổ sung nguồn định nghĩa</x:v>
      </x:c>
      <x:c r="Q161" s="11" t="str"/>
    </x:row>
    <x:row r="162" ht="72" customHeight="1">
      <x:c r="A162" s="11" t="str">
        <x:v>M020</x:v>
      </x:c>
      <x:c r="B162" s="11" t="str">
        <x:v>bản ghi nhớ</x:v>
      </x:c>
      <x:c r="C162" s="11" t="str">
        <x:v>양해각서</x:v>
      </x:c>
      <x:c r="D162" s="11" t="str">
        <x:v>N5</x:v>
      </x:c>
      <x:c r="E162" s="11" t="str">
        <x:v>Đã gán theo nghĩa được chọn</x:v>
      </x:c>
      <x:c r="F162" s="11" t="str">
        <x:v>Phù hợp theo nghĩa làm việc</x:v>
      </x:c>
      <x:c r="G162" s="11" t="str">
        <x:v>Giữ làm đơn vị nghiên cứu</x:v>
      </x:c>
      <x:c r="H162" s="11" t="str">
        <x:v>Ngoại giao</x:v>
      </x:c>
      <x:c r="I162" s="11" t="str">
        <x:v>M020</x:v>
      </x:c>
      <x:c r="J162" s="11" t="str"/>
      <x:c r="K162" s="11" t="str">
        <x:v>Nghĩa được diễn đạt bằng hai ngôn ngữ từ nguồn EN; không giả định nguồn cung cấp mục từ ở cả hai ngôn ngữ. Nghĩa được diễn đạt bằng hai ngôn ngữ từ nguồn EN; không giả định nguồn cung cấp mục từ ở cả hai ngôn ngữ. compatible = có khả năng tương ứng theo nghĩa làm việc; chưa thay thế kiểm tra câu song hành.</x:v>
      </x:c>
      <x:c r="L162" s="11" t="str">
        <x:v>S162</x:v>
      </x:c>
      <x:c r="M162" s="11" t="str">
        <x:v>S162</x:v>
      </x:c>
      <x:c r="N162" s="11" t="str">
        <x:v>S162; S106; S163</x:v>
      </x:c>
      <x:c r="O162" s="11" t="str">
        <x:v>Bộ 167</x:v>
      </x:c>
      <x:c r="P162" s="11" t="str">
        <x:v>Ứng viên giữ — có căn cứ khái niệm</x:v>
      </x:c>
      <x:c r="Q162" s="11" t="str"/>
    </x:row>
    <x:row r="163" ht="57" customHeight="1">
      <x:c r="A163" s="11" t="str">
        <x:v>CGI001</x:v>
      </x:c>
      <x:c r="B163" s="11" t="str">
        <x:v>báo cáo chính trị</x:v>
      </x:c>
      <x:c r="C163" s="11" t="str">
        <x:v>정치 보고서</x:v>
      </x:c>
      <x:c r="D163" s="11" t="str">
        <x:v>N5</x:v>
      </x:c>
      <x:c r="E163" s="11" t="str">
        <x:v>Đã gán theo nghĩa được chọn</x:v>
      </x:c>
      <x:c r="F163" s="11" t="str">
        <x:v>Phù hợp theo nghĩa làm việc</x:v>
      </x:c>
      <x:c r="G163" s="11" t="str">
        <x:v>Giữ làm đơn vị nghiên cứu</x:v>
      </x:c>
      <x:c r="H163" s="11" t="str">
        <x:v>Chính trị</x:v>
      </x:c>
      <x:c r="I163" s="11" t="str">
        <x:v>CGI001</x:v>
      </x:c>
      <x:c r="J163" s="11" t="str"/>
      <x:c r="K163" s="11" t="str">
        <x:v>compatible = có khả năng tương ứng theo nghĩa làm việc; chưa thay thế kiểm tra câu song hành.</x:v>
      </x:c>
      <x:c r="L163" s="11" t="str">
        <x:v>S164</x:v>
      </x:c>
      <x:c r="M163" s="11" t="str">
        <x:v>S164</x:v>
      </x:c>
      <x:c r="N163" s="11" t="str">
        <x:v>S164</x:v>
      </x:c>
      <x:c r="O163" s="11" t="str">
        <x:v>Bộ 167</x:v>
      </x:c>
      <x:c r="P163" s="11" t="str">
        <x:v>Cần bổ sung nguồn định nghĩa</x:v>
      </x:c>
      <x:c r="Q163" s="11" t="str"/>
    </x:row>
    <x:row r="164" ht="57" customHeight="1">
      <x:c r="A164" s="11" t="str">
        <x:v>T158</x:v>
      </x:c>
      <x:c r="B164" s="11" t="str">
        <x:v>Công ước Liên hợp quốc về Luật Biển</x:v>
      </x:c>
      <x:c r="C164" s="11" t="str">
        <x:v>1982년 유엔해양법협약(UNCLOS)</x:v>
      </x:c>
      <x:c r="D164" s="11" t="str">
        <x:v>N5</x:v>
      </x:c>
      <x:c r="E164" s="11" t="str">
        <x:v>Đã gán theo nghĩa được chọn</x:v>
      </x:c>
      <x:c r="F164" s="11" t="str">
        <x:v>Phù hợp theo nghĩa làm việc</x:v>
      </x:c>
      <x:c r="G164" s="11" t="str">
        <x:v>Giữ làm đơn vị nghiên cứu</x:v>
      </x:c>
      <x:c r="H164" s="11" t="str">
        <x:v>Ngoại giao</x:v>
      </x:c>
      <x:c r="I164" s="11" t="str">
        <x:v>T158</x:v>
      </x:c>
      <x:c r="J164" s="11" t="str"/>
      <x:c r="K164" s="11" t="str">
        <x:v>compatible = có khả năng tương ứng theo nghĩa làm việc; chưa thay thế kiểm tra câu song hành.</x:v>
      </x:c>
      <x:c r="L164" s="11" t="str">
        <x:v>S165</x:v>
      </x:c>
      <x:c r="M164" s="11" t="str">
        <x:v>S165</x:v>
      </x:c>
      <x:c r="N164" s="11" t="str">
        <x:v>S165; S106</x:v>
      </x:c>
      <x:c r="O164" s="11" t="str">
        <x:v>Bộ 167</x:v>
      </x:c>
      <x:c r="P164" s="11" t="str">
        <x:v>Cần bổ sung nguồn định nghĩa</x:v>
      </x:c>
      <x:c r="Q164" s="11" t="str"/>
    </x:row>
    <x:row r="165" ht="57" customHeight="1">
      <x:c r="A165" s="11" t="str">
        <x:v>T054</x:v>
      </x:c>
      <x:c r="B165" s="11" t="str">
        <x:v>cương lĩnh</x:v>
      </x:c>
      <x:c r="C165" s="11" t="str">
        <x:v>강령</x:v>
      </x:c>
      <x:c r="D165" s="11" t="str">
        <x:v>N5</x:v>
      </x:c>
      <x:c r="E165" s="11" t="str">
        <x:v>Đã gán theo nghĩa được chọn</x:v>
      </x:c>
      <x:c r="F165" s="16" t="str">
        <x:v>CẦN NGỮ CẢNH đối chiếu</x:v>
      </x:c>
      <x:c r="G165" s="11" t="str">
        <x:v>Giữ làm đơn vị nghiên cứu</x:v>
      </x:c>
      <x:c r="H165" s="11" t="str">
        <x:v>Chính trị</x:v>
      </x:c>
      <x:c r="I165" s="11" t="str">
        <x:v>T054</x:v>
      </x:c>
      <x:c r="J165" s="11" t="str"/>
      <x:c r="K165" s="11" t="str">
        <x:v>Nguồn NIKL định nghĩa 강령 ở bình diện nguyên tắc/nội dung; N5.1 dựa vào nghĩa văn kiện chính trị trong ngữ liệu và nguồn Việt, không suy N5 chỉ từ từ điển.</x:v>
      </x:c>
      <x:c r="L165" s="11" t="str">
        <x:v>S100</x:v>
      </x:c>
      <x:c r="M165" s="11" t="str">
        <x:v>S166</x:v>
      </x:c>
      <x:c r="N165" s="11" t="str">
        <x:v>S100; S166</x:v>
      </x:c>
      <x:c r="O165" s="11" t="str">
        <x:v>Bộ 167</x:v>
      </x:c>
      <x:c r="P165" s="11" t="str">
        <x:v>Cần ngữ cảnh song ngữ</x:v>
      </x:c>
      <x:c r="Q165" s="11" t="str"/>
    </x:row>
    <x:row r="166" ht="57" customHeight="1">
      <x:c r="A166" s="11" t="str">
        <x:v>T058</x:v>
      </x:c>
      <x:c r="B166" s="11" t="str">
        <x:v>Điều lệ Đảng</x:v>
      </x:c>
      <x:c r="C166" s="11" t="str">
        <x:v>당 규약</x:v>
      </x:c>
      <x:c r="D166" s="11" t="str">
        <x:v>N5</x:v>
      </x:c>
      <x:c r="E166" s="11" t="str">
        <x:v>Đã gán theo nghĩa được chọn</x:v>
      </x:c>
      <x:c r="F166" s="11" t="str">
        <x:v>Phù hợp theo nghĩa làm việc</x:v>
      </x:c>
      <x:c r="G166" s="11" t="str">
        <x:v>Giữ làm đơn vị nghiên cứu</x:v>
      </x:c>
      <x:c r="H166" s="11" t="str">
        <x:v>Chính trị</x:v>
      </x:c>
      <x:c r="I166" s="11" t="str">
        <x:v>T058</x:v>
      </x:c>
      <x:c r="J166" s="11" t="str"/>
      <x:c r="K166" s="11" t="str">
        <x:v>compatible = có khả năng tương ứng theo nghĩa làm việc; chưa thay thế kiểm tra câu song hành.</x:v>
      </x:c>
      <x:c r="L166" s="11" t="str">
        <x:v>S021</x:v>
      </x:c>
      <x:c r="M166" s="11" t="str">
        <x:v>S021</x:v>
      </x:c>
      <x:c r="N166" s="11" t="str">
        <x:v>S021</x:v>
      </x:c>
      <x:c r="O166" s="11" t="str">
        <x:v>Bộ 167</x:v>
      </x:c>
      <x:c r="P166" s="11" t="str">
        <x:v>Cần bổ sung nguồn định nghĩa</x:v>
      </x:c>
      <x:c r="Q166" s="11" t="str"/>
    </x:row>
    <x:row r="167" ht="57" customHeight="1">
      <x:c r="A167" s="11" t="str">
        <x:v>T152</x:v>
      </x:c>
      <x:c r="B167" s="11" t="str">
        <x:v>Hiến chương Liên hợp quốc</x:v>
      </x:c>
      <x:c r="C167" s="11" t="str">
        <x:v>유엔 헌장</x:v>
      </x:c>
      <x:c r="D167" s="11" t="str">
        <x:v>N5</x:v>
      </x:c>
      <x:c r="E167" s="11" t="str">
        <x:v>Đã gán theo nghĩa được chọn</x:v>
      </x:c>
      <x:c r="F167" s="11" t="str">
        <x:v>Phù hợp theo nghĩa làm việc</x:v>
      </x:c>
      <x:c r="G167" s="11" t="str">
        <x:v>Giữ làm đơn vị nghiên cứu</x:v>
      </x:c>
      <x:c r="H167" s="11" t="str">
        <x:v>Ngoại giao</x:v>
      </x:c>
      <x:c r="I167" s="11" t="str">
        <x:v>T152</x:v>
      </x:c>
      <x:c r="J167" s="11" t="str"/>
      <x:c r="K167" s="11" t="str">
        <x:v>compatible = có khả năng tương ứng theo nghĩa làm việc; chưa thay thế kiểm tra câu song hành.</x:v>
      </x:c>
      <x:c r="L167" s="11" t="str">
        <x:v>S167</x:v>
      </x:c>
      <x:c r="M167" s="11" t="str">
        <x:v>S167</x:v>
      </x:c>
      <x:c r="N167" s="11" t="str">
        <x:v>S167; S098</x:v>
      </x:c>
      <x:c r="O167" s="11" t="str">
        <x:v>Bộ 167</x:v>
      </x:c>
      <x:c r="P167" s="11" t="str">
        <x:v>Cần bổ sung nguồn định nghĩa</x:v>
      </x:c>
      <x:c r="Q167" s="11" t="str"/>
    </x:row>
    <x:row r="168" ht="57" customHeight="1">
      <x:c r="A168" s="11" t="str">
        <x:v>T044</x:v>
      </x:c>
      <x:c r="B168" s="11" t="str">
        <x:v>Hiến pháp</x:v>
      </x:c>
      <x:c r="C168" s="11" t="str">
        <x:v>헌법</x:v>
      </x:c>
      <x:c r="D168" s="11" t="str">
        <x:v>N5</x:v>
      </x:c>
      <x:c r="E168" s="11" t="str">
        <x:v>Đã gán theo nghĩa được chọn</x:v>
      </x:c>
      <x:c r="F168" s="11" t="str">
        <x:v>Phù hợp theo nghĩa làm việc</x:v>
      </x:c>
      <x:c r="G168" s="11" t="str">
        <x:v>Giữ làm đơn vị nghiên cứu</x:v>
      </x:c>
      <x:c r="H168" s="11" t="str">
        <x:v>Chính trị</x:v>
      </x:c>
      <x:c r="I168" s="11" t="str">
        <x:v>T044</x:v>
      </x:c>
      <x:c r="J168" s="11" t="str"/>
      <x:c r="K168" s="11" t="str">
        <x:v>compatible = có khả năng tương ứng theo nghĩa làm việc; chưa thay thế kiểm tra câu song hành.</x:v>
      </x:c>
      <x:c r="L168" s="11" t="str">
        <x:v>S096</x:v>
      </x:c>
      <x:c r="M168" s="11" t="str">
        <x:v>S168</x:v>
      </x:c>
      <x:c r="N168" s="11" t="str">
        <x:v>S096; S168</x:v>
      </x:c>
      <x:c r="O168" s="11" t="str">
        <x:v>Bộ 167</x:v>
      </x:c>
      <x:c r="P168" s="11" t="str">
        <x:v>Cần bổ sung nguồn định nghĩa</x:v>
      </x:c>
      <x:c r="Q168" s="11" t="str"/>
    </x:row>
    <x:row r="169" ht="57" customHeight="1">
      <x:c r="A169" s="11" t="str">
        <x:v>M018</x:v>
      </x:c>
      <x:c r="B169" s="11" t="str">
        <x:v>Kế hoạch hành động ASEAN–Hàn Quốc</x:v>
      </x:c>
      <x:c r="C169" s="11" t="str">
        <x:v>한-아세안 행동계획</x:v>
      </x:c>
      <x:c r="D169" s="11" t="str">
        <x:v>N5</x:v>
      </x:c>
      <x:c r="E169" s="11" t="str">
        <x:v>Đã gán theo nghĩa được chọn</x:v>
      </x:c>
      <x:c r="F169" s="11" t="str">
        <x:v>Phù hợp theo nghĩa làm việc</x:v>
      </x:c>
      <x:c r="G169" s="11" t="str">
        <x:v>Giữ làm đơn vị nghiên cứu</x:v>
      </x:c>
      <x:c r="H169" s="11" t="str">
        <x:v>Ngoại giao</x:v>
      </x:c>
      <x:c r="I169" s="11" t="str">
        <x:v>M018</x:v>
      </x:c>
      <x:c r="J169" s="11" t="str"/>
      <x:c r="K169" s="11" t="str">
        <x:v>compatible = có khả năng tương ứng theo nghĩa làm việc; chưa thay thế kiểm tra câu song hành.</x:v>
      </x:c>
      <x:c r="L169" s="11" t="str">
        <x:v>S169</x:v>
      </x:c>
      <x:c r="M169" s="11" t="str">
        <x:v>S169</x:v>
      </x:c>
      <x:c r="N169" s="11" t="str">
        <x:v>S169; S170</x:v>
      </x:c>
      <x:c r="O169" s="11" t="str">
        <x:v>Bộ 167</x:v>
      </x:c>
      <x:c r="P169" s="11" t="str">
        <x:v>Cần bổ sung nguồn định nghĩa</x:v>
      </x:c>
      <x:c r="Q169" s="11" t="str"/>
    </x:row>
    <x:row r="170" ht="102" customHeight="1">
      <x:c r="A170" s="11" t="str">
        <x:v>T015</x:v>
      </x:c>
      <x:c r="B170" s="11" t="str">
        <x:v>nghị quyết</x:v>
      </x:c>
      <x:c r="C170" s="11" t="str">
        <x:v>결의안</x:v>
      </x:c>
      <x:c r="D170" s="11" t="str">
        <x:v>N5</x:v>
      </x:c>
      <x:c r="E170" s="11" t="str">
        <x:v>Đã gán theo nghĩa được chọn</x:v>
      </x:c>
      <x:c r="F170" s="16" t="str">
        <x:v>CẦN NGỮ CẢNH đối chiếu</x:v>
      </x:c>
      <x:c r="G170" s="11" t="str">
        <x:v>Giữ làm đơn vị nghiên cứu</x:v>
      </x:c>
      <x:c r="H170" s="11" t="str">
        <x:v>Chính trị</x:v>
      </x:c>
      <x:c r="I170" s="11" t="str">
        <x:v>T015</x:v>
      </x:c>
      <x:c r="J170" s="11" t="str"/>
      <x:c r="K170" s="11" t="str">
        <x:v>결의안 có thể gọi đề xuất hoặc văn kiện đã được thông qua tùy ngữ cảnh; phải kiểm tra trạng thái 채택/이행. Nhóm N5 không chứng minh là nghị quyết đã ban hành trong mọi lượt. Đã thử tìm trên nguồn Quốc ngữ viện nhưng chưa đọc được mục từ nguyên dạng phù hợp; needs_check không có nghĩa thuật ngữ không tồn tại. 결의안 có thành tố 안 (đề án/dự thảo); cần kiểm tra tình trạng đã thông qua trong câu nguồn trước khi chốt tương ứng với nghị quyết.</x:v>
      </x:c>
      <x:c r="L170" s="11" t="str">
        <x:v>S021</x:v>
      </x:c>
      <x:c r="M170" s="11" t="str">
        <x:v>S021</x:v>
      </x:c>
      <x:c r="N170" s="11" t="str">
        <x:v>S021</x:v>
      </x:c>
      <x:c r="O170" s="11" t="str">
        <x:v>Bộ 167</x:v>
      </x:c>
      <x:c r="P170" s="11" t="str">
        <x:v>Cần ngữ cảnh song ngữ</x:v>
      </x:c>
      <x:c r="Q170" s="11" t="str"/>
    </x:row>
    <x:row r="171" ht="57" customHeight="1">
      <x:c r="A171" s="11" t="str">
        <x:v>M007</x:v>
      </x:c>
      <x:c r="B171" s="11" t="str">
        <x:v>Tầm nhìn ASEAN về Ấn Độ Dương–Thái Bình Dương</x:v>
      </x:c>
      <x:c r="C171" s="11" t="str">
        <x:v>인도-태평양에 대한 아세안 관점</x:v>
      </x:c>
      <x:c r="D171" s="11" t="str">
        <x:v>N5</x:v>
      </x:c>
      <x:c r="E171" s="11" t="str">
        <x:v>Đã gán theo nghĩa được chọn</x:v>
      </x:c>
      <x:c r="F171" s="11" t="str">
        <x:v>Phù hợp theo nghĩa làm việc</x:v>
      </x:c>
      <x:c r="G171" s="11" t="str">
        <x:v>Giữ làm đơn vị nghiên cứu</x:v>
      </x:c>
      <x:c r="H171" s="11" t="str">
        <x:v>Ngoại giao</x:v>
      </x:c>
      <x:c r="I171" s="11" t="str">
        <x:v>M007</x:v>
      </x:c>
      <x:c r="J171" s="11" t="str"/>
      <x:c r="K171" s="11" t="str">
        <x:v>compatible = có khả năng tương ứng theo nghĩa làm việc; chưa thay thế kiểm tra câu song hành.</x:v>
      </x:c>
      <x:c r="L171" s="11" t="str">
        <x:v>S120</x:v>
      </x:c>
      <x:c r="M171" s="11" t="str">
        <x:v>S120</x:v>
      </x:c>
      <x:c r="N171" s="11" t="str">
        <x:v>S120; S171</x:v>
      </x:c>
      <x:c r="O171" s="11" t="str">
        <x:v>Bộ 167</x:v>
      </x:c>
      <x:c r="P171" s="11" t="str">
        <x:v>Cần bổ sung nguồn định nghĩa</x:v>
      </x:c>
      <x:c r="Q171" s="11" t="str"/>
    </x:row>
    <x:row r="172" ht="57" customHeight="1">
      <x:c r="A172" s="11" t="str">
        <x:v>T039</x:v>
      </x:c>
      <x:c r="B172" s="11" t="str">
        <x:v>Văn kiện Đại hội</x:v>
      </x:c>
      <x:c r="C172" s="11" t="str">
        <x:v>제14차 전국당대회 문건</x:v>
      </x:c>
      <x:c r="D172" s="11" t="str">
        <x:v>N5</x:v>
      </x:c>
      <x:c r="E172" s="11" t="str">
        <x:v>Đã gán theo nghĩa được chọn</x:v>
      </x:c>
      <x:c r="F172" s="11" t="str">
        <x:v>Phù hợp theo nghĩa làm việc</x:v>
      </x:c>
      <x:c r="G172" s="11" t="str">
        <x:v>Giữ làm đơn vị nghiên cứu</x:v>
      </x:c>
      <x:c r="H172" s="11" t="str">
        <x:v>Chính trị</x:v>
      </x:c>
      <x:c r="I172" s="11" t="str">
        <x:v>T039</x:v>
      </x:c>
      <x:c r="J172" s="11" t="str"/>
      <x:c r="K172" s="11" t="str">
        <x:v>Nhãn danh mục Văn kiện Đại hội khái quát hơn dạng thực tế Văn kiện Đại hội XIV. Tiểu loại 5.2 áp dụng cho tập văn kiện xác định trong lượt được chọn. compatible = có khả năng tương ứng theo nghĩa làm việc; chưa thay thế kiểm tra câu song hành.</x:v>
      </x:c>
      <x:c r="L172" s="11" t="str">
        <x:v>S172</x:v>
      </x:c>
      <x:c r="M172" s="11" t="str">
        <x:v>S172</x:v>
      </x:c>
      <x:c r="N172" s="11" t="str">
        <x:v>S172</x:v>
      </x:c>
      <x:c r="O172" s="11" t="str">
        <x:v>Bộ 167</x:v>
      </x:c>
      <x:c r="P172" s="11" t="str">
        <x:v>Cần bổ sung nguồn định nghĩa</x:v>
      </x:c>
      <x:c r="Q172" s="11" t="str"/>
    </x:row>
    <x:row r="173" ht="57" customHeight="1">
      <x:c r="A173" s="11" t="str">
        <x:v>C001</x:v>
      </x:c>
      <x:c r="B173" s="11" t="str">
        <x:v>nhà ngoại giao</x:v>
      </x:c>
      <x:c r="C173" s="11" t="str">
        <x:v>외교관</x:v>
      </x:c>
      <x:c r="D173" s="11" t="str">
        <x:v>N1</x:v>
      </x:c>
      <x:c r="E173" s="11" t="str">
        <x:v>Đã gán theo nghĩa được chọn</x:v>
      </x:c>
      <x:c r="F173" s="11" t="str">
        <x:v>Phù hợp theo nghĩa làm việc</x:v>
      </x:c>
      <x:c r="G173" s="11" t="str">
        <x:v>Giữ làm đơn vị nghiên cứu</x:v>
      </x:c>
      <x:c r="H173" s="11" t="str">
        <x:v>Ngoại giao</x:v>
      </x:c>
      <x:c r="I173" s="11" t="str">
        <x:v>C001</x:v>
      </x:c>
      <x:c r="J173" s="11" t="str"/>
      <x:c r="K173" s="11" t="str">
        <x:v>Đã tìm mục từ Hàn đúng hình thức. Nghĩa Việt được diễn giải từ nguồn Hàn; chưa xác minh mục từ Việt độc lập.</x:v>
      </x:c>
      <x:c r="L173" s="11" t="str">
        <x:v>S173</x:v>
      </x:c>
      <x:c r="M173" s="11" t="str">
        <x:v>S173</x:v>
      </x:c>
      <x:c r="N173" s="11" t="str">
        <x:v>S173</x:v>
      </x:c>
      <x:c r="O173" s="11" t="str">
        <x:v>Danh sách C99</x:v>
      </x:c>
      <x:c r="P173" s="11" t="str">
        <x:v>Ứng viên giữ — có căn cứ khái niệm</x:v>
      </x:c>
      <x:c r="Q173" s="11" t="str"/>
    </x:row>
    <x:row r="174" ht="57" customHeight="1">
      <x:c r="A174" s="11" t="str">
        <x:v>C002</x:v>
      </x:c>
      <x:c r="B174" s="11" t="str">
        <x:v>đặc phái viên</x:v>
      </x:c>
      <x:c r="C174" s="11" t="str">
        <x:v>특사</x:v>
      </x:c>
      <x:c r="D174" s="11" t="str">
        <x:v>N1</x:v>
      </x:c>
      <x:c r="E174" s="11" t="str">
        <x:v>Đã gán theo nghĩa được chọn</x:v>
      </x:c>
      <x:c r="F174" s="11" t="str">
        <x:v>Phù hợp theo nghĩa làm việc</x:v>
      </x:c>
      <x:c r="G174" s="11" t="str">
        <x:v>Giữ làm đơn vị nghiên cứu</x:v>
      </x:c>
      <x:c r="H174" s="11" t="str">
        <x:v>Ngoại giao</x:v>
      </x:c>
      <x:c r="I174" s="11" t="str">
        <x:v>C002</x:v>
      </x:c>
      <x:c r="J174" s="11" t="str"/>
      <x:c r="K174" s="11" t="str">
        <x:v>Nguồn là bách khoa có tác giả, không phải mục từ Việt độc lập. Đặc phái viên được xác định theo nhiệm vụ đại diện đặc biệt.</x:v>
      </x:c>
      <x:c r="L174" s="11" t="str">
        <x:v>S174</x:v>
      </x:c>
      <x:c r="M174" s="11" t="str">
        <x:v>S174</x:v>
      </x:c>
      <x:c r="N174" s="11" t="str">
        <x:v>S174</x:v>
      </x:c>
      <x:c r="O174" s="11" t="str">
        <x:v>Danh sách C99</x:v>
      </x:c>
      <x:c r="P174" s="11" t="str">
        <x:v>Ứng viên giữ — có căn cứ khái niệm</x:v>
      </x:c>
      <x:c r="Q174" s="11" t="str"/>
    </x:row>
    <x:row r="175" ht="57" customHeight="1">
      <x:c r="A175" s="11" t="str">
        <x:v>C003</x:v>
      </x:c>
      <x:c r="B175" s="11" t="str">
        <x:v>Tổng lãnh sự</x:v>
      </x:c>
      <x:c r="C175" s="11" t="str">
        <x:v>총영사</x:v>
      </x:c>
      <x:c r="D175" s="11" t="str">
        <x:v>N1</x:v>
      </x:c>
      <x:c r="E175" s="11" t="str">
        <x:v>Đã gán theo nghĩa được chọn</x:v>
      </x:c>
      <x:c r="F175" s="11" t="str">
        <x:v>Phù hợp theo nghĩa làm việc</x:v>
      </x:c>
      <x:c r="G175" s="11" t="str">
        <x:v>Giữ làm đơn vị nghiên cứu</x:v>
      </x:c>
      <x:c r="H175" s="11" t="str">
        <x:v>Ngoại giao</x:v>
      </x:c>
      <x:c r="I175" s="11" t="str">
        <x:v>C003</x:v>
      </x:c>
      <x:c r="J175" s="11" t="str"/>
      <x:c r="K175" s="11" t="str">
        <x:v>Nguồn là bách khoa có tác giả. Không đồng nhất người giữ chức 총영사 với cơ quan 총영사관.</x:v>
      </x:c>
      <x:c r="L175" s="11" t="str">
        <x:v>S175</x:v>
      </x:c>
      <x:c r="M175" s="11" t="str">
        <x:v>S175</x:v>
      </x:c>
      <x:c r="N175" s="11" t="str">
        <x:v>S175</x:v>
      </x:c>
      <x:c r="O175" s="11" t="str">
        <x:v>Danh sách C99</x:v>
      </x:c>
      <x:c r="P175" s="11" t="str">
        <x:v>Ứng viên giữ — có căn cứ khái niệm</x:v>
      </x:c>
      <x:c r="Q175" s="11" t="str"/>
    </x:row>
    <x:row r="176" ht="57" customHeight="1">
      <x:c r="A176" s="11" t="str">
        <x:v>C004</x:v>
      </x:c>
      <x:c r="B176" s="11" t="str">
        <x:v>Lãnh sự danh dự</x:v>
      </x:c>
      <x:c r="C176" s="11" t="str">
        <x:v>명예영사</x:v>
      </x:c>
      <x:c r="D176" s="11" t="str">
        <x:v>N1</x:v>
      </x:c>
      <x:c r="E176" s="11" t="str">
        <x:v>Đã gán theo nghĩa được chọn</x:v>
      </x:c>
      <x:c r="F176" s="11" t="str">
        <x:v>Phù hợp theo nghĩa làm việc</x:v>
      </x:c>
      <x:c r="G176" s="11" t="str">
        <x:v>Giữ làm đơn vị nghiên cứu</x:v>
      </x:c>
      <x:c r="H176" s="11" t="str">
        <x:v>Ngoại giao</x:v>
      </x:c>
      <x:c r="I176" s="11" t="str">
        <x:v>C004</x:v>
      </x:c>
      <x:c r="J176" s="11" t="str"/>
      <x:c r="K176" s="11" t="str">
        <x:v>Phân biệt lãnh sự danh dự với lãnh sự chuyên nghiệp. Nguồn giúp xác định bản chất chế độ danh dự, không dùng để khẳng định mọi điều kiện pháp luật hiện hành.</x:v>
      </x:c>
      <x:c r="L176" s="11" t="str">
        <x:v>S176</x:v>
      </x:c>
      <x:c r="M176" s="11" t="str">
        <x:v>S177</x:v>
      </x:c>
      <x:c r="N176" s="11" t="str">
        <x:v>S176; S177</x:v>
      </x:c>
      <x:c r="O176" s="11" t="str">
        <x:v>Danh sách C99</x:v>
      </x:c>
      <x:c r="P176" s="11" t="str">
        <x:v>Ứng viên giữ — có căn cứ khái niệm</x:v>
      </x:c>
      <x:c r="Q176" s="11" t="str"/>
    </x:row>
    <x:row r="177" ht="57" customHeight="1">
      <x:c r="A177" s="11" t="str">
        <x:v>C006</x:v>
      </x:c>
      <x:c r="B177" s="11" t="str">
        <x:v>Đại biện</x:v>
      </x:c>
      <x:c r="C177" s="11" t="str">
        <x:v>대리대사</x:v>
      </x:c>
      <x:c r="D177" s="16" t="str">
        <x:v>N1</x:v>
      </x:c>
      <x:c r="E177" s="16" t="str">
        <x:v>ĐỀ XUẤT — cần khóa nghĩa</x:v>
      </x:c>
      <x:c r="F177" s="16" t="str">
        <x:v>CẦN NGỮ CẢNH đối chiếu</x:v>
      </x:c>
      <x:c r="G177" s="11" t="str">
        <x:v>Giữ làm đơn vị nghiên cứu</x:v>
      </x:c>
      <x:c r="H177" s="11" t="str">
        <x:v>Ngoại giao</x:v>
      </x:c>
      <x:c r="I177" s="11" t="str">
        <x:v>C006</x:v>
      </x:c>
      <x:c r="J177" s="11" t="str"/>
      <x:c r="K177" s="11" t="str">
        <x:v>Chọn nghĩa đại biện cấp trưởng cơ quan đại diện theo Điều 14. Cần câu nguồn để loại trừ cách dùng 대리대사 như tên gọi rút gọn của đại biện lâm thời. Nghĩa Hàn do nghiên cứu diễn đạt từ nguồn EN; không phải định nghĩa từ điển Hàn.</x:v>
      </x:c>
      <x:c r="L177" s="11" t="str">
        <x:v>S178</x:v>
      </x:c>
      <x:c r="M177" s="11" t="str">
        <x:v>S178</x:v>
      </x:c>
      <x:c r="N177" s="11" t="str">
        <x:v>S178</x:v>
      </x:c>
      <x:c r="O177" s="11" t="str">
        <x:v>Danh sách C99</x:v>
      </x:c>
      <x:c r="P177" s="11" t="str">
        <x:v>Cần khóa nghĩa để chốt nhóm</x:v>
      </x:c>
      <x:c r="Q177" s="11" t="str"/>
    </x:row>
    <x:row r="178" ht="57" customHeight="1">
      <x:c r="A178" s="11" t="str">
        <x:v>C007</x:v>
      </x:c>
      <x:c r="B178" s="11" t="str">
        <x:v>Đại biện lâm thời</x:v>
      </x:c>
      <x:c r="C178" s="11" t="str">
        <x:v>임시대리대사</x:v>
      </x:c>
      <x:c r="D178" s="11" t="str">
        <x:v>N1</x:v>
      </x:c>
      <x:c r="E178" s="11" t="str">
        <x:v>Đã gán theo nghĩa được chọn</x:v>
      </x:c>
      <x:c r="F178" s="11" t="str">
        <x:v>Phù hợp theo nghĩa làm việc</x:v>
      </x:c>
      <x:c r="G178" s="11" t="str">
        <x:v>Giữ làm đơn vị nghiên cứu</x:v>
      </x:c>
      <x:c r="H178" s="11" t="str">
        <x:v>Ngoại giao</x:v>
      </x:c>
      <x:c r="I178" s="11" t="str">
        <x:v>C007</x:v>
      </x:c>
      <x:c r="J178" s="11" t="str"/>
      <x:c r="K178" s="11" t="str">
        <x:v>Đối chiếu Điều 19 Công ước Viên 1961 về người tạm thời điều hành cơ quan đại diện. Nghĩa Hàn do nghiên cứu diễn đạt từ nguồn EN; không phải định nghĩa từ điển Hàn.</x:v>
      </x:c>
      <x:c r="L178" s="11" t="str">
        <x:v>S178</x:v>
      </x:c>
      <x:c r="M178" s="11" t="str">
        <x:v>S178</x:v>
      </x:c>
      <x:c r="N178" s="11" t="str">
        <x:v>S178</x:v>
      </x:c>
      <x:c r="O178" s="11" t="str">
        <x:v>Danh sách C99</x:v>
      </x:c>
      <x:c r="P178" s="11" t="str">
        <x:v>Ứng viên giữ — có căn cứ khái niệm</x:v>
      </x:c>
      <x:c r="Q178" s="11" t="str"/>
    </x:row>
    <x:row r="179" ht="87" customHeight="1">
      <x:c r="A179" s="11" t="str">
        <x:v>C009</x:v>
      </x:c>
      <x:c r="B179" s="11" t="str">
        <x:v>Trưởng đại diện</x:v>
      </x:c>
      <x:c r="C179" s="11" t="str">
        <x:v>상주대표</x:v>
      </x:c>
      <x:c r="D179" s="16" t="str">
        <x:v>N1</x:v>
      </x:c>
      <x:c r="E179" s="16" t="str">
        <x:v>ĐỀ XUẤT — cần khóa nghĩa</x:v>
      </x:c>
      <x:c r="F179" s="19" t="str">
        <x:v>CẦN ĐỐI CHIẾU — khác phạm vi</x:v>
      </x:c>
      <x:c r="G179" s="11" t="str">
        <x:v>Cần xem xét tư cách/phạm vi</x:v>
      </x:c>
      <x:c r="H179" s="11" t="str">
        <x:v>Ngoại giao</x:v>
      </x:c>
      <x:c r="I179" s="11" t="str">
        <x:v>C009</x:v>
      </x:c>
      <x:c r="J179" s="11" t="str"/>
      <x:c r="K179" s="11" t="str">
        <x:v>Lệch độ cụ thể: 상주대표 chứa nghĩa thường trú và thường gắn với tổ chức quốc tế; Trưởng đại diện chưa biểu đạt các nét nghĩa này. Đề xuất tra riêng đại diện thường trực/trưởng phái đoàn thường trực theo ngữ cảnh. Nghĩa Hàn do nghiên cứu diễn đạt từ nguồn EN; không phải định nghĩa từ điển Hàn. Nghĩa Việt là giải thích làm việc; chưa xác minh định nghĩa trực tiếp.</x:v>
      </x:c>
      <x:c r="L179" s="11" t="str"/>
      <x:c r="M179" s="11" t="str">
        <x:v>S179</x:v>
      </x:c>
      <x:c r="N179" s="11" t="str">
        <x:v>S179</x:v>
      </x:c>
      <x:c r="O179" s="11" t="str">
        <x:v>Danh sách C99</x:v>
      </x:c>
      <x:c r="P179" s="11" t="str">
        <x:v>Cần đối chiếu/sửa cặp</x:v>
      </x:c>
      <x:c r="Q179" s="11" t="str">
        <x:v>VI: đại diện thường trực / trưởng phái đoàn thường trực — cần xác định chức trách và nơi đại diện.</x:v>
      </x:c>
    </x:row>
    <x:row r="180" ht="87" customHeight="1">
      <x:c r="A180" s="11" t="str">
        <x:v>C010</x:v>
      </x:c>
      <x:c r="B180" s="11" t="str">
        <x:v>trưởng đoàn</x:v>
      </x:c>
      <x:c r="C180" s="11" t="str">
        <x:v>대표단장</x:v>
      </x:c>
      <x:c r="D180" s="11" t="str">
        <x:v>N1</x:v>
      </x:c>
      <x:c r="E180" s="11" t="str">
        <x:v>Đã gán theo nghĩa được chọn</x:v>
      </x:c>
      <x:c r="F180" s="16" t="str">
        <x:v>CẦN NGỮ CẢNH đối chiếu</x:v>
      </x:c>
      <x:c r="G180" s="11" t="str">
        <x:v>Giữ làm đơn vị nghiên cứu</x:v>
      </x:c>
      <x:c r="H180" s="11" t="str">
        <x:v>Cần ngữ cảnh chuyên ngành</x:v>
      </x:c>
      <x:c r="I180" s="11" t="str">
        <x:v>C010</x:v>
      </x:c>
      <x:c r="J180" s="11" t="str"/>
      <x:c r="K180" s="11" t="str">
        <x:v>Nguồn ngoại giao dùng toàn cụm 대표단장 để gọi người đứng đầu đoàn Kuwait trong đàm phán; công cụ tìm kiếm truy xuất được đoạn này, lần mở trang trực tiếp sau đó bị 403. Nguồn xác nhận cách dùng chuyên biệt, chưa phải định nghĩa trực tiếp. Không coi từ đơn 단장 hoặc 대표단 là kết quả từ điển của toàn cụm. Nhãn Việt trưởng đoàn rộng hơn: cần xác nhận đây là đoàn đại biểu trong corpus chính trị–ngoại giao.</x:v>
      </x:c>
      <x:c r="L180" s="11" t="str">
        <x:v>S180</x:v>
      </x:c>
      <x:c r="M180" s="11" t="str">
        <x:v>S180</x:v>
      </x:c>
      <x:c r="N180" s="11" t="str">
        <x:v>S180</x:v>
      </x:c>
      <x:c r="O180" s="11" t="str">
        <x:v>Danh sách C99</x:v>
      </x:c>
      <x:c r="P180" s="11" t="str">
        <x:v>Cần ngữ cảnh song ngữ</x:v>
      </x:c>
      <x:c r="Q180" s="11" t="str"/>
    </x:row>
    <x:row r="181" ht="57" customHeight="1">
      <x:c r="A181" s="11" t="str">
        <x:v>C012</x:v>
      </x:c>
      <x:c r="B181" s="11" t="str">
        <x:v>thượng nghị sĩ</x:v>
      </x:c>
      <x:c r="C181" s="11" t="str">
        <x:v>상원의원</x:v>
      </x:c>
      <x:c r="D181" s="11" t="str">
        <x:v>N1</x:v>
      </x:c>
      <x:c r="E181" s="11" t="str">
        <x:v>Đã gán theo nghĩa được chọn</x:v>
      </x:c>
      <x:c r="F181" s="16" t="str">
        <x:v>CẦN NGỮ CẢNH đối chiếu</x:v>
      </x:c>
      <x:c r="G181" s="11" t="str">
        <x:v>Giữ làm đơn vị nghiên cứu</x:v>
      </x:c>
      <x:c r="H181" s="11" t="str">
        <x:v>Chính trị</x:v>
      </x:c>
      <x:c r="I181" s="11" t="str">
        <x:v>C012</x:v>
      </x:c>
      <x:c r="J181" s="11" t="str"/>
      <x:c r="K181" s="11" t="str">
        <x:v>Nguồn là cơ quan lập pháp Hoa Kỳ; chỉ dùng nét nghĩa thành viên Thượng viện, không khái quát nhiệm kỳ hay điều kiện bầu cử Hoa Kỳ cho mọi quốc gia. Nghĩa Hàn do nghiên cứu diễn đạt từ nguồn EN; không phải định nghĩa từ điển Hàn.</x:v>
      </x:c>
      <x:c r="L181" s="11" t="str">
        <x:v>S181</x:v>
      </x:c>
      <x:c r="M181" s="11" t="str">
        <x:v>S181</x:v>
      </x:c>
      <x:c r="N181" s="11" t="str">
        <x:v>S181</x:v>
      </x:c>
      <x:c r="O181" s="11" t="str">
        <x:v>Danh sách C99</x:v>
      </x:c>
      <x:c r="P181" s="11" t="str">
        <x:v>Cần ngữ cảnh song ngữ</x:v>
      </x:c>
      <x:c r="Q181" s="11" t="str"/>
    </x:row>
    <x:row r="182" ht="57" customHeight="1">
      <x:c r="A182" s="11" t="str">
        <x:v>C013</x:v>
      </x:c>
      <x:c r="B182" s="11" t="str">
        <x:v>Chủ tịch Hạ viện</x:v>
      </x:c>
      <x:c r="C182" s="11" t="str">
        <x:v>하원의장</x:v>
      </x:c>
      <x:c r="D182" s="11" t="str">
        <x:v>N1</x:v>
      </x:c>
      <x:c r="E182" s="11" t="str">
        <x:v>Đã gán theo nghĩa được chọn</x:v>
      </x:c>
      <x:c r="F182" s="16" t="str">
        <x:v>CẦN NGỮ CẢNH đối chiếu</x:v>
      </x:c>
      <x:c r="G182" s="11" t="str">
        <x:v>Giữ làm đơn vị nghiên cứu</x:v>
      </x:c>
      <x:c r="H182" s="11" t="str">
        <x:v>Chính trị</x:v>
      </x:c>
      <x:c r="I182" s="11" t="str">
        <x:v>C013</x:v>
      </x:c>
      <x:c r="J182" s="11" t="str"/>
      <x:c r="K182" s="11" t="str">
        <x:v>Nguồn minh họa thiết chế Hoa Kỳ. Định nghĩa làm việc chỉ giữ chức danh chủ trì Hạ viện; quyền hạn cụ thể phụ thuộc quốc gia. Nghĩa Hàn do nghiên cứu diễn đạt từ nguồn EN; không phải định nghĩa từ điển Hàn.</x:v>
      </x:c>
      <x:c r="L182" s="11" t="str">
        <x:v>S182</x:v>
      </x:c>
      <x:c r="M182" s="11" t="str">
        <x:v>S182</x:v>
      </x:c>
      <x:c r="N182" s="11" t="str">
        <x:v>S182</x:v>
      </x:c>
      <x:c r="O182" s="11" t="str">
        <x:v>Danh sách C99</x:v>
      </x:c>
      <x:c r="P182" s="11" t="str">
        <x:v>Cần ngữ cảnh song ngữ</x:v>
      </x:c>
      <x:c r="Q182" s="11" t="str"/>
    </x:row>
    <x:row r="183" ht="57" customHeight="1">
      <x:c r="A183" s="11" t="str">
        <x:v>C014</x:v>
      </x:c>
      <x:c r="B183" s="11" t="str">
        <x:v>Chủ tịch Thượng viện</x:v>
      </x:c>
      <x:c r="C183" s="11" t="str">
        <x:v>상원의장</x:v>
      </x:c>
      <x:c r="D183" s="11" t="str">
        <x:v>N1</x:v>
      </x:c>
      <x:c r="E183" s="11" t="str">
        <x:v>Đã gán theo nghĩa được chọn</x:v>
      </x:c>
      <x:c r="F183" s="16" t="str">
        <x:v>CẦN NGỮ CẢNH đối chiếu</x:v>
      </x:c>
      <x:c r="G183" s="11" t="str">
        <x:v>Giữ làm đơn vị nghiên cứu</x:v>
      </x:c>
      <x:c r="H183" s="11" t="str">
        <x:v>Chính trị</x:v>
      </x:c>
      <x:c r="I183" s="11" t="str">
        <x:v>C014</x:v>
      </x:c>
      <x:c r="J183" s="11" t="str"/>
      <x:c r="K183" s="11" t="str">
        <x:v>Nguồn minh họa thiết chế Anh. Định nghĩa làm việc chỉ giữ chức danh chủ trì Thượng viện; cách lựa chọn và quyền hạn phụ thuộc quốc gia. Nghĩa Hàn do nghiên cứu diễn đạt từ nguồn EN; không phải định nghĩa từ điển Hàn.</x:v>
      </x:c>
      <x:c r="L183" s="11" t="str">
        <x:v>S183</x:v>
      </x:c>
      <x:c r="M183" s="11" t="str">
        <x:v>S183</x:v>
      </x:c>
      <x:c r="N183" s="11" t="str">
        <x:v>S183</x:v>
      </x:c>
      <x:c r="O183" s="11" t="str">
        <x:v>Danh sách C99</x:v>
      </x:c>
      <x:c r="P183" s="11" t="str">
        <x:v>Cần ngữ cảnh song ngữ</x:v>
      </x:c>
      <x:c r="Q183" s="11" t="str"/>
    </x:row>
    <x:row r="184" ht="102" customHeight="1">
      <x:c r="A184" s="11" t="str">
        <x:v>C015</x:v>
      </x:c>
      <x:c r="B184" s="11" t="str">
        <x:v>Quốc vương</x:v>
      </x:c>
      <x:c r="C184" s="11" t="str">
        <x:v>국왕</x:v>
      </x:c>
      <x:c r="D184" s="11" t="str">
        <x:v>N1</x:v>
      </x:c>
      <x:c r="E184" s="11" t="str">
        <x:v>Đã gán theo nghĩa được chọn</x:v>
      </x:c>
      <x:c r="F184" s="11" t="str">
        <x:v>Phù hợp theo nghĩa làm việc</x:v>
      </x:c>
      <x:c r="G184" s="11" t="str">
        <x:v>Giữ làm đơn vị nghiên cứu</x:v>
      </x:c>
      <x:c r="H184" s="11" t="str">
        <x:v>Chính trị</x:v>
      </x:c>
      <x:c r="I184" s="11" t="str">
        <x:v>C015</x:v>
      </x:c>
      <x:c r="J184" s="11" t="str"/>
      <x:c r="K184" s="11" t="str">
        <x:v>Nguồn cơ quan công mô tả 국왕 trong cơ cấu Hà Lan, không phải mục từ tổng quát. Hai định nghĩa là nghĩa làm việc tổng quát hóa có giới hạn; không khái quát tính thế tập hay quyền hành cụ thể của Hà Lan cho mọi vương quốc. Chưa xác minh trực tiếp mục từ toàn vẹn 국왕 trong từ điển chính thức; không dùng mục từ 제왕 hoặc 국왕 대권 재판소 thay thế. Nguồn là tài liệu lịch sử về cơ cấu, không dùng để xác định người đương nhiệm.</x:v>
      </x:c>
      <x:c r="L184" s="11" t="str">
        <x:v>S184</x:v>
      </x:c>
      <x:c r="M184" s="11" t="str">
        <x:v>S184</x:v>
      </x:c>
      <x:c r="N184" s="11" t="str">
        <x:v>S184</x:v>
      </x:c>
      <x:c r="O184" s="11" t="str">
        <x:v>Danh sách C99</x:v>
      </x:c>
      <x:c r="P184" s="11" t="str">
        <x:v>Cần bổ sung nguồn định nghĩa</x:v>
      </x:c>
      <x:c r="Q184" s="11" t="str"/>
    </x:row>
    <x:row r="185" ht="87" customHeight="1">
      <x:c r="A185" s="11" t="str">
        <x:v>C016</x:v>
      </x:c>
      <x:c r="B185" s="11" t="str">
        <x:v>Cố vấn An ninh Quốc gia</x:v>
      </x:c>
      <x:c r="C185" s="11" t="str">
        <x:v>국가안보보좌관</x:v>
      </x:c>
      <x:c r="D185" s="16" t="str">
        <x:v>N1</x:v>
      </x:c>
      <x:c r="E185" s="16" t="str">
        <x:v>ĐỀ XUẤT — cần khóa nghĩa</x:v>
      </x:c>
      <x:c r="F185" s="16" t="str">
        <x:v>CẦN NGỮ CẢNH đối chiếu</x:v>
      </x:c>
      <x:c r="G185" s="11" t="str">
        <x:v>Giữ làm đơn vị nghiên cứu</x:v>
      </x:c>
      <x:c r="H185" s="11" t="str">
        <x:v>Chính trị và ngoại giao</x:v>
      </x:c>
      <x:c r="I185" s="11" t="str">
        <x:v>C016</x:v>
      </x:c>
      <x:c r="J185" s="11" t="str"/>
      <x:c r="K185" s="11" t="str">
        <x:v>Nghĩa Việt và Hàn do nghiên cứu diễn đạt theo mô tả chức trách bằng tiếng Anh, không phải mục từ từ điển Hàn. Nguồn Bộ Ngoại giao Hàn Quốc xác nhận cách dùng toàn cụm 국가안보보좌관. Cần khóa quốc gia và cấp người được cố vấn trong corpus; nguồn Hoa Kỳ không xác lập cơ cấu giống nhau ở mọi nước. Không gọi đây là người đứng đầu NSC: văn bản nêu Tổng thống chủ trì NSC.</x:v>
      </x:c>
      <x:c r="L185" s="11" t="str">
        <x:v>S185</x:v>
      </x:c>
      <x:c r="M185" s="11" t="str">
        <x:v>S185</x:v>
      </x:c>
      <x:c r="N185" s="11" t="str">
        <x:v>S185; S186</x:v>
      </x:c>
      <x:c r="O185" s="11" t="str">
        <x:v>Danh sách C99</x:v>
      </x:c>
      <x:c r="P185" s="11" t="str">
        <x:v>Cần khóa nghĩa để chốt nhóm</x:v>
      </x:c>
      <x:c r="Q185" s="11" t="str"/>
    </x:row>
    <x:row r="186" ht="72" customHeight="1">
      <x:c r="A186" s="11" t="str">
        <x:v>C019</x:v>
      </x:c>
      <x:c r="B186" s="11" t="str">
        <x:v>tổ chức quốc tế</x:v>
      </x:c>
      <x:c r="C186" s="11" t="str">
        <x:v>국제기구</x:v>
      </x:c>
      <x:c r="D186" s="11" t="str">
        <x:v>N2</x:v>
      </x:c>
      <x:c r="E186" s="11" t="str">
        <x:v>Đã gán theo nghĩa được chọn</x:v>
      </x:c>
      <x:c r="F186" s="16" t="str">
        <x:v>CẦN NGỮ CẢNH đối chiếu</x:v>
      </x:c>
      <x:c r="G186" s="11" t="str">
        <x:v>Giữ làm đơn vị nghiên cứu</x:v>
      </x:c>
      <x:c r="H186" s="11" t="str">
        <x:v>Chính trị và ngoại giao</x:v>
      </x:c>
      <x:c r="I186" s="11" t="str">
        <x:v>C019</x:v>
      </x:c>
      <x:c r="J186" s="11" t="str"/>
      <x:c r="K186" s="11" t="str">
        <x:v>Chọn nghĩa pháp lý tổ chức quốc tế theo Điều 2(a) dự thảo ILC 2011; đây không phải định nghĩa bao gồm mọi tổ chức phi chính phủ hoạt động quốc tế. Không coi dự thảo ILC tự là điều ước có hiệu lực. Nghĩa Hàn do nghiên cứu diễn đạt từ nguồn EN; không phải định nghĩa từ điển Hàn.</x:v>
      </x:c>
      <x:c r="L186" s="11" t="str">
        <x:v>S187</x:v>
      </x:c>
      <x:c r="M186" s="11" t="str">
        <x:v>S187</x:v>
      </x:c>
      <x:c r="N186" s="11" t="str">
        <x:v>S187</x:v>
      </x:c>
      <x:c r="O186" s="11" t="str">
        <x:v>Danh sách C99</x:v>
      </x:c>
      <x:c r="P186" s="11" t="str">
        <x:v>Cần ngữ cảnh song ngữ</x:v>
      </x:c>
      <x:c r="Q186" s="11" t="str"/>
    </x:row>
    <x:row r="187" ht="57" customHeight="1">
      <x:c r="A187" s="11" t="str">
        <x:v>C020</x:v>
      </x:c>
      <x:c r="B187" s="11" t="str">
        <x:v>tổ chức phi Chính phủ</x:v>
      </x:c>
      <x:c r="C187" s="11" t="str">
        <x:v>비정부기구</x:v>
      </x:c>
      <x:c r="D187" s="11" t="str">
        <x:v>N2</x:v>
      </x:c>
      <x:c r="E187" s="11" t="str">
        <x:v>Đã gán theo nghĩa được chọn</x:v>
      </x:c>
      <x:c r="F187" s="16" t="str">
        <x:v>CẦN NGỮ CẢNH đối chiếu</x:v>
      </x:c>
      <x:c r="G187" s="11" t="str">
        <x:v>Giữ làm đơn vị nghiên cứu</x:v>
      </x:c>
      <x:c r="H187" s="11" t="str">
        <x:v>Cần ngữ cảnh chuyên ngành</x:v>
      </x:c>
      <x:c r="I187" s="11" t="str">
        <x:v>C020</x:v>
      </x:c>
      <x:c r="J187" s="11" t="str"/>
      <x:c r="K187" s="11" t="str">
        <x:v>Định nghĩa của UN về NGO/CSO. Tính phi chính phủ không tự có nghĩa hoạt động quốc tế; phạm vi chính trị–ngoại giao cần ngữ cảnh. Nghĩa Hàn do nghiên cứu diễn đạt từ nguồn EN; không phải định nghĩa từ điển Hàn.</x:v>
      </x:c>
      <x:c r="L187" s="11" t="str">
        <x:v>S188</x:v>
      </x:c>
      <x:c r="M187" s="11" t="str">
        <x:v>S188</x:v>
      </x:c>
      <x:c r="N187" s="11" t="str">
        <x:v>S188</x:v>
      </x:c>
      <x:c r="O187" s="11" t="str">
        <x:v>Danh sách C99</x:v>
      </x:c>
      <x:c r="P187" s="11" t="str">
        <x:v>Cần ngữ cảnh song ngữ</x:v>
      </x:c>
      <x:c r="Q187" s="11" t="str"/>
    </x:row>
    <x:row r="188" ht="57" customHeight="1">
      <x:c r="A188" s="11" t="str">
        <x:v>C021</x:v>
      </x:c>
      <x:c r="B188" s="11" t="str">
        <x:v>chính đảng</x:v>
      </x:c>
      <x:c r="C188" s="11" t="str">
        <x:v>정당</x:v>
      </x:c>
      <x:c r="D188" s="11" t="str">
        <x:v>N2</x:v>
      </x:c>
      <x:c r="E188" s="11" t="str">
        <x:v>Đã gán theo nghĩa được chọn</x:v>
      </x:c>
      <x:c r="F188" s="11" t="str">
        <x:v>Phù hợp theo nghĩa làm việc</x:v>
      </x:c>
      <x:c r="G188" s="11" t="str">
        <x:v>Giữ làm đơn vị nghiên cứu</x:v>
      </x:c>
      <x:c r="H188" s="11" t="str">
        <x:v>Chính trị</x:v>
      </x:c>
      <x:c r="I188" s="11" t="str">
        <x:v>C021</x:v>
      </x:c>
      <x:c r="J188" s="11" t="str"/>
      <x:c r="K188" s="11" t="str"/>
      <x:c r="L188" s="11" t="str">
        <x:v>S189</x:v>
      </x:c>
      <x:c r="M188" s="11" t="str">
        <x:v>S189</x:v>
      </x:c>
      <x:c r="N188" s="11" t="str">
        <x:v>S189</x:v>
      </x:c>
      <x:c r="O188" s="11" t="str">
        <x:v>Danh sách C99</x:v>
      </x:c>
      <x:c r="P188" s="11" t="str">
        <x:v>Ứng viên giữ — có căn cứ khái niệm</x:v>
      </x:c>
      <x:c r="Q188" s="11" t="str"/>
    </x:row>
    <x:row r="189" ht="102" customHeight="1">
      <x:c r="A189" s="11" t="str">
        <x:v>C022</x:v>
      </x:c>
      <x:c r="B189" s="11" t="str">
        <x:v>Đảng cầm quyền</x:v>
      </x:c>
      <x:c r="C189" s="11" t="str">
        <x:v>집권당</x:v>
      </x:c>
      <x:c r="D189" s="11" t="str">
        <x:v>N2</x:v>
      </x:c>
      <x:c r="E189" s="11" t="str">
        <x:v>Đã gán theo nghĩa được chọn</x:v>
      </x:c>
      <x:c r="F189" s="11" t="str">
        <x:v>Phù hợp theo nghĩa làm việc</x:v>
      </x:c>
      <x:c r="G189" s="11" t="str">
        <x:v>Giữ làm đơn vị nghiên cứu</x:v>
      </x:c>
      <x:c r="H189" s="11" t="str">
        <x:v>Chính trị</x:v>
      </x:c>
      <x:c r="I189" s="11" t="str">
        <x:v>C022</x:v>
      </x:c>
      <x:c r="J189" s="11" t="str"/>
      <x:c r="K189" s="11" t="str">
        <x:v>Đã mở trang chính thức và thấy đúng đầu mục 집권-당 (word_no=489020), vì vậy found_exact chỉ xác nhận sự tồn tại của mục từ toàn vẹn. Phần giải nghĩa trên trang chính thức không được công cụ hiển thị; lần mở lại có lỗi truy cập. Không đánh dấu hai định nghĩa đang viết là định nghĩa từ điển đã đọc trực tiếp và chưa dùng đầu mục này để xác nhận đầy đủ nghĩa song ngữ. Hai định nghĩa hiện là nghĩa làm việc; cần đọc lại phần giải nghĩa gốc để nâng mức chứng cứ.</x:v>
      </x:c>
      <x:c r="L189" s="11" t="str">
        <x:v>S190</x:v>
      </x:c>
      <x:c r="M189" s="11" t="str">
        <x:v>S190</x:v>
      </x:c>
      <x:c r="N189" s="11" t="str">
        <x:v>S190</x:v>
      </x:c>
      <x:c r="O189" s="11" t="str">
        <x:v>Danh sách C99</x:v>
      </x:c>
      <x:c r="P189" s="11" t="str">
        <x:v>Cần bổ sung nguồn định nghĩa</x:v>
      </x:c>
      <x:c r="Q189" s="11" t="str"/>
    </x:row>
    <x:row r="190" ht="72" customHeight="1">
      <x:c r="A190" s="11" t="str">
        <x:v>C026</x:v>
      </x:c>
      <x:c r="B190" s="11" t="str">
        <x:v>tư pháp</x:v>
      </x:c>
      <x:c r="C190" s="11" t="str">
        <x:v>사법부</x:v>
      </x:c>
      <x:c r="D190" s="16" t="str">
        <x:v>Cần xem xét</x:v>
      </x:c>
      <x:c r="E190" s="16" t="str">
        <x:v>CHƯA GÁN — cặp lệch đối tượng</x:v>
      </x:c>
      <x:c r="F190" s="19" t="str">
        <x:v>CẦN ĐỐI CHIẾU — khác phạm vi</x:v>
      </x:c>
      <x:c r="G190" s="11" t="str">
        <x:v>Cần xem xét tư cách/phạm vi</x:v>
      </x:c>
      <x:c r="H190" s="11" t="str">
        <x:v>Chính trị</x:v>
      </x:c>
      <x:c r="I190" s="11" t="str">
        <x:v>C026</x:v>
      </x:c>
      <x:c r="J190" s="11" t="str">
        <x:v>Không gộp T018 chỉ vì cùng nhãn tư pháp</x:v>
      </x:c>
      <x:c r="K190" s="11" t="str">
        <x:v>Hai vế khác đối tượng: tư pháp có thể chỉ lĩnh vực hoạt động, còn 사법부 chỉ bộ máy/cơ quan thực hiện quyền tư pháp. Chưa gán nhóm chung cho cặp. Nếu giữ nghĩa cơ quan, cần sửa nhãn Việt thành cơ quan tư pháp/nhánh tư pháp sau đối chiếu nguồn. Nghĩa Việt là giải thích làm việc; chưa xác minh định nghĩa trực tiếp.</x:v>
      </x:c>
      <x:c r="L190" s="11" t="str">
        <x:v>S096</x:v>
      </x:c>
      <x:c r="M190" s="11" t="str">
        <x:v>S191</x:v>
      </x:c>
      <x:c r="N190" s="11" t="str">
        <x:v>S191; S096</x:v>
      </x:c>
      <x:c r="O190" s="11" t="str">
        <x:v>Danh sách C99</x:v>
      </x:c>
      <x:c r="P190" s="11" t="str">
        <x:v>Cần đối chiếu/sửa cặp</x:v>
      </x:c>
      <x:c r="Q190" s="11" t="str">
        <x:v>VI: cơ quan tư pháp / nhánh tư pháp — nếu giữ nghĩa tổ chức của 사법부.</x:v>
      </x:c>
    </x:row>
    <x:row r="191" ht="57" customHeight="1">
      <x:c r="A191" s="11" t="str">
        <x:v>C031</x:v>
      </x:c>
      <x:c r="B191" s="11" t="str">
        <x:v>Tổng lãnh sự quán</x:v>
      </x:c>
      <x:c r="C191" s="11" t="str">
        <x:v>총영사관</x:v>
      </x:c>
      <x:c r="D191" s="11" t="str">
        <x:v>N2</x:v>
      </x:c>
      <x:c r="E191" s="11" t="str">
        <x:v>Đã gán theo nghĩa được chọn</x:v>
      </x:c>
      <x:c r="F191" s="11" t="str">
        <x:v>Phù hợp theo nghĩa làm việc</x:v>
      </x:c>
      <x:c r="G191" s="11" t="str">
        <x:v>Giữ làm đơn vị nghiên cứu</x:v>
      </x:c>
      <x:c r="H191" s="11" t="str">
        <x:v>Ngoại giao</x:v>
      </x:c>
      <x:c r="I191" s="11" t="str">
        <x:v>C031</x:v>
      </x:c>
      <x:c r="J191" s="11" t="str"/>
      <x:c r="K191" s="11" t="str">
        <x:v>Tổng lãnh sự quán là cơ quan, không phải nơi đặt trụ sở theo nghĩa địa điểm. Nghĩa Hàn do nghiên cứu diễn đạt từ nguồn EN; không phải định nghĩa từ điển Hàn.</x:v>
      </x:c>
      <x:c r="L191" s="11" t="str">
        <x:v>S192</x:v>
      </x:c>
      <x:c r="M191" s="11" t="str">
        <x:v>S192</x:v>
      </x:c>
      <x:c r="N191" s="11" t="str">
        <x:v>S192</x:v>
      </x:c>
      <x:c r="O191" s="11" t="str">
        <x:v>Danh sách C99</x:v>
      </x:c>
      <x:c r="P191" s="11" t="str">
        <x:v>Ứng viên giữ — có căn cứ khái niệm</x:v>
      </x:c>
      <x:c r="Q191" s="11" t="str"/>
    </x:row>
    <x:row r="192" ht="57" customHeight="1">
      <x:c r="A192" s="11" t="str">
        <x:v>C032</x:v>
      </x:c>
      <x:c r="B192" s="11" t="str">
        <x:v>cơ quan đại diện ngoại giao</x:v>
      </x:c>
      <x:c r="C192" s="11" t="str">
        <x:v>외교공관</x:v>
      </x:c>
      <x:c r="D192" s="11" t="str">
        <x:v>N2</x:v>
      </x:c>
      <x:c r="E192" s="11" t="str">
        <x:v>Đã gán theo nghĩa được chọn</x:v>
      </x:c>
      <x:c r="F192" s="11" t="str">
        <x:v>Phù hợp theo nghĩa làm việc</x:v>
      </x:c>
      <x:c r="G192" s="11" t="str">
        <x:v>Giữ làm đơn vị nghiên cứu</x:v>
      </x:c>
      <x:c r="H192" s="11" t="str">
        <x:v>Ngoại giao</x:v>
      </x:c>
      <x:c r="I192" s="11" t="str">
        <x:v>C032</x:v>
      </x:c>
      <x:c r="J192" s="11" t="str"/>
      <x:c r="K192" s="11" t="str">
        <x:v> Nghĩa Hàn do nghiên cứu diễn đạt từ nguồn EN; không phải định nghĩa từ điển Hàn.</x:v>
      </x:c>
      <x:c r="L192" s="11" t="str">
        <x:v>S178</x:v>
      </x:c>
      <x:c r="M192" s="11" t="str">
        <x:v>S178</x:v>
      </x:c>
      <x:c r="N192" s="11" t="str">
        <x:v>S178</x:v>
      </x:c>
      <x:c r="O192" s="11" t="str">
        <x:v>Danh sách C99</x:v>
      </x:c>
      <x:c r="P192" s="11" t="str">
        <x:v>Ứng viên giữ — có căn cứ khái niệm</x:v>
      </x:c>
      <x:c r="Q192" s="11" t="str"/>
    </x:row>
    <x:row r="193" ht="57" customHeight="1">
      <x:c r="A193" s="11" t="str">
        <x:v>C034</x:v>
      </x:c>
      <x:c r="B193" s="11" t="str">
        <x:v>Phái đoàn thường trực</x:v>
      </x:c>
      <x:c r="C193" s="11" t="str">
        <x:v>상임대표부</x:v>
      </x:c>
      <x:c r="D193" s="11" t="str">
        <x:v>N2</x:v>
      </x:c>
      <x:c r="E193" s="11" t="str">
        <x:v>Đã gán theo nghĩa được chọn</x:v>
      </x:c>
      <x:c r="F193" s="11" t="str">
        <x:v>Phù hợp theo nghĩa làm việc</x:v>
      </x:c>
      <x:c r="G193" s="11" t="str">
        <x:v>Giữ làm đơn vị nghiên cứu</x:v>
      </x:c>
      <x:c r="H193" s="11" t="str">
        <x:v>Ngoại giao</x:v>
      </x:c>
      <x:c r="I193" s="11" t="str">
        <x:v>C034</x:v>
      </x:c>
      <x:c r="J193" s="11" t="str"/>
      <x:c r="K193" s="11" t="str">
        <x:v>Phái đoàn thường trực của quốc gia là cơ quan đại diện quốc gia, thuộc N2.1; không tự là tổ chức quốc tế. Nghĩa Hàn do nghiên cứu diễn đạt từ nguồn EN; không phải định nghĩa từ điển Hàn.</x:v>
      </x:c>
      <x:c r="L193" s="11" t="str">
        <x:v>S193</x:v>
      </x:c>
      <x:c r="M193" s="11" t="str">
        <x:v>S193</x:v>
      </x:c>
      <x:c r="N193" s="11" t="str">
        <x:v>S193</x:v>
      </x:c>
      <x:c r="O193" s="11" t="str">
        <x:v>Danh sách C99</x:v>
      </x:c>
      <x:c r="P193" s="11" t="str">
        <x:v>Ứng viên giữ — có căn cứ khái niệm</x:v>
      </x:c>
      <x:c r="Q193" s="11" t="str"/>
    </x:row>
    <x:row r="194" ht="72" customHeight="1">
      <x:c r="A194" s="11" t="str">
        <x:v>C036</x:v>
      </x:c>
      <x:c r="B194" s="11" t="str">
        <x:v>Đoàn Ngoại giao</x:v>
      </x:c>
      <x:c r="C194" s="11" t="str">
        <x:v>외교단</x:v>
      </x:c>
      <x:c r="D194" s="16" t="str">
        <x:v>N2</x:v>
      </x:c>
      <x:c r="E194" s="16" t="str">
        <x:v>ĐỀ XUẤT — cần khóa nghĩa</x:v>
      </x:c>
      <x:c r="F194" s="16" t="str">
        <x:v>CẦN NGỮ CẢNH đối chiếu</x:v>
      </x:c>
      <x:c r="G194" s="11" t="str">
        <x:v>Giữ làm đơn vị nghiên cứu</x:v>
      </x:c>
      <x:c r="H194" s="11" t="str">
        <x:v>Ngoại giao</x:v>
      </x:c>
      <x:c r="I194" s="11" t="str">
        <x:v>C036</x:v>
      </x:c>
      <x:c r="J194" s="11" t="str"/>
      <x:c r="K194" s="11" t="str">
        <x:v>Là tập thể ngoại giao được nhận diện trong lễ tân; không khẳng định có tư cách pháp nhân riêng. Nguồn Hàn là bằng chứng cách dùng, không là định nghĩa trực tiếp. Nghĩa Việt là giải thích làm việc; chưa xác minh định nghĩa trực tiếp. Nghĩa Hàn là giải thích làm việc; cần kiểm tra nguồn định nghĩa toàn cụm.</x:v>
      </x:c>
      <x:c r="L194" s="11" t="str">
        <x:v>S194</x:v>
      </x:c>
      <x:c r="M194" s="11" t="str">
        <x:v>S194</x:v>
      </x:c>
      <x:c r="N194" s="11" t="str">
        <x:v>S194</x:v>
      </x:c>
      <x:c r="O194" s="11" t="str">
        <x:v>Danh sách C99</x:v>
      </x:c>
      <x:c r="P194" s="11" t="str">
        <x:v>Cần khóa nghĩa để chốt nhóm</x:v>
      </x:c>
      <x:c r="Q194" s="11" t="str"/>
    </x:row>
    <x:row r="195" ht="57" customHeight="1">
      <x:c r="A195" s="11" t="str">
        <x:v>C039</x:v>
      </x:c>
      <x:c r="B195" s="11" t="str">
        <x:v>Tổ chức Thương mại thế giới</x:v>
      </x:c>
      <x:c r="C195" s="11" t="str">
        <x:v>세계무역기구</x:v>
      </x:c>
      <x:c r="D195" s="11" t="str">
        <x:v>N2</x:v>
      </x:c>
      <x:c r="E195" s="11" t="str">
        <x:v>Đã gán theo nghĩa được chọn</x:v>
      </x:c>
      <x:c r="F195" s="11" t="str">
        <x:v>Phù hợp theo nghĩa làm việc</x:v>
      </x:c>
      <x:c r="G195" s="11" t="str">
        <x:v>Giữ làm đơn vị nghiên cứu</x:v>
      </x:c>
      <x:c r="H195" s="11" t="str">
        <x:v>Chính trị và ngoại giao</x:v>
      </x:c>
      <x:c r="I195" s="11" t="str">
        <x:v>C039</x:v>
      </x:c>
      <x:c r="J195" s="11" t="str"/>
      <x:c r="K195" s="11" t="str">
        <x:v> Nghĩa Hàn do nghiên cứu diễn đạt từ nguồn EN; không phải định nghĩa từ điển Hàn.</x:v>
      </x:c>
      <x:c r="L195" s="11" t="str">
        <x:v>S195</x:v>
      </x:c>
      <x:c r="M195" s="11" t="str">
        <x:v>S195</x:v>
      </x:c>
      <x:c r="N195" s="11" t="str">
        <x:v>S195</x:v>
      </x:c>
      <x:c r="O195" s="11" t="str">
        <x:v>Danh sách C99</x:v>
      </x:c>
      <x:c r="P195" s="11" t="str">
        <x:v>Ứng viên giữ — có căn cứ khái niệm</x:v>
      </x:c>
      <x:c r="Q195" s="11" t="str"/>
    </x:row>
    <x:row r="196" ht="57" customHeight="1">
      <x:c r="A196" s="11" t="str">
        <x:v>C040</x:v>
      </x:c>
      <x:c r="B196" s="11" t="str">
        <x:v>Tổ chức Y tế thế giới</x:v>
      </x:c>
      <x:c r="C196" s="11" t="str">
        <x:v>세계보건기구</x:v>
      </x:c>
      <x:c r="D196" s="11" t="str">
        <x:v>N2</x:v>
      </x:c>
      <x:c r="E196" s="11" t="str">
        <x:v>Đã gán theo nghĩa được chọn</x:v>
      </x:c>
      <x:c r="F196" s="11" t="str">
        <x:v>Phù hợp theo nghĩa làm việc</x:v>
      </x:c>
      <x:c r="G196" s="11" t="str">
        <x:v>Giữ làm đơn vị nghiên cứu</x:v>
      </x:c>
      <x:c r="H196" s="11" t="str">
        <x:v>Chính trị và ngoại giao</x:v>
      </x:c>
      <x:c r="I196" s="11" t="str">
        <x:v>C040</x:v>
      </x:c>
      <x:c r="J196" s="11" t="str"/>
      <x:c r="K196" s="11" t="str">
        <x:v> Nghĩa Hàn do nghiên cứu diễn đạt từ nguồn EN; không phải định nghĩa từ điển Hàn.</x:v>
      </x:c>
      <x:c r="L196" s="11" t="str">
        <x:v>S196</x:v>
      </x:c>
      <x:c r="M196" s="11" t="str">
        <x:v>S196</x:v>
      </x:c>
      <x:c r="N196" s="11" t="str">
        <x:v>S196</x:v>
      </x:c>
      <x:c r="O196" s="11" t="str">
        <x:v>Danh sách C99</x:v>
      </x:c>
      <x:c r="P196" s="11" t="str">
        <x:v>Ứng viên giữ — có căn cứ khái niệm</x:v>
      </x:c>
      <x:c r="Q196" s="11" t="str"/>
    </x:row>
    <x:row r="197" ht="57" customHeight="1">
      <x:c r="A197" s="11" t="str">
        <x:v>C044</x:v>
      </x:c>
      <x:c r="B197" s="11" t="str">
        <x:v>Cơ quan quyền lực đáy đại dương</x:v>
      </x:c>
      <x:c r="C197" s="11" t="str">
        <x:v>국제해저기구</x:v>
      </x:c>
      <x:c r="D197" s="11" t="str">
        <x:v>N2</x:v>
      </x:c>
      <x:c r="E197" s="11" t="str">
        <x:v>Đã gán theo nghĩa được chọn</x:v>
      </x:c>
      <x:c r="F197" s="11" t="str">
        <x:v>Phù hợp theo nghĩa làm việc</x:v>
      </x:c>
      <x:c r="G197" s="11" t="str">
        <x:v>Giữ làm đơn vị nghiên cứu</x:v>
      </x:c>
      <x:c r="H197" s="11" t="str">
        <x:v>Chính trị và ngoại giao</x:v>
      </x:c>
      <x:c r="I197" s="11" t="str">
        <x:v>C044</x:v>
      </x:c>
      <x:c r="J197" s="11" t="str"/>
      <x:c r="K197" s="11" t="str">
        <x:v>Giữ tên Việt do người dùng cung cấp; không kết luận thiếu từ quốc tế là lỗi chỉ từ hình thức nhãn. Nghĩa Hàn do nghiên cứu diễn đạt từ nguồn EN; không phải định nghĩa từ điển Hàn.</x:v>
      </x:c>
      <x:c r="L197" s="11" t="str">
        <x:v>S197</x:v>
      </x:c>
      <x:c r="M197" s="11" t="str">
        <x:v>S197</x:v>
      </x:c>
      <x:c r="N197" s="11" t="str">
        <x:v>S197</x:v>
      </x:c>
      <x:c r="O197" s="11" t="str">
        <x:v>Danh sách C99</x:v>
      </x:c>
      <x:c r="P197" s="11" t="str">
        <x:v>Ứng viên giữ — có căn cứ khái niệm</x:v>
      </x:c>
      <x:c r="Q197" s="11" t="str"/>
    </x:row>
    <x:row r="198" ht="57" customHeight="1">
      <x:c r="A198" s="11" t="str">
        <x:v>C047</x:v>
      </x:c>
      <x:c r="B198" s="11" t="str">
        <x:v>Tổ chức Hợp tác Thượng Hải</x:v>
      </x:c>
      <x:c r="C198" s="11" t="str">
        <x:v>상하이협력기구</x:v>
      </x:c>
      <x:c r="D198" s="11" t="str">
        <x:v>N2</x:v>
      </x:c>
      <x:c r="E198" s="11" t="str">
        <x:v>Đã gán theo nghĩa được chọn</x:v>
      </x:c>
      <x:c r="F198" s="11" t="str">
        <x:v>Phù hợp theo nghĩa làm việc</x:v>
      </x:c>
      <x:c r="G198" s="11" t="str">
        <x:v>Giữ làm đơn vị nghiên cứu</x:v>
      </x:c>
      <x:c r="H198" s="11" t="str">
        <x:v>Chính trị và ngoại giao</x:v>
      </x:c>
      <x:c r="I198" s="11" t="str">
        <x:v>C047</x:v>
      </x:c>
      <x:c r="J198" s="11" t="str"/>
      <x:c r="K198" s="11" t="str">
        <x:v> Nghĩa Hàn do nghiên cứu diễn đạt từ nguồn EN; không phải định nghĩa từ điển Hàn.</x:v>
      </x:c>
      <x:c r="L198" s="11" t="str">
        <x:v>S198</x:v>
      </x:c>
      <x:c r="M198" s="11" t="str">
        <x:v>S198</x:v>
      </x:c>
      <x:c r="N198" s="11" t="str">
        <x:v>S198</x:v>
      </x:c>
      <x:c r="O198" s="11" t="str">
        <x:v>Danh sách C99</x:v>
      </x:c>
      <x:c r="P198" s="11" t="str">
        <x:v>Ứng viên giữ — có căn cứ khái niệm</x:v>
      </x:c>
      <x:c r="Q198" s="11" t="str"/>
    </x:row>
    <x:row r="199" ht="57" customHeight="1">
      <x:c r="A199" s="11" t="str">
        <x:v>C048</x:v>
      </x:c>
      <x:c r="B199" s="11" t="str">
        <x:v>Nghị viện châu Âu</x:v>
      </x:c>
      <x:c r="C199" s="11" t="str">
        <x:v>유럽의회</x:v>
      </x:c>
      <x:c r="D199" s="11" t="str">
        <x:v>N2</x:v>
      </x:c>
      <x:c r="E199" s="11" t="str">
        <x:v>Đã gán theo nghĩa được chọn</x:v>
      </x:c>
      <x:c r="F199" s="11" t="str">
        <x:v>Phù hợp theo nghĩa làm việc</x:v>
      </x:c>
      <x:c r="G199" s="11" t="str">
        <x:v>Giữ làm đơn vị nghiên cứu</x:v>
      </x:c>
      <x:c r="H199" s="11" t="str">
        <x:v>Chính trị và ngoại giao</x:v>
      </x:c>
      <x:c r="I199" s="11" t="str">
        <x:v>C048</x:v>
      </x:c>
      <x:c r="J199" s="11" t="str"/>
      <x:c r="K199" s="11" t="str">
        <x:v>Là cơ quan thuộc EU; tiểu loại N2.3 bao gồm cơ quan của tổ chức quốc tế, không đồng nhất với một tổ chức độc lập. Nghĩa Hàn do nghiên cứu diễn đạt từ nguồn EN; không phải định nghĩa từ điển Hàn.</x:v>
      </x:c>
      <x:c r="L199" s="11" t="str">
        <x:v>S199</x:v>
      </x:c>
      <x:c r="M199" s="11" t="str">
        <x:v>S199</x:v>
      </x:c>
      <x:c r="N199" s="11" t="str">
        <x:v>S199</x:v>
      </x:c>
      <x:c r="O199" s="11" t="str">
        <x:v>Danh sách C99</x:v>
      </x:c>
      <x:c r="P199" s="11" t="str">
        <x:v>Ứng viên giữ — có căn cứ khái niệm</x:v>
      </x:c>
      <x:c r="Q199" s="11" t="str"/>
    </x:row>
    <x:row r="200" ht="57" customHeight="1">
      <x:c r="A200" s="11" t="str">
        <x:v>C049</x:v>
      </x:c>
      <x:c r="B200" s="11" t="str">
        <x:v>Chương trình phát triển Liên hợp quốc</x:v>
      </x:c>
      <x:c r="C200" s="11" t="str">
        <x:v>유엔개발계획</x:v>
      </x:c>
      <x:c r="D200" s="11" t="str">
        <x:v>N2</x:v>
      </x:c>
      <x:c r="E200" s="11" t="str">
        <x:v>Đã gán theo nghĩa được chọn</x:v>
      </x:c>
      <x:c r="F200" s="11" t="str">
        <x:v>Phù hợp theo nghĩa làm việc</x:v>
      </x:c>
      <x:c r="G200" s="11" t="str">
        <x:v>Giữ làm đơn vị nghiên cứu</x:v>
      </x:c>
      <x:c r="H200" s="11" t="str">
        <x:v>Chính trị và ngoại giao</x:v>
      </x:c>
      <x:c r="I200" s="11" t="str">
        <x:v>C049</x:v>
      </x:c>
      <x:c r="J200" s="11" t="str"/>
      <x:c r="K200" s="11" t="str">
        <x:v>Toàn tên gọi chỉ UNDP với tư cách tổ chức. Không phân loại theo riêng từ Chương trình/계획. Nghĩa Hàn do nghiên cứu diễn đạt từ nguồn EN; không phải định nghĩa từ điển Hàn.</x:v>
      </x:c>
      <x:c r="L200" s="11" t="str">
        <x:v>S200</x:v>
      </x:c>
      <x:c r="M200" s="11" t="str">
        <x:v>S200</x:v>
      </x:c>
      <x:c r="N200" s="11" t="str">
        <x:v>S200</x:v>
      </x:c>
      <x:c r="O200" s="11" t="str">
        <x:v>Danh sách C99</x:v>
      </x:c>
      <x:c r="P200" s="11" t="str">
        <x:v>Ứng viên giữ — có căn cứ khái niệm</x:v>
      </x:c>
      <x:c r="Q200" s="11" t="str"/>
    </x:row>
    <x:row r="201" ht="102" customHeight="1">
      <x:c r="A201" s="11" t="str">
        <x:v>C056</x:v>
      </x:c>
      <x:c r="B201" s="11" t="str">
        <x:v>cơ quan lập pháp</x:v>
      </x:c>
      <x:c r="C201" s="11" t="str">
        <x:v>입법기관</x:v>
      </x:c>
      <x:c r="D201" s="11" t="str">
        <x:v>N2</x:v>
      </x:c>
      <x:c r="E201" s="11" t="str">
        <x:v>Đã gán theo nghĩa được chọn</x:v>
      </x:c>
      <x:c r="F201" s="11" t="str">
        <x:v>Phù hợp theo nghĩa làm việc</x:v>
      </x:c>
      <x:c r="G201" s="11" t="str">
        <x:v>Giữ làm đơn vị nghiên cứu</x:v>
      </x:c>
      <x:c r="H201" s="11" t="str">
        <x:v>Chính trị</x:v>
      </x:c>
      <x:c r="I201" s="11" t="str">
        <x:v>C056</x:v>
      </x:c>
      <x:c r="J201" s="11" t="str"/>
      <x:c r="K201" s="11" t="str">
        <x:v>Đã đọc định nghĩa rõ ràng của toàn cụm 입법기관 trong tài liệu chính thức của Thư viện Quốc gia Hàn Quốc, chú thích 17, trang PDF 28. Chú thích ghi nguồn là 표준국어대사전 của 국립국어원, nhưng chưa mở được mục từ từ điển gốc; vì thế trạng thái tra trực tiếp vẫn needs_check. Nghĩa Hàn là diễn đạt lại định nghĩa tiếng Hàn đã đọc, nghĩa Việt là bản diễn đạt của nghiên cứu. Không áp dụng quy tắc biên mục riêng của tài liệu về phạm vi cơ quan vào định nghĩa phổ quát.</x:v>
      </x:c>
      <x:c r="L201" s="11" t="str">
        <x:v>S201</x:v>
      </x:c>
      <x:c r="M201" s="11" t="str">
        <x:v>S201</x:v>
      </x:c>
      <x:c r="N201" s="11" t="str">
        <x:v>S201</x:v>
      </x:c>
      <x:c r="O201" s="11" t="str">
        <x:v>Danh sách C99</x:v>
      </x:c>
      <x:c r="P201" s="11" t="str">
        <x:v>Ứng viên giữ — có căn cứ khái niệm</x:v>
      </x:c>
      <x:c r="Q201" s="11" t="str"/>
    </x:row>
    <x:row r="202" ht="87" customHeight="1">
      <x:c r="A202" s="11" t="str">
        <x:v>C057</x:v>
      </x:c>
      <x:c r="B202" s="11" t="str">
        <x:v>tổ chức khu vực</x:v>
      </x:c>
      <x:c r="C202" s="11" t="str">
        <x:v>지역기구</x:v>
      </x:c>
      <x:c r="D202" s="16" t="str">
        <x:v>N2</x:v>
      </x:c>
      <x:c r="E202" s="16" t="str">
        <x:v>ĐỀ XUẤT — cần khóa nghĩa</x:v>
      </x:c>
      <x:c r="F202" s="16" t="str">
        <x:v>CẦN NGỮ CẢNH đối chiếu</x:v>
      </x:c>
      <x:c r="G202" s="11" t="str">
        <x:v>Giữ làm đơn vị nghiên cứu</x:v>
      </x:c>
      <x:c r="H202" s="11" t="str">
        <x:v>Ngoại giao</x:v>
      </x:c>
      <x:c r="I202" s="11" t="str">
        <x:v>C057</x:v>
      </x:c>
      <x:c r="J202" s="11" t="str"/>
      <x:c r="K202" s="11" t="str">
        <x:v>Bộ Ngoại giao Hàn Quốc dùng toàn cụm 지역기구 trong mảng tổ chức quốc tế và hợp tác khu vực, nhưng thông báo không đưa ra định nghĩa tổng quát. Hai định nghĩa hiện là nghĩa làm việc giới hạn vào tổ chức quốc tế khu vực; cần corpus để phân biệt với tổ chức địa phương trong một quốc gia hoặc cơ chế hợp tác chưa có chủ thể tổ chức. Chưa xác minh mục từ từ điển toàn cụm.</x:v>
      </x:c>
      <x:c r="L202" s="11" t="str">
        <x:v>S202</x:v>
      </x:c>
      <x:c r="M202" s="11" t="str">
        <x:v>S202</x:v>
      </x:c>
      <x:c r="N202" s="11" t="str">
        <x:v>S202</x:v>
      </x:c>
      <x:c r="O202" s="11" t="str">
        <x:v>Danh sách C99</x:v>
      </x:c>
      <x:c r="P202" s="11" t="str">
        <x:v>Cần khóa nghĩa để chốt nhóm</x:v>
      </x:c>
      <x:c r="Q202" s="11" t="str"/>
    </x:row>
    <x:row r="203" ht="72" customHeight="1">
      <x:c r="A203" s="11" t="str">
        <x:v>C059</x:v>
      </x:c>
      <x:c r="B203" s="11" t="str">
        <x:v>Hội đồng Hòa bình về Gaza</x:v>
      </x:c>
      <x:c r="C203" s="11" t="str">
        <x:v>가자 평화위원회</x:v>
      </x:c>
      <x:c r="D203" s="16" t="str">
        <x:v>N2</x:v>
      </x:c>
      <x:c r="E203" s="16" t="str">
        <x:v>ĐỀ XUẤT — cần khóa nghĩa</x:v>
      </x:c>
      <x:c r="F203" s="16" t="str">
        <x:v>CẦN NGỮ CẢNH đối chiếu</x:v>
      </x:c>
      <x:c r="G203" s="11" t="str">
        <x:v>Cần xem xét tư cách/phạm vi</x:v>
      </x:c>
      <x:c r="H203" s="11" t="str">
        <x:v>Ngoại giao</x:v>
      </x:c>
      <x:c r="I203" s="11" t="str">
        <x:v>C059</x:v>
      </x:c>
      <x:c r="J203" s="11" t="str"/>
      <x:c r="K203" s="11" t="str">
        <x:v>Đã có nguồn Board of Peace năm2026, nhưng chưa xác nhận toàn cặp tên Việt–Hàn người dùng cung cấp cùng quy chiếu. Không gọi là cơ quan Liên hợp quốc chỉ vì báo cáo đăng trên un.org. Giữ nhóm tổ chức ở mức đề xuất có điều kiện. Nghĩa Hàn do nghiên cứu diễn đạt từ nguồn EN; không phải định nghĩa từ điển Hàn.</x:v>
      </x:c>
      <x:c r="L203" s="11" t="str">
        <x:v>S203</x:v>
      </x:c>
      <x:c r="M203" s="11" t="str">
        <x:v>S203</x:v>
      </x:c>
      <x:c r="N203" s="11" t="str">
        <x:v>S203</x:v>
      </x:c>
      <x:c r="O203" s="11" t="str">
        <x:v>Danh sách C99</x:v>
      </x:c>
      <x:c r="P203" s="11" t="str">
        <x:v>Cần khóa nghĩa để chốt nhóm</x:v>
      </x:c>
      <x:c r="Q203" s="11" t="str"/>
    </x:row>
    <x:row r="204" ht="87" customHeight="1">
      <x:c r="A204" s="11" t="str">
        <x:v>C060</x:v>
      </x:c>
      <x:c r="B204" s="11" t="str">
        <x:v>không can thiệp vào công việc nội bộ của mỗi quốc gia</x:v>
      </x:c>
      <x:c r="C204" s="11" t="str">
        <x:v>내정 불간섭</x:v>
      </x:c>
      <x:c r="D204" s="11" t="str">
        <x:v>N3</x:v>
      </x:c>
      <x:c r="E204" s="11" t="str">
        <x:v>Đã gán theo nghĩa được chọn</x:v>
      </x:c>
      <x:c r="F204" s="11" t="str">
        <x:v>Phù hợp theo nghĩa làm việc</x:v>
      </x:c>
      <x:c r="G204" s="11" t="str">
        <x:v>Giữ làm đơn vị nghiên cứu</x:v>
      </x:c>
      <x:c r="H204" s="11" t="str">
        <x:v>Ngoại giao</x:v>
      </x:c>
      <x:c r="I204" s="11" t="str">
        <x:v>C060</x:v>
      </x:c>
      <x:c r="J204" s="11" t="str"/>
      <x:c r="K204" s="11" t="str">
        <x:v>Có thể chuẩn hóa nhãn tra cứu thành nguyên tắc không can thiệp vào công việc nội bộ; vẫn lưu nguyên dạng người dùng. Nhóm N3 theo nghĩa nguyên tắc. Nghĩa Việt được diễn giải từ nguồn en; chưa phải mục từ giải nghĩa bằng tiếng Việt đã xác nhận. Nghĩa Hàn được diễn giải từ nguồn en; chưa phải mục từ giải nghĩa bằng tiếng Hàn đã xác nhận.</x:v>
      </x:c>
      <x:c r="L204" s="11" t="str">
        <x:v>S204</x:v>
      </x:c>
      <x:c r="M204" s="11" t="str">
        <x:v>S204</x:v>
      </x:c>
      <x:c r="N204" s="11" t="str">
        <x:v>S204</x:v>
      </x:c>
      <x:c r="O204" s="11" t="str">
        <x:v>Danh sách C99</x:v>
      </x:c>
      <x:c r="P204" s="11" t="str">
        <x:v>Ứng viên giữ — có căn cứ khái niệm</x:v>
      </x:c>
      <x:c r="Q204" s="11" t="str"/>
    </x:row>
    <x:row r="205" ht="57" customHeight="1">
      <x:c r="A205" s="11" t="str">
        <x:v>C061</x:v>
      </x:c>
      <x:c r="B205" s="11" t="str">
        <x:v>bình đẳng chủ quyền</x:v>
      </x:c>
      <x:c r="C205" s="11" t="str">
        <x:v>주권 평등</x:v>
      </x:c>
      <x:c r="D205" s="11" t="str">
        <x:v>N3</x:v>
      </x:c>
      <x:c r="E205" s="11" t="str">
        <x:v>Đã gán theo nghĩa được chọn</x:v>
      </x:c>
      <x:c r="F205" s="11" t="str">
        <x:v>Phù hợp theo nghĩa làm việc</x:v>
      </x:c>
      <x:c r="G205" s="11" t="str">
        <x:v>Giữ làm đơn vị nghiên cứu</x:v>
      </x:c>
      <x:c r="H205" s="11" t="str">
        <x:v>Ngoại giao</x:v>
      </x:c>
      <x:c r="I205" s="11" t="str">
        <x:v>C061</x:v>
      </x:c>
      <x:c r="J205" s="11" t="str"/>
      <x:c r="K205" s="11" t="str">
        <x:v> Nghĩa Việt được diễn giải từ nguồn en; chưa phải mục từ giải nghĩa bằng tiếng Việt đã xác nhận. Nghĩa Hàn được diễn giải từ nguồn en; chưa phải mục từ giải nghĩa bằng tiếng Hàn đã xác nhận.</x:v>
      </x:c>
      <x:c r="L205" s="11" t="str">
        <x:v>S205</x:v>
      </x:c>
      <x:c r="M205" s="11" t="str">
        <x:v>S205</x:v>
      </x:c>
      <x:c r="N205" s="11" t="str">
        <x:v>S205</x:v>
      </x:c>
      <x:c r="O205" s="11" t="str">
        <x:v>Danh sách C99</x:v>
      </x:c>
      <x:c r="P205" s="11" t="str">
        <x:v>Ứng viên giữ — có căn cứ khái niệm</x:v>
      </x:c>
      <x:c r="Q205" s="11" t="str"/>
    </x:row>
    <x:row r="206" ht="57" customHeight="1">
      <x:c r="A206" s="11" t="str">
        <x:v>C063</x:v>
      </x:c>
      <x:c r="B206" s="11" t="str">
        <x:v>quyền tài phán</x:v>
      </x:c>
      <x:c r="C206" s="11" t="str">
        <x:v>관할권</x:v>
      </x:c>
      <x:c r="D206" s="11" t="str">
        <x:v>N3</x:v>
      </x:c>
      <x:c r="E206" s="11" t="str">
        <x:v>Đã gán theo nghĩa được chọn</x:v>
      </x:c>
      <x:c r="F206" s="19" t="str">
        <x:v>CẦN ĐỐI CHIẾU — khác phạm vi</x:v>
      </x:c>
      <x:c r="G206" s="11" t="str">
        <x:v>Giữ làm đơn vị nghiên cứu</x:v>
      </x:c>
      <x:c r="H206" s="11" t="str">
        <x:v>Chính trị và ngoại giao</x:v>
      </x:c>
      <x:c r="I206" s="11" t="str">
        <x:v>C063</x:v>
      </x:c>
      <x:c r="J206" s="11" t="str"/>
      <x:c r="K206" s="11" t="str">
        <x:v>Định nghĩa từ điển 관할권 hẹp về quyền của tòa án. Nhãn Việt quyền tài phán trong luật biển/quốc tế có thể rộng hơn; cần câu nguồn trước khi xác nhận cặp. Định nghĩa Việt là giải thích làm việc; CHƯA xác minh nguồn định nghĩa trực tiếp.</x:v>
      </x:c>
      <x:c r="L206" s="11" t="str"/>
      <x:c r="M206" s="11" t="str">
        <x:v>S206</x:v>
      </x:c>
      <x:c r="N206" s="11" t="str">
        <x:v>S206</x:v>
      </x:c>
      <x:c r="O206" s="11" t="str">
        <x:v>Danh sách C99</x:v>
      </x:c>
      <x:c r="P206" s="11" t="str">
        <x:v>Cần đối chiếu/sửa cặp</x:v>
      </x:c>
      <x:c r="Q206" s="11" t="str"/>
    </x:row>
    <x:row r="207" ht="72" customHeight="1">
      <x:c r="A207" s="11" t="str">
        <x:v>C064</x:v>
      </x:c>
      <x:c r="B207" s="11" t="str">
        <x:v>tự do hàng hải</x:v>
      </x:c>
      <x:c r="C207" s="11" t="str">
        <x:v>항행의 자유</x:v>
      </x:c>
      <x:c r="D207" s="11" t="str">
        <x:v>N3</x:v>
      </x:c>
      <x:c r="E207" s="11" t="str">
        <x:v>Đã gán theo nghĩa được chọn</x:v>
      </x:c>
      <x:c r="F207" s="11" t="str">
        <x:v>Phù hợp theo nghĩa làm việc</x:v>
      </x:c>
      <x:c r="G207" s="11" t="str">
        <x:v>Giữ làm đơn vị nghiên cứu</x:v>
      </x:c>
      <x:c r="H207" s="11" t="str">
        <x:v>Ngoại giao</x:v>
      </x:c>
      <x:c r="I207" s="11" t="str">
        <x:v>C064</x:v>
      </x:c>
      <x:c r="J207" s="11" t="str"/>
      <x:c r="K207" s="11" t="str">
        <x:v>Không đồng nhất tự do hàng hải với quyền đi qua không gây hại hoặc quyền quá cảnh; điều kiện pháp lý phụ thuộc vùng biển. Nghĩa Việt được diễn giải từ nguồn en; chưa phải mục từ giải nghĩa bằng tiếng Việt đã xác nhận. Nghĩa Hàn được diễn giải từ nguồn en; chưa phải mục từ giải nghĩa bằng tiếng Hàn đã xác nhận.</x:v>
      </x:c>
      <x:c r="L207" s="11" t="str">
        <x:v>S207</x:v>
      </x:c>
      <x:c r="M207" s="11" t="str">
        <x:v>S207</x:v>
      </x:c>
      <x:c r="N207" s="11" t="str">
        <x:v>S207</x:v>
      </x:c>
      <x:c r="O207" s="11" t="str">
        <x:v>Danh sách C99</x:v>
      </x:c>
      <x:c r="P207" s="11" t="str">
        <x:v>Ứng viên giữ — có căn cứ khái niệm</x:v>
      </x:c>
      <x:c r="Q207" s="11" t="str"/>
    </x:row>
    <x:row r="208" ht="72" customHeight="1">
      <x:c r="A208" s="11" t="str">
        <x:v>C067</x:v>
      </x:c>
      <x:c r="B208" s="11" t="str">
        <x:v>giải quyết tranh chấp bằng biện pháp hòa bình</x:v>
      </x:c>
      <x:c r="C208" s="11" t="str">
        <x:v>분쟁의 평화적 해결</x:v>
      </x:c>
      <x:c r="D208" s="16" t="str">
        <x:v>N3</x:v>
      </x:c>
      <x:c r="E208" s="16" t="str">
        <x:v>ĐỀ XUẤT — cần khóa nghĩa</x:v>
      </x:c>
      <x:c r="F208" s="16" t="str">
        <x:v>CẦN NGỮ CẢNH đối chiếu</x:v>
      </x:c>
      <x:c r="G208" s="11" t="str">
        <x:v>Giữ làm đơn vị nghiên cứu</x:v>
      </x:c>
      <x:c r="H208" s="11" t="str">
        <x:v>Ngoại giao</x:v>
      </x:c>
      <x:c r="I208" s="11" t="str">
        <x:v>C067</x:v>
      </x:c>
      <x:c r="J208" s="11" t="str"/>
      <x:c r="K208" s="11" t="str">
        <x:v>N3.4 là đề xuất cũ chỉ khi chọn nguyên tắc; nếu quá trình giải quyết thì N4.2. Chưa đủ câu nguồn để gọi đây là phân loại chắc chắn. Nghĩa Việt được diễn giải từ nguồn en; chưa phải mục từ giải nghĩa bằng tiếng Việt đã xác nhận. Nghĩa Hàn được diễn giải từ nguồn en; chưa phải mục từ giải nghĩa bằng tiếng Hàn đã xác nhận.</x:v>
      </x:c>
      <x:c r="L208" s="11" t="str">
        <x:v>S205</x:v>
      </x:c>
      <x:c r="M208" s="11" t="str">
        <x:v>S205</x:v>
      </x:c>
      <x:c r="N208" s="11" t="str">
        <x:v>S205</x:v>
      </x:c>
      <x:c r="O208" s="11" t="str">
        <x:v>Danh sách C99</x:v>
      </x:c>
      <x:c r="P208" s="11" t="str">
        <x:v>Cần khóa nghĩa để chốt nhóm</x:v>
      </x:c>
      <x:c r="Q208" s="11" t="str"/>
    </x:row>
    <x:row r="209" ht="87" customHeight="1">
      <x:c r="A209" s="11" t="str">
        <x:v>C068</x:v>
      </x:c>
      <x:c r="B209" s="11" t="str">
        <x:v>an ninh phi truyền thống</x:v>
      </x:c>
      <x:c r="C209" s="11" t="str">
        <x:v>비전통 안보</x:v>
      </x:c>
      <x:c r="D209" s="16" t="str">
        <x:v>Cần xem xét</x:v>
      </x:c>
      <x:c r="E209" s="16" t="str">
        <x:v>CHƯA GÁN — cần khóa nghĩa</x:v>
      </x:c>
      <x:c r="F209" s="16" t="str">
        <x:v>CẦN NGỮ CẢNH đối chiếu</x:v>
      </x:c>
      <x:c r="G209" s="11" t="str">
        <x:v>Giữ làm đơn vị nghiên cứu</x:v>
      </x:c>
      <x:c r="H209" s="11" t="str">
        <x:v>Chính trị và ngoại giao</x:v>
      </x:c>
      <x:c r="I209" s="11" t="str">
        <x:v>C068</x:v>
      </x:c>
      <x:c r="J209" s="11" t="str"/>
      <x:c r="K209" s="11" t="str">
        <x:v>Nguồn RSIS định nghĩa NTS issues, không định nghĩa duy nhất cho mọi cách dùng an ninh phi truyền thống. Nghĩa trạng thái/vấn đề chưa có nhóm nhận rõ. Nghĩa Việt được diễn giải từ nguồn en; chưa phải mục từ giải nghĩa bằng tiếng Việt đã xác nhận. Nghĩa Hàn được diễn giải từ nguồn en; chưa phải mục từ giải nghĩa bằng tiếng Hàn đã xác nhận.</x:v>
      </x:c>
      <x:c r="L209" s="11" t="str">
        <x:v>S208</x:v>
      </x:c>
      <x:c r="M209" s="11" t="str">
        <x:v>S208</x:v>
      </x:c>
      <x:c r="N209" s="11" t="str">
        <x:v>S208</x:v>
      </x:c>
      <x:c r="O209" s="11" t="str">
        <x:v>Danh sách C99</x:v>
      </x:c>
      <x:c r="P209" s="11" t="str">
        <x:v>Chưa chốt nhóm</x:v>
      </x:c>
      <x:c r="Q209" s="11" t="str"/>
    </x:row>
    <x:row r="210" ht="72" customHeight="1">
      <x:c r="A210" s="11" t="str">
        <x:v>C069</x:v>
      </x:c>
      <x:c r="B210" s="11" t="str">
        <x:v>an ninh hàng hải</x:v>
      </x:c>
      <x:c r="C210" s="11" t="str">
        <x:v>해양 안보</x:v>
      </x:c>
      <x:c r="D210" s="16" t="str">
        <x:v>Cần xem xét</x:v>
      </x:c>
      <x:c r="E210" s="16" t="str">
        <x:v>CHƯA GÁN — cần khóa nghĩa</x:v>
      </x:c>
      <x:c r="F210" s="19" t="str">
        <x:v>CẦN ĐỐI CHIẾU — khác phạm vi</x:v>
      </x:c>
      <x:c r="G210" s="11" t="str">
        <x:v>Giữ làm đơn vị nghiên cứu</x:v>
      </x:c>
      <x:c r="H210" s="11" t="str">
        <x:v>Chính trị và ngoại giao</x:v>
      </x:c>
      <x:c r="I210" s="11" t="str">
        <x:v>C069</x:v>
      </x:c>
      <x:c r="J210" s="11" t="str"/>
      <x:c r="K210" s="11" t="str">
        <x:v>IMO chỉ hỗ trợ phạm vi bảo vệ tàu/cảng; 해양 안보 có thể rộng đến an ninh biển. Không tự đồng nhất maritime safety với maritime security. Nghĩa Việt được diễn giải từ nguồn en; chưa phải mục từ giải nghĩa bằng tiếng Việt đã xác nhận. Nghĩa Hàn được diễn giải từ nguồn en; chưa phải mục từ giải nghĩa bằng tiếng Hàn đã xác nhận.</x:v>
      </x:c>
      <x:c r="L210" s="11" t="str">
        <x:v>S209</x:v>
      </x:c>
      <x:c r="M210" s="11" t="str">
        <x:v>S209</x:v>
      </x:c>
      <x:c r="N210" s="11" t="str">
        <x:v>S209</x:v>
      </x:c>
      <x:c r="O210" s="11" t="str">
        <x:v>Danh sách C99</x:v>
      </x:c>
      <x:c r="P210" s="11" t="str">
        <x:v>Cần đối chiếu/sửa cặp</x:v>
      </x:c>
      <x:c r="Q210" s="11" t="str"/>
    </x:row>
    <x:row r="211" ht="72" customHeight="1">
      <x:c r="A211" s="11" t="str">
        <x:v>C070</x:v>
      </x:c>
      <x:c r="B211" s="11" t="str">
        <x:v>an ninh lương thực</x:v>
      </x:c>
      <x:c r="C211" s="11" t="str">
        <x:v>식량안보</x:v>
      </x:c>
      <x:c r="D211" s="16" t="str">
        <x:v>Cần xem xét</x:v>
      </x:c>
      <x:c r="E211" s="16" t="str">
        <x:v>NGOÀI PHẠM VI 5 NHÓM</x:v>
      </x:c>
      <x:c r="F211" s="11" t="str">
        <x:v>Phù hợp theo nghĩa làm việc</x:v>
      </x:c>
      <x:c r="G211" s="11" t="str">
        <x:v>Giữ làm đơn vị nghiên cứu</x:v>
      </x:c>
      <x:c r="H211" s="11" t="str">
        <x:v>Chính trị và ngoại giao</x:v>
      </x:c>
      <x:c r="I211" s="11" t="str">
        <x:v>C070</x:v>
      </x:c>
      <x:c r="J211" s="11" t="str"/>
      <x:c r="K211" s="11" t="str">
        <x:v>Định nghĩa trạng thái cho thấy thiếu độ bao phủ của khung; không đổi thành chính sách bảo đảm an ninh lương thực. Nghĩa Việt được diễn giải từ nguồn en; chưa phải mục từ giải nghĩa bằng tiếng Việt đã xác nhận. Nghĩa Hàn được diễn giải từ nguồn en; chưa phải mục từ giải nghĩa bằng tiếng Hàn đã xác nhận.</x:v>
      </x:c>
      <x:c r="L211" s="11" t="str">
        <x:v>S210</x:v>
      </x:c>
      <x:c r="M211" s="11" t="str">
        <x:v>S210</x:v>
      </x:c>
      <x:c r="N211" s="11" t="str">
        <x:v>S210</x:v>
      </x:c>
      <x:c r="O211" s="11" t="str">
        <x:v>Danh sách C99</x:v>
      </x:c>
      <x:c r="P211" s="11" t="str">
        <x:v>Chưa chốt nhóm</x:v>
      </x:c>
      <x:c r="Q211" s="11" t="str"/>
    </x:row>
    <x:row r="212" ht="72" customHeight="1">
      <x:c r="A212" s="11" t="str">
        <x:v>C071</x:v>
      </x:c>
      <x:c r="B212" s="11" t="str">
        <x:v>an ninh kinh tế</x:v>
      </x:c>
      <x:c r="C212" s="11" t="str">
        <x:v>경제안보</x:v>
      </x:c>
      <x:c r="D212" s="16" t="str">
        <x:v>Cần xem xét</x:v>
      </x:c>
      <x:c r="E212" s="16" t="str">
        <x:v>NGOÀI PHẠM VI 5 NHÓM</x:v>
      </x:c>
      <x:c r="F212" s="16" t="str">
        <x:v>CẦN NGỮ CẢNH đối chiếu</x:v>
      </x:c>
      <x:c r="G212" s="11" t="str">
        <x:v>Giữ làm đơn vị nghiên cứu</x:v>
      </x:c>
      <x:c r="H212" s="11" t="str">
        <x:v>Chính trị và ngoại giao</x:v>
      </x:c>
      <x:c r="I212" s="11" t="str">
        <x:v>C071</x:v>
      </x:c>
      <x:c r="J212" s="11" t="str"/>
      <x:c r="K212" s="11" t="str">
        <x:v>Định nghĩa được kiểm tra là bản luật Hàn hiệu lực 02/01/2026, phạm vi chuỗi cung ứng. Không khẳng định định nghĩa mọi nguồn Việt hoặc mọi văn cảnh Hàn giống hệt. Nghĩa Việt được diễn giải từ nguồn ko; chưa phải mục từ giải nghĩa bằng tiếng Việt đã xác nhận.</x:v>
      </x:c>
      <x:c r="L212" s="11" t="str">
        <x:v>S211</x:v>
      </x:c>
      <x:c r="M212" s="11" t="str">
        <x:v>S211</x:v>
      </x:c>
      <x:c r="N212" s="11" t="str">
        <x:v>S211</x:v>
      </x:c>
      <x:c r="O212" s="11" t="str">
        <x:v>Danh sách C99</x:v>
      </x:c>
      <x:c r="P212" s="11" t="str">
        <x:v>Chưa chốt nhóm</x:v>
      </x:c>
      <x:c r="Q212" s="11" t="str"/>
    </x:row>
    <x:row r="213" ht="72" customHeight="1">
      <x:c r="A213" s="11" t="str">
        <x:v>C072</x:v>
      </x:c>
      <x:c r="B213" s="11" t="str">
        <x:v>an ninh năng lượng</x:v>
      </x:c>
      <x:c r="C213" s="11" t="str">
        <x:v>에너지 안보</x:v>
      </x:c>
      <x:c r="D213" s="16" t="str">
        <x:v>Cần xem xét</x:v>
      </x:c>
      <x:c r="E213" s="16" t="str">
        <x:v>NGOÀI PHẠM VI 5 NHÓM</x:v>
      </x:c>
      <x:c r="F213" s="11" t="str">
        <x:v>Phù hợp theo nghĩa làm việc</x:v>
      </x:c>
      <x:c r="G213" s="11" t="str">
        <x:v>Giữ làm đơn vị nghiên cứu</x:v>
      </x:c>
      <x:c r="H213" s="11" t="str">
        <x:v>Chính trị và ngoại giao</x:v>
      </x:c>
      <x:c r="I213" s="11" t="str">
        <x:v>C072</x:v>
      </x:c>
      <x:c r="J213" s="11" t="str"/>
      <x:c r="K213" s="11" t="str">
        <x:v>Định nghĩa theo IEA; thuật ngữ có thể được dùng như lĩnh vực thực hành trong câu khác. Giữ phân biệt trạng thái với hoạt động bảo đảm. Nghĩa Việt được diễn giải từ nguồn en; chưa phải mục từ giải nghĩa bằng tiếng Việt đã xác nhận. Nghĩa Hàn được diễn giải từ nguồn en; chưa phải mục từ giải nghĩa bằng tiếng Hàn đã xác nhận.</x:v>
      </x:c>
      <x:c r="L213" s="11" t="str">
        <x:v>S212</x:v>
      </x:c>
      <x:c r="M213" s="11" t="str">
        <x:v>S212</x:v>
      </x:c>
      <x:c r="N213" s="11" t="str">
        <x:v>S212</x:v>
      </x:c>
      <x:c r="O213" s="11" t="str">
        <x:v>Danh sách C99</x:v>
      </x:c>
      <x:c r="P213" s="11" t="str">
        <x:v>Chưa chốt nhóm</x:v>
      </x:c>
      <x:c r="Q213" s="11" t="str"/>
    </x:row>
    <x:row r="214" ht="72" customHeight="1">
      <x:c r="A214" s="11" t="str">
        <x:v>C073</x:v>
      </x:c>
      <x:c r="B214" s="11" t="str">
        <x:v>an ninh mạng</x:v>
      </x:c>
      <x:c r="C214" s="11" t="str">
        <x:v>사이버 안보</x:v>
      </x:c>
      <x:c r="D214" s="16" t="str">
        <x:v>Cần xem xét</x:v>
      </x:c>
      <x:c r="E214" s="16" t="str">
        <x:v>NGOÀI PHẠM VI 5 NHÓM</x:v>
      </x:c>
      <x:c r="F214" s="16" t="str">
        <x:v>CẦN NGỮ CẢNH đối chiếu</x:v>
      </x:c>
      <x:c r="G214" s="11" t="str">
        <x:v>Giữ làm đơn vị nghiên cứu</x:v>
      </x:c>
      <x:c r="H214" s="11" t="str">
        <x:v>Chính trị và ngoại giao</x:v>
      </x:c>
      <x:c r="I214" s="11" t="str">
        <x:v>C073</x:v>
      </x:c>
      <x:c r="J214" s="11" t="str"/>
      <x:c r="K214" s="11" t="str">
        <x:v>Luật 2025 được nguồn Chính phủ nêu có hiệu lực 01/07/2026; định nghĩa bao gồm trạng thái và bảo đảm/bảo vệ. Không gán một nhóm chính khi chưa chọn nghĩa của câu; nghĩa Hàn hiện là diễn giải nguồn Việt, chưa kiểm tra riêng nguồn Hàn. Nghĩa Hàn được diễn giải từ nguồn vi; chưa phải mục từ giải nghĩa bằng tiếng Hàn đã xác nhận.</x:v>
      </x:c>
      <x:c r="L214" s="11" t="str">
        <x:v>S213</x:v>
      </x:c>
      <x:c r="M214" s="11" t="str">
        <x:v>S213</x:v>
      </x:c>
      <x:c r="N214" s="11" t="str">
        <x:v>S213</x:v>
      </x:c>
      <x:c r="O214" s="11" t="str">
        <x:v>Danh sách C99</x:v>
      </x:c>
      <x:c r="P214" s="11" t="str">
        <x:v>Chưa chốt nhóm</x:v>
      </x:c>
      <x:c r="Q214" s="11" t="str"/>
    </x:row>
    <x:row r="215" ht="87" customHeight="1">
      <x:c r="A215" s="11" t="str">
        <x:v>C076</x:v>
      </x:c>
      <x:c r="B215" s="11" t="str">
        <x:v>thượng tôn pháp luật</x:v>
      </x:c>
      <x:c r="C215" s="11" t="str">
        <x:v>법치주의</x:v>
      </x:c>
      <x:c r="D215" s="11" t="str">
        <x:v>N3</x:v>
      </x:c>
      <x:c r="E215" s="11" t="str">
        <x:v>Đã gán theo nghĩa được chọn</x:v>
      </x:c>
      <x:c r="F215" s="19" t="str">
        <x:v>CẦN ĐỐI CHIẾU — khác phạm vi</x:v>
      </x:c>
      <x:c r="G215" s="11" t="str">
        <x:v>Giữ làm đơn vị nghiên cứu</x:v>
      </x:c>
      <x:c r="H215" s="11" t="str">
        <x:v>Chính trị và ngoại giao</x:v>
      </x:c>
      <x:c r="I215" s="11" t="str">
        <x:v>C076</x:v>
      </x:c>
      <x:c r="J215" s="11" t="str"/>
      <x:c r="K215" s="11" t="str">
        <x:v>Nguồn UN định nghĩa rule of law rộng; thượng tôn pháp luật có thể nhấn một thành tố hơn toàn khái niệm 법치주의. Nhóm nguyên tắc rõ nhưng tương đương cặp cần kiểm tra. Nghĩa Việt được diễn giải từ nguồn en; chưa phải mục từ giải nghĩa bằng tiếng Việt đã xác nhận. Nghĩa Hàn được diễn giải từ nguồn en; chưa phải mục từ giải nghĩa bằng tiếng Hàn đã xác nhận.</x:v>
      </x:c>
      <x:c r="L215" s="11" t="str">
        <x:v>S214</x:v>
      </x:c>
      <x:c r="M215" s="11" t="str">
        <x:v>S214</x:v>
      </x:c>
      <x:c r="N215" s="11" t="str">
        <x:v>S214</x:v>
      </x:c>
      <x:c r="O215" s="11" t="str">
        <x:v>Danh sách C99</x:v>
      </x:c>
      <x:c r="P215" s="11" t="str">
        <x:v>Cần đối chiếu/sửa cặp</x:v>
      </x:c>
      <x:c r="Q215" s="11" t="str"/>
    </x:row>
    <x:row r="216" ht="57" customHeight="1">
      <x:c r="A216" s="11" t="str">
        <x:v>C085</x:v>
      </x:c>
      <x:c r="B216" s="11" t="str">
        <x:v>quản trị toàn cầu</x:v>
      </x:c>
      <x:c r="C216" s="11" t="str">
        <x:v>글로벌 거버넌스</x:v>
      </x:c>
      <x:c r="D216" s="16" t="str">
        <x:v>N4</x:v>
      </x:c>
      <x:c r="E216" s="16" t="str">
        <x:v>ĐỀ XUẤT — cần khóa nghĩa</x:v>
      </x:c>
      <x:c r="F216" s="16" t="str">
        <x:v>CẦN NGỮ CẢNH đối chiếu</x:v>
      </x:c>
      <x:c r="G216" s="11" t="str">
        <x:v>Cần xem xét tư cách/phạm vi</x:v>
      </x:c>
      <x:c r="H216" s="11" t="str">
        <x:v>Cần ngữ cảnh chuyên ngành</x:v>
      </x:c>
      <x:c r="I216" s="11" t="str">
        <x:v>C085</x:v>
      </x:c>
      <x:c r="J216" s="11" t="str"/>
      <x:c r="K216" s="11" t="str">
        <x:v>N4.2 chỉ nhận nghĩa quá trình thực hành. Nếu thuật ngữ gọi kiến trúc thể chế quản trị toàn cầu thì xét N3.1; chưa có câu nguồn khóa nghĩa. Nhóm hiện là đề xuất có điều kiện theo nghĩa làm việc, chưa chốt khi thiếu câu nguồn.</x:v>
      </x:c>
      <x:c r="L216" s="11" t="str"/>
      <x:c r="M216" s="11" t="str"/>
      <x:c r="N216" s="11" t="str"/>
      <x:c r="O216" s="11" t="str">
        <x:v>Danh sách C99</x:v>
      </x:c>
      <x:c r="P216" s="11" t="str">
        <x:v>Cần khóa nghĩa để chốt nhóm</x:v>
      </x:c>
      <x:c r="Q216" s="11" t="str"/>
    </x:row>
    <x:row r="217" ht="87" customHeight="1">
      <x:c r="A217" s="11" t="str">
        <x:v>C086</x:v>
      </x:c>
      <x:c r="B217" s="11" t="str">
        <x:v>trật tự quốc tế</x:v>
      </x:c>
      <x:c r="C217" s="11" t="str">
        <x:v>국제질서</x:v>
      </x:c>
      <x:c r="D217" s="16" t="str">
        <x:v>N3</x:v>
      </x:c>
      <x:c r="E217" s="16" t="str">
        <x:v>ĐỀ XUẤT — cần khóa nghĩa</x:v>
      </x:c>
      <x:c r="F217" s="16" t="str">
        <x:v>CẦN NGỮ CẢNH đối chiếu</x:v>
      </x:c>
      <x:c r="G217" s="11" t="str">
        <x:v>Giữ làm đơn vị nghiên cứu</x:v>
      </x:c>
      <x:c r="H217" s="11" t="str">
        <x:v>Ngoại giao</x:v>
      </x:c>
      <x:c r="I217" s="11" t="str">
        <x:v>C086</x:v>
      </x:c>
      <x:c r="J217" s="11" t="str"/>
      <x:c r="K217" s="11" t="str">
        <x:v>N3.1 là đề xuất cũ khi chọn cấu trúc thể chế. Định nghĩa trật tự quốc tế có thể rộng tới tương quan quyền lực và trạng thái; chưa là nhóm chắc chắn theo nhãn đứng riêng. Nghĩa Hàn là giải thích làm việc do lượt rà soát soạn; CHƯA có nguồn giải nghĩa trực tiếp cho toàn biểu thức Hàn. Định nghĩa Việt là giải thích làm việc; CHƯA xác minh nguồn định nghĩa trực tiếp.</x:v>
      </x:c>
      <x:c r="L217" s="11" t="str"/>
      <x:c r="M217" s="11" t="str"/>
      <x:c r="N217" s="11" t="str"/>
      <x:c r="O217" s="11" t="str">
        <x:v>Danh sách C99</x:v>
      </x:c>
      <x:c r="P217" s="11" t="str">
        <x:v>Cần khóa nghĩa để chốt nhóm</x:v>
      </x:c>
      <x:c r="Q217" s="11" t="str"/>
    </x:row>
    <x:row r="218" ht="72" customHeight="1">
      <x:c r="A218" s="11" t="str">
        <x:v>C087</x:v>
      </x:c>
      <x:c r="B218" s="11" t="str">
        <x:v>quan hệ quốc tế</x:v>
      </x:c>
      <x:c r="C218" s="11" t="str">
        <x:v>국제관계</x:v>
      </x:c>
      <x:c r="D218" s="11" t="str">
        <x:v>N4</x:v>
      </x:c>
      <x:c r="E218" s="11" t="str">
        <x:v>Đã gán theo nghĩa được chọn</x:v>
      </x:c>
      <x:c r="F218" s="11" t="str">
        <x:v>Phù hợp theo nghĩa làm việc</x:v>
      </x:c>
      <x:c r="G218" s="11" t="str">
        <x:v>Giữ làm đơn vị nghiên cứu</x:v>
      </x:c>
      <x:c r="H218" s="11" t="str">
        <x:v>Chính trị và ngoại giao</x:v>
      </x:c>
      <x:c r="I218" s="11" t="str">
        <x:v>C087</x:v>
      </x:c>
      <x:c r="J218" s="11" t="str"/>
      <x:c r="K218" s="11" t="str">
        <x:v>Nếu tên ngành khoa học quan hệ quốc tế thì không tự áp dụng nghĩa quan hệ đang chọn. Nghĩa được diễn đạt bằng hai ngôn ngữ từ nguồn KO; không giả định nguồn cung cấp mục từ ở cả hai ngôn ngữ. compatible = có khả năng tương ứng theo nghĩa làm việc; chưa thay thế kiểm tra câu song hành.</x:v>
      </x:c>
      <x:c r="L218" s="11" t="str">
        <x:v>S215</x:v>
      </x:c>
      <x:c r="M218" s="11" t="str">
        <x:v>S215</x:v>
      </x:c>
      <x:c r="N218" s="11" t="str">
        <x:v>S215</x:v>
      </x:c>
      <x:c r="O218" s="11" t="str">
        <x:v>Danh sách C99</x:v>
      </x:c>
      <x:c r="P218" s="11" t="str">
        <x:v>Ứng viên giữ — có căn cứ khái niệm</x:v>
      </x:c>
      <x:c r="Q218" s="11" t="str"/>
    </x:row>
    <x:row r="219" ht="72" customHeight="1">
      <x:c r="A219" s="11" t="str">
        <x:v>C088</x:v>
      </x:c>
      <x:c r="B219" s="11" t="str">
        <x:v>sức mạnh mềm</x:v>
      </x:c>
      <x:c r="C219" s="11" t="str">
        <x:v>소프트파워</x:v>
      </x:c>
      <x:c r="D219" s="16" t="str">
        <x:v>Cần xem xét</x:v>
      </x:c>
      <x:c r="E219" s="16" t="str">
        <x:v>NGOÀI PHẠM VI 5 NHÓM</x:v>
      </x:c>
      <x:c r="F219" s="11" t="str">
        <x:v>Phù hợp theo nghĩa làm việc</x:v>
      </x:c>
      <x:c r="G219" s="11" t="str">
        <x:v>Giữ làm đơn vị nghiên cứu</x:v>
      </x:c>
      <x:c r="H219" s="11" t="str">
        <x:v>Chính trị và ngoại giao</x:v>
      </x:c>
      <x:c r="I219" s="11" t="str">
        <x:v>C088</x:v>
      </x:c>
      <x:c r="J219" s="11" t="str"/>
      <x:c r="K219" s="11" t="str">
        <x:v>Năng lực/thuộc tính quyền lực, chưa thuộc 5 nhóm. Không đổi sức mạnh mềm thành hoạt động ngoại giao công chúng để gán nhóm. Nghĩa Việt được diễn giải từ nguồn en; chưa phải mục từ giải nghĩa bằng tiếng Việt đã xác nhận. Nghĩa Hàn được diễn giải từ nguồn en; chưa phải mục từ giải nghĩa bằng tiếng Hàn đã xác nhận.</x:v>
      </x:c>
      <x:c r="L219" s="11" t="str">
        <x:v>S216</x:v>
      </x:c>
      <x:c r="M219" s="11" t="str">
        <x:v>S216</x:v>
      </x:c>
      <x:c r="N219" s="11" t="str">
        <x:v>S216</x:v>
      </x:c>
      <x:c r="O219" s="11" t="str">
        <x:v>Danh sách C99</x:v>
      </x:c>
      <x:c r="P219" s="11" t="str">
        <x:v>Chưa chốt nhóm</x:v>
      </x:c>
      <x:c r="Q219" s="11" t="str"/>
    </x:row>
    <x:row r="220" ht="87" customHeight="1">
      <x:c r="A220" s="11" t="str">
        <x:v>C089</x:v>
      </x:c>
      <x:c r="B220" s="11" t="str">
        <x:v>tin cậy chính trị</x:v>
      </x:c>
      <x:c r="C220" s="11" t="str">
        <x:v>정치적 신뢰</x:v>
      </x:c>
      <x:c r="D220" s="16" t="str">
        <x:v>Cần xem xét</x:v>
      </x:c>
      <x:c r="E220" s="16" t="str">
        <x:v>NGOÀI PHẠM VI 5 NHÓM</x:v>
      </x:c>
      <x:c r="F220" s="16" t="str">
        <x:v>CẦN NGỮ CẢNH đối chiếu</x:v>
      </x:c>
      <x:c r="G220" s="11" t="str">
        <x:v>Cần xem xét tư cách/phạm vi</x:v>
      </x:c>
      <x:c r="H220" s="11" t="str">
        <x:v>Cần ngữ cảnh chuyên ngành</x:v>
      </x:c>
      <x:c r="I220" s="11" t="str">
        <x:v>C089</x:v>
      </x:c>
      <x:c r="J220" s="11" t="str"/>
      <x:c r="K220" s="11" t="str">
        <x:v>Có thể chỉ tin cậy giữa quốc gia hoặc tin cậy của dân với thể chế. Chưa khóa đối tượng, nghĩa và nguồn định nghĩa; không tự gán N4 cho mọi thuộc tính của quan hệ. Nghĩa Hàn là giải thích làm việc do lượt rà soát soạn; CHƯA có nguồn giải nghĩa trực tiếp cho toàn biểu thức Hàn. Định nghĩa Việt là giải thích làm việc; CHƯA xác minh nguồn định nghĩa trực tiếp.</x:v>
      </x:c>
      <x:c r="L220" s="11" t="str"/>
      <x:c r="M220" s="11" t="str"/>
      <x:c r="N220" s="11" t="str"/>
      <x:c r="O220" s="11" t="str">
        <x:v>Danh sách C99</x:v>
      </x:c>
      <x:c r="P220" s="11" t="str">
        <x:v>Chưa chốt nhóm</x:v>
      </x:c>
      <x:c r="Q220" s="11" t="str"/>
    </x:row>
    <x:row r="221" ht="72" customHeight="1">
      <x:c r="A221" s="11" t="str">
        <x:v>C091</x:v>
      </x:c>
      <x:c r="B221" s="11" t="str">
        <x:v>đa phương hóa</x:v>
      </x:c>
      <x:c r="C221" s="11" t="str">
        <x:v>다자화</x:v>
      </x:c>
      <x:c r="D221" s="16" t="str">
        <x:v>Cần xem xét</x:v>
      </x:c>
      <x:c r="E221" s="16" t="str">
        <x:v>CHƯA GÁN — cần khóa nghĩa</x:v>
      </x:c>
      <x:c r="F221" s="16" t="str">
        <x:v>CẦN NGỮ CẢNH đối chiếu</x:v>
      </x:c>
      <x:c r="G221" s="11" t="str">
        <x:v>Cần xem xét tư cách/phạm vi</x:v>
      </x:c>
      <x:c r="H221" s="11" t="str">
        <x:v>Cần ngữ cảnh chuyên ngành</x:v>
      </x:c>
      <x:c r="I221" s="11" t="str">
        <x:v>C091</x:v>
      </x:c>
      <x:c r="J221" s="11" t="str"/>
      <x:c r="K221" s="11" t="str">
        <x:v>Chưa xác định là chính sách N3.3 hay quá trình N4.2. Không đồng nhất đa phương hóa với chủ nghĩa đa phương. Nghĩa Hàn là giải thích làm việc do lượt rà soát soạn; CHƯA có nguồn giải nghĩa trực tiếp cho toàn biểu thức Hàn. Định nghĩa Việt là giải thích làm việc; CHƯA xác minh nguồn định nghĩa trực tiếp.</x:v>
      </x:c>
      <x:c r="L221" s="11" t="str"/>
      <x:c r="M221" s="11" t="str"/>
      <x:c r="N221" s="11" t="str"/>
      <x:c r="O221" s="11" t="str">
        <x:v>Danh sách C99</x:v>
      </x:c>
      <x:c r="P221" s="11" t="str">
        <x:v>Chưa chốt nhóm</x:v>
      </x:c>
      <x:c r="Q221" s="11" t="str"/>
    </x:row>
    <x:row r="222" ht="72" customHeight="1">
      <x:c r="A222" s="11" t="str">
        <x:v>C092</x:v>
      </x:c>
      <x:c r="B222" s="11" t="str">
        <x:v>đa dạng hóa</x:v>
      </x:c>
      <x:c r="C222" s="11" t="str">
        <x:v>다변화</x:v>
      </x:c>
      <x:c r="D222" s="16" t="str">
        <x:v>Cần xem xét</x:v>
      </x:c>
      <x:c r="E222" s="16" t="str">
        <x:v>CHƯA GÁN — cần khóa nghĩa</x:v>
      </x:c>
      <x:c r="F222" s="16" t="str">
        <x:v>CẦN NGỮ CẢNH đối chiếu</x:v>
      </x:c>
      <x:c r="G222" s="11" t="str">
        <x:v>Cần xem xét tư cách/phạm vi</x:v>
      </x:c>
      <x:c r="H222" s="11" t="str">
        <x:v>Cần ngữ cảnh chuyên ngành</x:v>
      </x:c>
      <x:c r="I222" s="11" t="str">
        <x:v>C092</x:v>
      </x:c>
      <x:c r="J222" s="11" t="str"/>
      <x:c r="K222" s="11" t="str">
        <x:v>Biểu thức chung chưa nêu đối tượng được đa dạng hóa; cần ngữ cảnh để xác nhận tư cách thuật ngữ chính trị–ngoại giao. Nghĩa Hàn là giải thích làm việc do lượt rà soát soạn; CHƯA có nguồn giải nghĩa trực tiếp cho toàn biểu thức Hàn. Định nghĩa Việt là giải thích làm việc; CHƯA xác minh nguồn định nghĩa trực tiếp.</x:v>
      </x:c>
      <x:c r="L222" s="11" t="str"/>
      <x:c r="M222" s="11" t="str"/>
      <x:c r="N222" s="11" t="str"/>
      <x:c r="O222" s="11" t="str">
        <x:v>Danh sách C99</x:v>
      </x:c>
      <x:c r="P222" s="11" t="str">
        <x:v>Chưa chốt nhóm</x:v>
      </x:c>
      <x:c r="Q222" s="11" t="str"/>
    </x:row>
    <x:row r="223" ht="57" customHeight="1">
      <x:c r="A223" s="11" t="str">
        <x:v>C097</x:v>
      </x:c>
      <x:c r="B223" s="11" t="str">
        <x:v>quản trị đại dương</x:v>
      </x:c>
      <x:c r="C223" s="11" t="str">
        <x:v>해양 거버넌스</x:v>
      </x:c>
      <x:c r="D223" s="16" t="str">
        <x:v>N4</x:v>
      </x:c>
      <x:c r="E223" s="16" t="str">
        <x:v>ĐỀ XUẤT — cần khóa nghĩa</x:v>
      </x:c>
      <x:c r="F223" s="16" t="str">
        <x:v>CẦN NGỮ CẢNH đối chiếu</x:v>
      </x:c>
      <x:c r="G223" s="11" t="str">
        <x:v>Cần xem xét tư cách/phạm vi</x:v>
      </x:c>
      <x:c r="H223" s="11" t="str">
        <x:v>Cần ngữ cảnh chuyên ngành</x:v>
      </x:c>
      <x:c r="I223" s="11" t="str">
        <x:v>C097</x:v>
      </x:c>
      <x:c r="J223" s="11" t="str"/>
      <x:c r="K223" s="11" t="str">
        <x:v>N4.2 chỉ nhận nghĩa điều phối/quản lý thực hành. Cách dùng chỉ hệ thống quy tắc và thể chế cần xét N3.1. Nhóm hiện là đề xuất có điều kiện theo nghĩa làm việc, chưa chốt khi thiếu câu nguồn.</x:v>
      </x:c>
      <x:c r="L223" s="11" t="str"/>
      <x:c r="M223" s="11" t="str"/>
      <x:c r="N223" s="11" t="str"/>
      <x:c r="O223" s="11" t="str">
        <x:v>Danh sách C99</x:v>
      </x:c>
      <x:c r="P223" s="11" t="str">
        <x:v>Cần khóa nghĩa để chốt nhóm</x:v>
      </x:c>
      <x:c r="Q223" s="11" t="str"/>
    </x:row>
    <x:row r="224" ht="57" customHeight="1">
      <x:c r="A224" s="11" t="str">
        <x:v>C099</x:v>
      </x:c>
      <x:c r="B224" s="11" t="str">
        <x:v>hợp tác song phương</x:v>
      </x:c>
      <x:c r="C224" s="11" t="str">
        <x:v>양자 협력</x:v>
      </x:c>
      <x:c r="D224" s="11" t="str">
        <x:v>N4</x:v>
      </x:c>
      <x:c r="E224" s="11" t="str">
        <x:v>Đã gán theo nghĩa được chọn</x:v>
      </x:c>
      <x:c r="F224" s="11" t="str">
        <x:v>Phù hợp theo nghĩa làm việc</x:v>
      </x:c>
      <x:c r="G224" s="11" t="str">
        <x:v>Giữ làm đơn vị nghiên cứu</x:v>
      </x:c>
      <x:c r="H224" s="11" t="str">
        <x:v>Ngoại giao</x:v>
      </x:c>
      <x:c r="I224" s="11" t="str">
        <x:v>C099</x:v>
      </x:c>
      <x:c r="J224" s="11" t="str"/>
      <x:c r="K224"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224" s="11" t="str"/>
      <x:c r="M224" s="11" t="str"/>
      <x:c r="N224" s="11" t="str"/>
      <x:c r="O224" s="11" t="str">
        <x:v>Danh sách C99</x:v>
      </x:c>
      <x:c r="P224" s="11" t="str">
        <x:v>Cần bổ sung nguồn định nghĩa</x:v>
      </x:c>
      <x:c r="Q224" s="11" t="str"/>
    </x:row>
    <x:row r="225" ht="57" customHeight="1">
      <x:c r="A225" s="11" t="str">
        <x:v>C100</x:v>
      </x:c>
      <x:c r="B225" s="11" t="str">
        <x:v>Ủy ban liên chính phủ</x:v>
      </x:c>
      <x:c r="C225" s="11" t="str">
        <x:v>정부 간 위원회</x:v>
      </x:c>
      <x:c r="D225" s="16" t="str">
        <x:v>N2</x:v>
      </x:c>
      <x:c r="E225" s="16" t="str">
        <x:v>ĐỀ XUẤT — cần khóa nghĩa</x:v>
      </x:c>
      <x:c r="F225" s="16" t="str">
        <x:v>CẦN NGỮ CẢNH đối chiếu</x:v>
      </x:c>
      <x:c r="G225" s="11" t="str">
        <x:v>Giữ làm đơn vị nghiên cứu</x:v>
      </x:c>
      <x:c r="H225" s="11" t="str">
        <x:v>Ngoại giao</x:v>
      </x:c>
      <x:c r="I225" s="11" t="str">
        <x:v>C100</x:v>
      </x:c>
      <x:c r="J225" s="11" t="str"/>
      <x:c r="K225" s="11" t="str">
        <x:v>Tên chung chưa xác định một ủy ban cụ thể. Thành phần và nhiệm vụ khiến đối tượng là tổ chức; quy tắc hợp tác của ủy ban là bình diện khác. Nghĩa Hàn do nghiên cứu diễn đạt từ nguồn VI; không phải định nghĩa từ điển Hàn.</x:v>
      </x:c>
      <x:c r="L225" s="11" t="str">
        <x:v>S217</x:v>
      </x:c>
      <x:c r="M225" s="11" t="str">
        <x:v>S217</x:v>
      </x:c>
      <x:c r="N225" s="11" t="str">
        <x:v>S217</x:v>
      </x:c>
      <x:c r="O225" s="11" t="str">
        <x:v>Danh sách C99</x:v>
      </x:c>
      <x:c r="P225" s="11" t="str">
        <x:v>Cần khóa nghĩa để chốt nhóm</x:v>
      </x:c>
      <x:c r="Q225" s="11" t="str"/>
    </x:row>
    <x:row r="226" ht="57" customHeight="1">
      <x:c r="A226" s="11" t="str">
        <x:v>C101</x:v>
      </x:c>
      <x:c r="B226" s="11" t="str">
        <x:v>Ủy ban hỗn hợp</x:v>
      </x:c>
      <x:c r="C226" s="11" t="str">
        <x:v>공동위원회</x:v>
      </x:c>
      <x:c r="D226" s="16" t="str">
        <x:v>N2</x:v>
      </x:c>
      <x:c r="E226" s="16" t="str">
        <x:v>ĐỀ XUẤT — cần khóa nghĩa</x:v>
      </x:c>
      <x:c r="F226" s="16" t="str">
        <x:v>CẦN NGỮ CẢNH đối chiếu</x:v>
      </x:c>
      <x:c r="G226" s="11" t="str">
        <x:v>Giữ làm đơn vị nghiên cứu</x:v>
      </x:c>
      <x:c r="H226" s="11" t="str">
        <x:v>Ngoại giao</x:v>
      </x:c>
      <x:c r="I226" s="11" t="str">
        <x:v>C101</x:v>
      </x:c>
      <x:c r="J226" s="11" t="str"/>
      <x:c r="K226" s="11" t="str">
        <x:v>공동위원회 có thể dịch ủy ban chung hoặc ủy ban hỗn hợp tùy tên chính thức; cần văn kiện thành lập để chốt nhãn. Nghĩa Hàn do nghiên cứu diễn đạt từ nguồn VI; không phải định nghĩa từ điển Hàn.</x:v>
      </x:c>
      <x:c r="L226" s="11" t="str">
        <x:v>S217</x:v>
      </x:c>
      <x:c r="M226" s="11" t="str">
        <x:v>S217</x:v>
      </x:c>
      <x:c r="N226" s="11" t="str">
        <x:v>S217</x:v>
      </x:c>
      <x:c r="O226" s="11" t="str">
        <x:v>Danh sách C99</x:v>
      </x:c>
      <x:c r="P226" s="11" t="str">
        <x:v>Cần khóa nghĩa để chốt nhóm</x:v>
      </x:c>
      <x:c r="Q226" s="11" t="str"/>
    </x:row>
    <x:row r="227" ht="57" customHeight="1">
      <x:c r="A227" s="11" t="str">
        <x:v>C102</x:v>
      </x:c>
      <x:c r="B227" s="11" t="str">
        <x:v>Tham khảo chính trị</x:v>
      </x:c>
      <x:c r="C227" s="11" t="str">
        <x:v>정치 협의</x:v>
      </x:c>
      <x:c r="D227" s="16" t="str">
        <x:v>N4</x:v>
      </x:c>
      <x:c r="E227" s="16" t="str">
        <x:v>ĐỀ XUẤT — cần khóa nghĩa</x:v>
      </x:c>
      <x:c r="F227" s="16" t="str">
        <x:v>CẦN NGỮ CẢNH đối chiếu</x:v>
      </x:c>
      <x:c r="G227" s="11" t="str">
        <x:v>Cần xem xét tư cách/phạm vi</x:v>
      </x:c>
      <x:c r="H227" s="11" t="str">
        <x:v>Chính trị và ngoại giao</x:v>
      </x:c>
      <x:c r="I227" s="11" t="str">
        <x:v>C102</x:v>
      </x:c>
      <x:c r="J227" s="11" t="str"/>
      <x:c r="K227" s="11" t="str">
        <x:v>Chọn hoạt động tham khảo chính trị; tên một cơ chế thường trực cần xem lại N3.1. Chưa có câu nguồn. Nhóm hiện là đề xuất có điều kiện theo nghĩa làm việc, chưa chốt khi thiếu câu nguồn.</x:v>
      </x:c>
      <x:c r="L227" s="11" t="str"/>
      <x:c r="M227" s="11" t="str"/>
      <x:c r="N227" s="11" t="str"/>
      <x:c r="O227" s="11" t="str">
        <x:v>Danh sách C99</x:v>
      </x:c>
      <x:c r="P227" s="11" t="str">
        <x:v>Cần khóa nghĩa để chốt nhóm</x:v>
      </x:c>
      <x:c r="Q227" s="11" t="str"/>
    </x:row>
    <x:row r="228" ht="87" customHeight="1">
      <x:c r="A228" s="11" t="str">
        <x:v>C104</x:v>
      </x:c>
      <x:c r="B228" s="11" t="str">
        <x:v>Cộng đồng ASEAN</x:v>
      </x:c>
      <x:c r="C228" s="11" t="str">
        <x:v>아세안 공동체</x:v>
      </x:c>
      <x:c r="D228" s="16" t="str">
        <x:v>N3</x:v>
      </x:c>
      <x:c r="E228" s="16" t="str">
        <x:v>ĐỀ XUẤT — cần khóa nghĩa</x:v>
      </x:c>
      <x:c r="F228" s="16" t="str">
        <x:v>CẦN NGỮ CẢNH đối chiếu</x:v>
      </x:c>
      <x:c r="G228" s="11" t="str">
        <x:v>Giữ làm đơn vị nghiên cứu</x:v>
      </x:c>
      <x:c r="H228" s="11" t="str">
        <x:v>Ngoại giao</x:v>
      </x:c>
      <x:c r="I228" s="11" t="str">
        <x:v>C104</x:v>
      </x:c>
      <x:c r="J228" s="11" t="str"/>
      <x:c r="K228" s="11" t="str">
        <x:v>N3.1 là lựa chọn cũ theo nghĩa mô hình/khuôn khổ liên kết, không phải phân loại do nguồn ASEAN quy định. Cần kiểm tra trường hợp dùng cộng đồng như chủ thể. Nghĩa Việt được diễn giải từ nguồn en; chưa phải mục từ giải nghĩa bằng tiếng Việt đã xác nhận. Nghĩa Hàn được diễn giải từ nguồn en; chưa phải mục từ giải nghĩa bằng tiếng Hàn đã xác nhận.</x:v>
      </x:c>
      <x:c r="L228" s="11" t="str">
        <x:v>S218</x:v>
      </x:c>
      <x:c r="M228" s="11" t="str">
        <x:v>S218</x:v>
      </x:c>
      <x:c r="N228" s="11" t="str">
        <x:v>S218</x:v>
      </x:c>
      <x:c r="O228" s="11" t="str">
        <x:v>Danh sách C99</x:v>
      </x:c>
      <x:c r="P228" s="11" t="str">
        <x:v>Cần khóa nghĩa để chốt nhóm</x:v>
      </x:c>
      <x:c r="Q228" s="11" t="str"/>
    </x:row>
    <x:row r="229" ht="72" customHeight="1">
      <x:c r="A229" s="11" t="str">
        <x:v>C105</x:v>
      </x:c>
      <x:c r="B229" s="11" t="str">
        <x:v>Đối thoại Shangri-la</x:v>
      </x:c>
      <x:c r="C229" s="11" t="str">
        <x:v>샹그릴라 대화</x:v>
      </x:c>
      <x:c r="D229" s="11" t="str">
        <x:v>N4</x:v>
      </x:c>
      <x:c r="E229" s="11" t="str">
        <x:v>Đã gán theo nghĩa được chọn</x:v>
      </x:c>
      <x:c r="F229" s="11" t="str">
        <x:v>Phù hợp theo nghĩa làm việc</x:v>
      </x:c>
      <x:c r="G229" s="11" t="str">
        <x:v>Giữ làm đơn vị nghiên cứu</x:v>
      </x:c>
      <x:c r="H229" s="11" t="str">
        <x:v>Ngoại giao</x:v>
      </x:c>
      <x:c r="I229" s="11" t="str">
        <x:v>C105</x:v>
      </x:c>
      <x:c r="J229" s="11" t="str"/>
      <x:c r="K229" s="11" t="str">
        <x:v>Tính thường niên không tự đổi một hội nghị thành tổ chức hoặc bộ quy tắc thiết chế. Nghĩa được diễn đạt bằng hai ngôn ngữ từ nguồn EN; không giả định nguồn cung cấp mục từ ở cả hai ngôn ngữ. compatible = có khả năng tương ứng theo nghĩa làm việc; chưa thay thế kiểm tra câu song hành.</x:v>
      </x:c>
      <x:c r="L229" s="11" t="str">
        <x:v>S219</x:v>
      </x:c>
      <x:c r="M229" s="11" t="str">
        <x:v>S219</x:v>
      </x:c>
      <x:c r="N229" s="11" t="str">
        <x:v>S219</x:v>
      </x:c>
      <x:c r="O229" s="11" t="str">
        <x:v>Danh sách C99</x:v>
      </x:c>
      <x:c r="P229" s="11" t="str">
        <x:v>Ứng viên giữ — có căn cứ khái niệm</x:v>
      </x:c>
      <x:c r="Q229" s="11" t="str"/>
    </x:row>
    <x:row r="230" ht="57" customHeight="1">
      <x:c r="A230" s="11" t="str">
        <x:v>C107</x:v>
      </x:c>
      <x:c r="B230" s="11" t="str">
        <x:v>hợp tác Mekong-Lan Thương</x:v>
      </x:c>
      <x:c r="C230" s="11" t="str">
        <x:v>메콩-란창 협력</x:v>
      </x:c>
      <x:c r="D230" s="16" t="str">
        <x:v>N3</x:v>
      </x:c>
      <x:c r="E230" s="16" t="str">
        <x:v>ĐỀ XUẤT — cần khóa nghĩa</x:v>
      </x:c>
      <x:c r="F230" s="16" t="str">
        <x:v>CẦN NGỮ CẢNH đối chiếu</x:v>
      </x:c>
      <x:c r="G230" s="11" t="str">
        <x:v>Giữ làm đơn vị nghiên cứu</x:v>
      </x:c>
      <x:c r="H230" s="11" t="str">
        <x:v>Ngoại giao</x:v>
      </x:c>
      <x:c r="I230" s="11" t="str">
        <x:v>C107</x:v>
      </x:c>
      <x:c r="J230" s="11" t="str"/>
      <x:c r="K230" s="11" t="str">
        <x:v>N3.1 là đề xuất theo tên riêng cơ chế MLC; nếu chỉ hoạt động hợp tác trong khuôn khổ thì N4.2. Nghĩa Hàn được diễn giải từ nguồn vi; chưa phải mục từ giải nghĩa bằng tiếng Hàn đã xác nhận.</x:v>
      </x:c>
      <x:c r="L230" s="11" t="str">
        <x:v>S220</x:v>
      </x:c>
      <x:c r="M230" s="11" t="str">
        <x:v>S220</x:v>
      </x:c>
      <x:c r="N230" s="11" t="str">
        <x:v>S220</x:v>
      </x:c>
      <x:c r="O230" s="11" t="str">
        <x:v>Danh sách C99</x:v>
      </x:c>
      <x:c r="P230" s="11" t="str">
        <x:v>Cần khóa nghĩa để chốt nhóm</x:v>
      </x:c>
      <x:c r="Q230" s="11" t="str"/>
    </x:row>
    <x:row r="231" ht="57" customHeight="1">
      <x:c r="A231" s="11" t="str">
        <x:v>C108</x:v>
      </x:c>
      <x:c r="B231" s="11" t="str">
        <x:v>Ủy ban chỉ đạo hợp tác song phương</x:v>
      </x:c>
      <x:c r="C231" s="11" t="str">
        <x:v>양자협력지도위원회</x:v>
      </x:c>
      <x:c r="D231" s="16" t="str">
        <x:v>N2</x:v>
      </x:c>
      <x:c r="E231" s="16" t="str">
        <x:v>ĐỀ XUẤT — cần khóa nghĩa</x:v>
      </x:c>
      <x:c r="F231" s="16" t="str">
        <x:v>CẦN NGỮ CẢNH đối chiếu</x:v>
      </x:c>
      <x:c r="G231" s="11" t="str">
        <x:v>Giữ làm đơn vị nghiên cứu</x:v>
      </x:c>
      <x:c r="H231" s="11" t="str">
        <x:v>Ngoại giao</x:v>
      </x:c>
      <x:c r="I231" s="11" t="str">
        <x:v>C108</x:v>
      </x:c>
      <x:c r="J231" s="11" t="str"/>
      <x:c r="K231" s="11" t="str">
        <x:v>Tên chưa chỉ rõ hai bên. Có thể phân loại cơ quan phối hợp theo nghĩa ủy ban, nhưng chưa xác minh tên riêng đầy đủ. Nghĩa Hàn do nghiên cứu diễn đạt từ nguồn VI; không phải định nghĩa từ điển Hàn.</x:v>
      </x:c>
      <x:c r="L231" s="11" t="str">
        <x:v>S217</x:v>
      </x:c>
      <x:c r="M231" s="11" t="str">
        <x:v>S217</x:v>
      </x:c>
      <x:c r="N231" s="11" t="str">
        <x:v>S217</x:v>
      </x:c>
      <x:c r="O231" s="11" t="str">
        <x:v>Danh sách C99</x:v>
      </x:c>
      <x:c r="P231" s="11" t="str">
        <x:v>Cần khóa nghĩa để chốt nhóm</x:v>
      </x:c>
      <x:c r="Q231" s="11" t="str"/>
    </x:row>
    <x:row r="232" ht="57" customHeight="1">
      <x:c r="A232" s="11" t="str">
        <x:v>C109</x:v>
      </x:c>
      <x:c r="B232" s="11" t="str">
        <x:v>đàm phán</x:v>
      </x:c>
      <x:c r="C232" s="11" t="str">
        <x:v>협상</x:v>
      </x:c>
      <x:c r="D232" s="11" t="str">
        <x:v>N4</x:v>
      </x:c>
      <x:c r="E232" s="11" t="str">
        <x:v>Đã gán theo nghĩa được chọn</x:v>
      </x:c>
      <x:c r="F232" s="11" t="str">
        <x:v>Phù hợp theo nghĩa làm việc</x:v>
      </x:c>
      <x:c r="G232" s="11" t="str">
        <x:v>Giữ làm đơn vị nghiên cứu</x:v>
      </x:c>
      <x:c r="H232" s="11" t="str">
        <x:v>Ngoại giao</x:v>
      </x:c>
      <x:c r="I232" s="11" t="str">
        <x:v>C109</x:v>
      </x:c>
      <x:c r="J232" s="11" t="str"/>
      <x:c r="K232" s="11" t="str">
        <x:v>compatible = có khả năng tương ứng theo nghĩa làm việc; chưa thay thế kiểm tra câu song hành.</x:v>
      </x:c>
      <x:c r="L232" s="11" t="str"/>
      <x:c r="M232" s="11" t="str">
        <x:v>S221</x:v>
      </x:c>
      <x:c r="N232" s="11" t="str">
        <x:v>S221</x:v>
      </x:c>
      <x:c r="O232" s="11" t="str">
        <x:v>Danh sách C99</x:v>
      </x:c>
      <x:c r="P232" s="11" t="str">
        <x:v>Cần bổ sung nguồn định nghĩa</x:v>
      </x:c>
      <x:c r="Q232" s="11" t="str"/>
    </x:row>
    <x:row r="233" ht="57" customHeight="1">
      <x:c r="A233" s="11" t="str">
        <x:v>C110</x:v>
      </x:c>
      <x:c r="B233" s="11" t="str">
        <x:v>phê chuẩn</x:v>
      </x:c>
      <x:c r="C233" s="11" t="str">
        <x:v>비준</x:v>
      </x:c>
      <x:c r="D233" s="11" t="str">
        <x:v>N4</x:v>
      </x:c>
      <x:c r="E233" s="11" t="str">
        <x:v>Đã gán theo nghĩa được chọn</x:v>
      </x:c>
      <x:c r="F233" s="11" t="str">
        <x:v>Phù hợp theo nghĩa làm việc</x:v>
      </x:c>
      <x:c r="G233" s="11" t="str">
        <x:v>Giữ làm đơn vị nghiên cứu</x:v>
      </x:c>
      <x:c r="H233" s="11" t="str">
        <x:v>Ngoại giao</x:v>
      </x:c>
      <x:c r="I233" s="11" t="str">
        <x:v>C110</x:v>
      </x:c>
      <x:c r="J233" s="11" t="str"/>
      <x:c r="K233" s="11" t="str">
        <x:v>비준 chuyên biệt hơn mọi nghĩa chung của “phê chuẩn”; nên ghi “phê chuẩn điều ước” trong định nghĩa. compatible = có khả năng tương ứng theo nghĩa làm việc; chưa thay thế kiểm tra câu song hành.</x:v>
      </x:c>
      <x:c r="L233" s="11" t="str"/>
      <x:c r="M233" s="11" t="str">
        <x:v>S222</x:v>
      </x:c>
      <x:c r="N233" s="11" t="str">
        <x:v>S222</x:v>
      </x:c>
      <x:c r="O233" s="11" t="str">
        <x:v>Danh sách C99</x:v>
      </x:c>
      <x:c r="P233" s="11" t="str">
        <x:v>Cần bổ sung nguồn định nghĩa</x:v>
      </x:c>
      <x:c r="Q233" s="11" t="str"/>
    </x:row>
    <x:row r="234" ht="57" customHeight="1">
      <x:c r="A234" s="11" t="str">
        <x:v>C114</x:v>
      </x:c>
      <x:c r="B234" s="11" t="str">
        <x:v>hoạt động gìn giữ hòa bình</x:v>
      </x:c>
      <x:c r="C234" s="11" t="str">
        <x:v>평화유지활동</x:v>
      </x:c>
      <x:c r="D234" s="11" t="str">
        <x:v>N4</x:v>
      </x:c>
      <x:c r="E234" s="11" t="str">
        <x:v>Đã gán theo nghĩa được chọn</x:v>
      </x:c>
      <x:c r="F234" s="11" t="str">
        <x:v>Phù hợp theo nghĩa làm việc</x:v>
      </x:c>
      <x:c r="G234" s="11" t="str">
        <x:v>Giữ làm đơn vị nghiên cứu</x:v>
      </x:c>
      <x:c r="H234" s="11" t="str">
        <x:v>Ngoại giao</x:v>
      </x:c>
      <x:c r="I234" s="11" t="str">
        <x:v>C114</x:v>
      </x:c>
      <x:c r="J234" s="11" t="str"/>
      <x:c r="K234" s="11" t="str">
        <x:v>Nghĩa được diễn đạt bằng hai ngôn ngữ từ nguồn EN; không giả định nguồn cung cấp mục từ ở cả hai ngôn ngữ. compatible = có khả năng tương ứng theo nghĩa làm việc; chưa thay thế kiểm tra câu song hành.</x:v>
      </x:c>
      <x:c r="L234" s="11" t="str">
        <x:v>S223</x:v>
      </x:c>
      <x:c r="M234" s="11" t="str">
        <x:v>S223</x:v>
      </x:c>
      <x:c r="N234" s="11" t="str">
        <x:v>S223</x:v>
      </x:c>
      <x:c r="O234" s="11" t="str">
        <x:v>Danh sách C99</x:v>
      </x:c>
      <x:c r="P234" s="11" t="str">
        <x:v>Ứng viên giữ — có căn cứ khái niệm</x:v>
      </x:c>
      <x:c r="Q234" s="11" t="str"/>
    </x:row>
    <x:row r="235" ht="57" customHeight="1">
      <x:c r="A235" s="11" t="str">
        <x:v>C117</x:v>
      </x:c>
      <x:c r="B235" s="11" t="str">
        <x:v>bảo hộ công dân</x:v>
      </x:c>
      <x:c r="C235" s="11" t="str">
        <x:v>영사 보호</x:v>
      </x:c>
      <x:c r="D235" s="11" t="str">
        <x:v>N4</x:v>
      </x:c>
      <x:c r="E235" s="11" t="str">
        <x:v>Đã gán theo nghĩa được chọn</x:v>
      </x:c>
      <x:c r="F235" s="19" t="str">
        <x:v>CẦN ĐỐI CHIẾU — khác phạm vi</x:v>
      </x:c>
      <x:c r="G235" s="11" t="str">
        <x:v>Cần xem xét tư cách/phạm vi</x:v>
      </x:c>
      <x:c r="H235" s="11" t="str">
        <x:v>Ngoại giao</x:v>
      </x:c>
      <x:c r="I235" s="11" t="str">
        <x:v>C117</x:v>
      </x:c>
      <x:c r="J235" s="11" t="str"/>
      <x:c r="K235" s="11" t="str">
        <x:v>Hai định nghĩa được viết riêng để giữ chênh lệch: bên Việt gọi bảo hộ công dân; bên Hàn nhấn công tác lãnh sự. Có thể tương ứng trong ngữ cảnh nhưng chưa khẳng định đồng nhất mọi phạm vi.</x:v>
      </x:c>
      <x:c r="L235" s="11" t="str"/>
      <x:c r="M235" s="11" t="str">
        <x:v>S224</x:v>
      </x:c>
      <x:c r="N235" s="11" t="str">
        <x:v>S224</x:v>
      </x:c>
      <x:c r="O235" s="11" t="str">
        <x:v>Danh sách C99</x:v>
      </x:c>
      <x:c r="P235" s="11" t="str">
        <x:v>Cần đối chiếu/sửa cặp</x:v>
      </x:c>
      <x:c r="Q235" s="11" t="str"/>
    </x:row>
    <x:row r="236" ht="57" customHeight="1">
      <x:c r="A236" s="11" t="str">
        <x:v>C122</x:v>
      </x:c>
      <x:c r="B236" s="11" t="str">
        <x:v>lễ mở ký</x:v>
      </x:c>
      <x:c r="C236" s="11" t="str">
        <x:v>서명식</x:v>
      </x:c>
      <x:c r="D236" s="11" t="str">
        <x:v>N4</x:v>
      </x:c>
      <x:c r="E236" s="11" t="str">
        <x:v>Đã gán theo nghĩa được chọn</x:v>
      </x:c>
      <x:c r="F236" s="19" t="str">
        <x:v>CẦN ĐỐI CHIẾU — khác phạm vi</x:v>
      </x:c>
      <x:c r="G236" s="11" t="str">
        <x:v>Cần xem xét tư cách/phạm vi</x:v>
      </x:c>
      <x:c r="H236" s="11" t="str">
        <x:v>Ngoại giao</x:v>
      </x:c>
      <x:c r="I236" s="11" t="str">
        <x:v>C122</x:v>
      </x:c>
      <x:c r="J236" s="11" t="str"/>
      <x:c r="K236" s="11" t="str">
        <x:v>Việt gọi lễ mở ký; Hàn 서명식 chỉ lễ ký nói chung. Giữ hai nghĩa riêng và cờ scope_difference; cần câu nguồn chứng minh cùng sự kiện. Nghĩa được diễn đạt bằng hai ngôn ngữ từ nguồn EN; không giả định nguồn cung cấp mục từ ở cả hai ngôn ngữ.</x:v>
      </x:c>
      <x:c r="L236" s="11" t="str">
        <x:v>S225</x:v>
      </x:c>
      <x:c r="M236" s="11" t="str"/>
      <x:c r="N236" s="11" t="str">
        <x:v>S225</x:v>
      </x:c>
      <x:c r="O236" s="11" t="str">
        <x:v>Danh sách C99</x:v>
      </x:c>
      <x:c r="P236" s="11" t="str">
        <x:v>Cần đối chiếu/sửa cặp</x:v>
      </x:c>
      <x:c r="Q236" s="11" t="str"/>
    </x:row>
    <x:row r="237" ht="57" customHeight="1">
      <x:c r="A237" s="11" t="str">
        <x:v>C123</x:v>
      </x:c>
      <x:c r="B237" s="11" t="str">
        <x:v>tương trợ tư pháp</x:v>
      </x:c>
      <x:c r="C237" s="11" t="str">
        <x:v>사법공조</x:v>
      </x:c>
      <x:c r="D237" s="11" t="str">
        <x:v>N4</x:v>
      </x:c>
      <x:c r="E237" s="11" t="str">
        <x:v>Đã gán theo nghĩa được chọn</x:v>
      </x:c>
      <x:c r="F237" s="11" t="str">
        <x:v>Phù hợp theo nghĩa làm việc</x:v>
      </x:c>
      <x:c r="G237" s="11" t="str">
        <x:v>Giữ làm đơn vị nghiên cứu</x:v>
      </x:c>
      <x:c r="H237" s="11" t="str">
        <x:v>Ngoại giao</x:v>
      </x:c>
      <x:c r="I237" s="11" t="str">
        <x:v>C123</x:v>
      </x:c>
      <x:c r="J237" s="11" t="str"/>
      <x:c r="K237" s="11" t="str">
        <x:v>Nghĩa được diễn đạt bằng hai ngôn ngữ từ nguồn KO; không giả định nguồn cung cấp mục từ ở cả hai ngôn ngữ. compatible = có khả năng tương ứng theo nghĩa làm việc; chưa thay thế kiểm tra câu song hành.</x:v>
      </x:c>
      <x:c r="L237" s="11" t="str">
        <x:v>S226</x:v>
      </x:c>
      <x:c r="M237" s="11" t="str">
        <x:v>S226</x:v>
      </x:c>
      <x:c r="N237" s="11" t="str">
        <x:v>S226</x:v>
      </x:c>
      <x:c r="O237" s="11" t="str">
        <x:v>Danh sách C99</x:v>
      </x:c>
      <x:c r="P237" s="11" t="str">
        <x:v>Ứng viên giữ — có căn cứ khái niệm</x:v>
      </x:c>
      <x:c r="Q237" s="11" t="str"/>
    </x:row>
    <x:row r="238" ht="72" customHeight="1">
      <x:c r="A238" s="11" t="str">
        <x:v>C125</x:v>
      </x:c>
      <x:c r="B238" s="11" t="str">
        <x:v>viện trợ không hoàn lại</x:v>
      </x:c>
      <x:c r="C238" s="11" t="str">
        <x:v>무상원조</x:v>
      </x:c>
      <x:c r="D238" s="16" t="str">
        <x:v>N4</x:v>
      </x:c>
      <x:c r="E238" s="16" t="str">
        <x:v>ĐỀ XUẤT — cần khóa nghĩa</x:v>
      </x:c>
      <x:c r="F238" s="16" t="str">
        <x:v>CẦN NGỮ CẢNH đối chiếu</x:v>
      </x:c>
      <x:c r="G238" s="11" t="str">
        <x:v>Cần xem xét tư cách/phạm vi</x:v>
      </x:c>
      <x:c r="H238" s="11" t="str">
        <x:v>Ngoại giao</x:v>
      </x:c>
      <x:c r="I238" s="11" t="str">
        <x:v>C125</x:v>
      </x:c>
      <x:c r="J238" s="11" t="str"/>
      <x:c r="K238" s="11" t="str">
        <x:v>N4.2 theo nghĩa hình thức hoạt động viện trợ. Nếu câu gọi khoản tiền/hàng viện trợ, khung năm nhóm chưa tiếp nhận rõ nguồn lực. Nghĩa được diễn đạt bằng hai ngôn ngữ từ nguồn KO; không giả định nguồn cung cấp mục từ ở cả hai ngôn ngữ. Nhóm hiện là đề xuất có điều kiện theo nghĩa làm việc, chưa chốt khi thiếu câu nguồn.</x:v>
      </x:c>
      <x:c r="L238" s="11" t="str">
        <x:v>S227</x:v>
      </x:c>
      <x:c r="M238" s="11" t="str">
        <x:v>S227</x:v>
      </x:c>
      <x:c r="N238" s="11" t="str">
        <x:v>S227</x:v>
      </x:c>
      <x:c r="O238" s="11" t="str">
        <x:v>Danh sách C99</x:v>
      </x:c>
      <x:c r="P238" s="11" t="str">
        <x:v>Cần khóa nghĩa để chốt nhóm</x:v>
      </x:c>
      <x:c r="Q238" s="11" t="str"/>
    </x:row>
    <x:row r="239" ht="57" customHeight="1">
      <x:c r="A239" s="11" t="str">
        <x:v>C127</x:v>
      </x:c>
      <x:c r="B239" s="11" t="str">
        <x:v>trao đổi đoàn</x:v>
      </x:c>
      <x:c r="C239" s="11" t="str">
        <x:v>대표단 교류</x:v>
      </x:c>
      <x:c r="D239" s="11" t="str">
        <x:v>N4</x:v>
      </x:c>
      <x:c r="E239" s="11" t="str">
        <x:v>Đã gán theo nghĩa được chọn</x:v>
      </x:c>
      <x:c r="F239" s="11" t="str">
        <x:v>Phù hợp theo nghĩa làm việc</x:v>
      </x:c>
      <x:c r="G239" s="11" t="str">
        <x:v>Giữ làm đơn vị nghiên cứu</x:v>
      </x:c>
      <x:c r="H239" s="11" t="str">
        <x:v>Ngoại giao</x:v>
      </x:c>
      <x:c r="I239" s="11" t="str">
        <x:v>C127</x:v>
      </x:c>
      <x:c r="J239" s="11" t="str"/>
      <x:c r="K239" s="11" t="str">
        <x:v>compatible = có khả năng tương ứng theo nghĩa làm việc; chưa thay thế kiểm tra câu song hành.</x:v>
      </x:c>
      <x:c r="L239" s="11" t="str"/>
      <x:c r="M239" s="11" t="str"/>
      <x:c r="N239" s="11" t="str"/>
      <x:c r="O239" s="11" t="str">
        <x:v>Danh sách C99</x:v>
      </x:c>
      <x:c r="P239" s="11" t="str">
        <x:v>Cần bổ sung nguồn định nghĩa</x:v>
      </x:c>
      <x:c r="Q239" s="11" t="str"/>
    </x:row>
    <x:row r="240" ht="57" customHeight="1">
      <x:c r="A240" s="11" t="str">
        <x:v>C128</x:v>
      </x:c>
      <x:c r="B240" s="11" t="str">
        <x:v>hợp tác địa phương</x:v>
      </x:c>
      <x:c r="C240" s="11" t="str">
        <x:v>지방 협력</x:v>
      </x:c>
      <x:c r="D240" s="11" t="str">
        <x:v>N4</x:v>
      </x:c>
      <x:c r="E240" s="11" t="str">
        <x:v>Đã gán theo nghĩa được chọn</x:v>
      </x:c>
      <x:c r="F240" s="11" t="str">
        <x:v>Phù hợp theo nghĩa làm việc</x:v>
      </x:c>
      <x:c r="G240" s="11" t="str">
        <x:v>Giữ làm đơn vị nghiên cứu</x:v>
      </x:c>
      <x:c r="H240" s="11" t="str">
        <x:v>Ngoại giao</x:v>
      </x:c>
      <x:c r="I240" s="11" t="str">
        <x:v>C128</x:v>
      </x:c>
      <x:c r="J240" s="11" t="str"/>
      <x:c r="K240" s="11" t="str">
        <x:v>compatible = có khả năng tương ứng theo nghĩa làm việc; chưa thay thế kiểm tra câu song hành.</x:v>
      </x:c>
      <x:c r="L240" s="11" t="str"/>
      <x:c r="M240" s="11" t="str"/>
      <x:c r="N240" s="11" t="str"/>
      <x:c r="O240" s="11" t="str">
        <x:v>Danh sách C99</x:v>
      </x:c>
      <x:c r="P240" s="11" t="str">
        <x:v>Cần bổ sung nguồn định nghĩa</x:v>
      </x:c>
      <x:c r="Q240" s="11" t="str"/>
    </x:row>
    <x:row r="241" ht="57" customHeight="1">
      <x:c r="A241" s="11" t="str">
        <x:v>C129</x:v>
      </x:c>
      <x:c r="B241" s="11" t="str">
        <x:v>những cuộc gặp gỡ giữa các vị lãnh đạo cấp cao hai bên</x:v>
      </x:c>
      <x:c r="C241" s="11" t="str">
        <x:v>고위급 회담</x:v>
      </x:c>
      <x:c r="D241" s="11" t="str">
        <x:v>N4</x:v>
      </x:c>
      <x:c r="E241" s="11" t="str">
        <x:v>Đã gán theo nghĩa được chọn</x:v>
      </x:c>
      <x:c r="F241" s="19" t="str">
        <x:v>CẦN ĐỐI CHIẾU — khác phạm vi</x:v>
      </x:c>
      <x:c r="G241" s="11" t="str">
        <x:v>Biểu thức ngữ liệu, chưa là mục từ chuẩn</x:v>
      </x:c>
      <x:c r="H241" s="11" t="str">
        <x:v>Ngoại giao</x:v>
      </x:c>
      <x:c r="I241" s="11" t="str">
        <x:v>C129</x:v>
      </x:c>
      <x:c r="J241" s="11" t="str"/>
      <x:c r="K241" s="11" t="str">
        <x:v>Cụm Việt là diễn đạt trong câu, chưa phải nhãn mục từ chuẩn; có thể đề xuất hội đàm cấp cao ở cột chuẩn hóa. Hàn không tự mã hóa số nhiều và hai bên.</x:v>
      </x:c>
      <x:c r="L241" s="11" t="str"/>
      <x:c r="M241" s="11" t="str"/>
      <x:c r="N241" s="11" t="str"/>
      <x:c r="O241" s="11" t="str">
        <x:v>Danh sách C99</x:v>
      </x:c>
      <x:c r="P241" s="11" t="str">
        <x:v>Biểu thức ngữ liệu — cần chuẩn hóa</x:v>
      </x:c>
      <x:c r="Q241" s="11" t="str">
        <x:v>VI: hội đàm cấp cao — chỉ nhận khi câu nguồn xác nhận loại hoạt động này.</x:v>
      </x:c>
    </x:row>
    <x:row r="242" ht="57" customHeight="1">
      <x:c r="A242" s="11" t="str">
        <x:v>C130</x:v>
      </x:c>
      <x:c r="B242" s="11" t="str">
        <x:v>Hợp tác kênh Đảng</x:v>
      </x:c>
      <x:c r="C242" s="11" t="str">
        <x:v>당 대 당 협력</x:v>
      </x:c>
      <x:c r="D242" s="11" t="str">
        <x:v>N4</x:v>
      </x:c>
      <x:c r="E242" s="11" t="str">
        <x:v>Đã gán theo nghĩa được chọn</x:v>
      </x:c>
      <x:c r="F242" s="11" t="str">
        <x:v>Phù hợp theo nghĩa làm việc</x:v>
      </x:c>
      <x:c r="G242" s="11" t="str">
        <x:v>Giữ làm đơn vị nghiên cứu</x:v>
      </x:c>
      <x:c r="H242" s="11" t="str">
        <x:v>Ngoại giao</x:v>
      </x:c>
      <x:c r="I242" s="11" t="str">
        <x:v>C130</x:v>
      </x:c>
      <x:c r="J242" s="11" t="str"/>
      <x:c r="K242" s="11" t="str">
        <x:v>compatible = có khả năng tương ứng theo nghĩa làm việc; chưa thay thế kiểm tra câu song hành.</x:v>
      </x:c>
      <x:c r="L242" s="11" t="str"/>
      <x:c r="M242" s="11" t="str"/>
      <x:c r="N242" s="11" t="str"/>
      <x:c r="O242" s="11" t="str">
        <x:v>Danh sách C99</x:v>
      </x:c>
      <x:c r="P242" s="11" t="str">
        <x:v>Cần bổ sung nguồn định nghĩa</x:v>
      </x:c>
      <x:c r="Q242" s="11" t="str"/>
    </x:row>
    <x:row r="243" ht="57" customHeight="1">
      <x:c r="A243" s="11" t="str">
        <x:v>C132</x:v>
      </x:c>
      <x:c r="B243" s="11" t="str">
        <x:v>ngoại giao Nhà nước</x:v>
      </x:c>
      <x:c r="C243" s="11" t="str">
        <x:v>국가 외교</x:v>
      </x:c>
      <x:c r="D243" s="11" t="str">
        <x:v>N4</x:v>
      </x:c>
      <x:c r="E243" s="11" t="str">
        <x:v>Đã gán theo nghĩa được chọn</x:v>
      </x:c>
      <x:c r="F243" s="11" t="str">
        <x:v>Phù hợp theo nghĩa làm việc</x:v>
      </x:c>
      <x:c r="G243" s="11" t="str">
        <x:v>Giữ làm đơn vị nghiên cứu</x:v>
      </x:c>
      <x:c r="H243" s="11" t="str">
        <x:v>Ngoại giao</x:v>
      </x:c>
      <x:c r="I243" s="11" t="str">
        <x:v>C132</x:v>
      </x:c>
      <x:c r="J243" s="11" t="str"/>
      <x:c r="K243" s="11" t="str">
        <x:v>compatible = có khả năng tương ứng theo nghĩa làm việc; chưa thay thế kiểm tra câu song hành.</x:v>
      </x:c>
      <x:c r="L243" s="11" t="str"/>
      <x:c r="M243" s="11" t="str"/>
      <x:c r="N243" s="11" t="str"/>
      <x:c r="O243" s="11" t="str">
        <x:v>Danh sách C99</x:v>
      </x:c>
      <x:c r="P243" s="11" t="str">
        <x:v>Cần bổ sung nguồn định nghĩa</x:v>
      </x:c>
      <x:c r="Q243" s="11" t="str"/>
    </x:row>
    <x:row r="244" ht="57" customHeight="1">
      <x:c r="A244" s="11" t="str">
        <x:v>C133</x:v>
      </x:c>
      <x:c r="B244" s="11" t="str">
        <x:v>ngoại giao láng giềng</x:v>
      </x:c>
      <x:c r="C244" s="11" t="str">
        <x:v>주변 외교</x:v>
      </x:c>
      <x:c r="D244" s="11" t="str">
        <x:v>N4</x:v>
      </x:c>
      <x:c r="E244" s="11" t="str">
        <x:v>Đã gán theo nghĩa được chọn</x:v>
      </x:c>
      <x:c r="F244" s="16" t="str">
        <x:v>CẦN NGỮ CẢNH đối chiếu</x:v>
      </x:c>
      <x:c r="G244" s="11" t="str">
        <x:v>Cần xem xét tư cách/phạm vi</x:v>
      </x:c>
      <x:c r="H244" s="11" t="str">
        <x:v>Ngoại giao</x:v>
      </x:c>
      <x:c r="I244" s="11" t="str">
        <x:v>C133</x:v>
      </x:c>
      <x:c r="J244" s="11" t="str"/>
      <x:c r="K244" s="11" t="str">
        <x:v>주변 có thể rộng hơn các nước chung biên giới/láng giềng theo cách hiểu Việt. Giữ nghĩa lĩnh vực hoạt động, cần câu đối chiếu.</x:v>
      </x:c>
      <x:c r="L244" s="11" t="str"/>
      <x:c r="M244" s="11" t="str"/>
      <x:c r="N244" s="11" t="str"/>
      <x:c r="O244" s="11" t="str">
        <x:v>Danh sách C99</x:v>
      </x:c>
      <x:c r="P244" s="11" t="str">
        <x:v>Cần ngữ cảnh song ngữ</x:v>
      </x:c>
      <x:c r="Q244" s="11" t="str"/>
    </x:row>
    <x:row r="245" ht="57" customHeight="1">
      <x:c r="A245" s="11" t="str">
        <x:v>C134</x:v>
      </x:c>
      <x:c r="B245" s="11" t="str">
        <x:v>hợp tác tư pháp</x:v>
      </x:c>
      <x:c r="C245" s="11" t="str">
        <x:v>사법 협력</x:v>
      </x:c>
      <x:c r="D245" s="11" t="str">
        <x:v>N4</x:v>
      </x:c>
      <x:c r="E245" s="11" t="str">
        <x:v>Đã gán theo nghĩa được chọn</x:v>
      </x:c>
      <x:c r="F245" s="11" t="str">
        <x:v>Phù hợp theo nghĩa làm việc</x:v>
      </x:c>
      <x:c r="G245" s="11" t="str">
        <x:v>Giữ làm đơn vị nghiên cứu</x:v>
      </x:c>
      <x:c r="H245" s="11" t="str">
        <x:v>Ngoại giao</x:v>
      </x:c>
      <x:c r="I245" s="11" t="str">
        <x:v>C134</x:v>
      </x:c>
      <x:c r="J245" s="11" t="str"/>
      <x:c r="K245" s="11" t="str">
        <x:v>compatible = có khả năng tương ứng theo nghĩa làm việc; chưa thay thế kiểm tra câu song hành.</x:v>
      </x:c>
      <x:c r="L245" s="11" t="str"/>
      <x:c r="M245" s="11" t="str"/>
      <x:c r="N245" s="11" t="str"/>
      <x:c r="O245" s="11" t="str">
        <x:v>Danh sách C99</x:v>
      </x:c>
      <x:c r="P245" s="11" t="str">
        <x:v>Cần bổ sung nguồn định nghĩa</x:v>
      </x:c>
      <x:c r="Q245" s="11" t="str"/>
    </x:row>
    <x:row r="246" ht="57" customHeight="1">
      <x:c r="A246" s="11" t="str">
        <x:v>C135</x:v>
      </x:c>
      <x:c r="B246" s="11" t="str">
        <x:v>hợp tác phát triển</x:v>
      </x:c>
      <x:c r="C246" s="11" t="str">
        <x:v>개발 협력</x:v>
      </x:c>
      <x:c r="D246" s="11" t="str">
        <x:v>N4</x:v>
      </x:c>
      <x:c r="E246" s="11" t="str">
        <x:v>Đã gán theo nghĩa được chọn</x:v>
      </x:c>
      <x:c r="F246" s="11" t="str">
        <x:v>Phù hợp theo nghĩa làm việc</x:v>
      </x:c>
      <x:c r="G246" s="11" t="str">
        <x:v>Giữ làm đơn vị nghiên cứu</x:v>
      </x:c>
      <x:c r="H246" s="11" t="str">
        <x:v>Ngoại giao</x:v>
      </x:c>
      <x:c r="I246" s="11" t="str">
        <x:v>C135</x:v>
      </x:c>
      <x:c r="J246" s="11" t="str"/>
      <x:c r="K246" s="11" t="str">
        <x:v>Nghĩa được diễn đạt bằng hai ngôn ngữ từ nguồn KO; không giả định nguồn cung cấp mục từ ở cả hai ngôn ngữ. compatible = có khả năng tương ứng theo nghĩa làm việc; chưa thay thế kiểm tra câu song hành.</x:v>
      </x:c>
      <x:c r="L246" s="11" t="str">
        <x:v>S227</x:v>
      </x:c>
      <x:c r="M246" s="11" t="str">
        <x:v>S227</x:v>
      </x:c>
      <x:c r="N246" s="11" t="str">
        <x:v>S227</x:v>
      </x:c>
      <x:c r="O246" s="11" t="str">
        <x:v>Danh sách C99</x:v>
      </x:c>
      <x:c r="P246" s="11" t="str">
        <x:v>Ứng viên giữ — có căn cứ khái niệm</x:v>
      </x:c>
      <x:c r="Q246" s="11" t="str"/>
    </x:row>
    <x:row r="247" ht="87" customHeight="1">
      <x:c r="A247" s="11" t="str">
        <x:v>C137</x:v>
      </x:c>
      <x:c r="B247" s="11" t="str">
        <x:v>Tuyên bố chung</x:v>
      </x:c>
      <x:c r="C247" s="11" t="str">
        <x:v>공동성명</x:v>
      </x:c>
      <x:c r="D247" s="11" t="str">
        <x:v>N5</x:v>
      </x:c>
      <x:c r="E247" s="11" t="str">
        <x:v>Đã gán theo nghĩa được chọn</x:v>
      </x:c>
      <x:c r="F247" s="11" t="str">
        <x:v>Phù hợp theo nghĩa làm việc</x:v>
      </x:c>
      <x:c r="G247" s="11" t="str">
        <x:v>Giữ làm đơn vị nghiên cứu</x:v>
      </x:c>
      <x:c r="H247" s="11" t="str">
        <x:v>Ngoại giao</x:v>
      </x:c>
      <x:c r="I247" s="11" t="str">
        <x:v>C137</x:v>
      </x:c>
      <x:c r="J247" s="11" t="str"/>
      <x:c r="K247" s="11" t="str">
        <x:v>Nghĩa được diễn đạt bằng hai ngôn ngữ từ nguồn KO; không giả định nguồn cung cấp mục từ ở cả hai ngôn ngữ. 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L247" s="11" t="str">
        <x:v>S228</x:v>
      </x:c>
      <x:c r="M247" s="11" t="str">
        <x:v>S228</x:v>
      </x:c>
      <x:c r="N247" s="11" t="str">
        <x:v>S228</x:v>
      </x:c>
      <x:c r="O247" s="11" t="str">
        <x:v>Danh sách C99</x:v>
      </x:c>
      <x:c r="P247" s="11" t="str">
        <x:v>Ứng viên giữ — có căn cứ khái niệm</x:v>
      </x:c>
      <x:c r="Q247" s="11" t="str"/>
    </x:row>
    <x:row r="248" ht="72" customHeight="1">
      <x:c r="A248" s="11" t="str">
        <x:v>C139</x:v>
      </x:c>
      <x:c r="B248" s="11" t="str">
        <x:v>Thư ủy nhiệm</x:v>
      </x:c>
      <x:c r="C248" s="11" t="str">
        <x:v>신임장</x:v>
      </x:c>
      <x:c r="D248" s="11" t="str">
        <x:v>N5</x:v>
      </x:c>
      <x:c r="E248" s="11" t="str">
        <x:v>Đã gán theo nghĩa được chọn</x:v>
      </x:c>
      <x:c r="F248" s="11" t="str">
        <x:v>Phù hợp theo nghĩa làm việc</x:v>
      </x:c>
      <x:c r="G248" s="11" t="str">
        <x:v>Giữ làm đơn vị nghiên cứu</x:v>
      </x:c>
      <x:c r="H248" s="11" t="str">
        <x:v>Ngoại giao</x:v>
      </x:c>
      <x:c r="I248" s="11" t="str">
        <x:v>C139</x:v>
      </x:c>
      <x:c r="J248" s="11" t="str"/>
      <x:c r="K248" s="11" t="str">
        <x:v>Thư ủy nhiệm không mặc nhiên sai; MOFA Việt Nam dùng cả Quốc thư và Thư ủy nhiệm trong ngữ cảnh đại sứ. Nghĩa được diễn đạt bằng hai ngôn ngữ từ nguồn KO; không giả định nguồn cung cấp mục từ ở cả hai ngôn ngữ. compatible = có khả năng tương ứng theo nghĩa làm việc; chưa thay thế kiểm tra câu song hành.</x:v>
      </x:c>
      <x:c r="L248" s="11" t="str">
        <x:v>S230</x:v>
      </x:c>
      <x:c r="M248" s="11" t="str">
        <x:v>S229</x:v>
      </x:c>
      <x:c r="N248" s="11" t="str">
        <x:v>S229; S230</x:v>
      </x:c>
      <x:c r="O248" s="11" t="str">
        <x:v>Danh sách C99</x:v>
      </x:c>
      <x:c r="P248" s="11" t="str">
        <x:v>Ứng viên giữ — có căn cứ khái niệm</x:v>
      </x:c>
      <x:c r="Q248" s="11" t="str"/>
    </x:row>
    <x:row r="249" ht="57" customHeight="1">
      <x:c r="A249" s="11" t="str">
        <x:v>C141</x:v>
      </x:c>
      <x:c r="B249" s="11" t="str">
        <x:v>điều ước quốc tế</x:v>
      </x:c>
      <x:c r="C249" s="11" t="str">
        <x:v>국제조약</x:v>
      </x:c>
      <x:c r="D249" s="11" t="str">
        <x:v>N5</x:v>
      </x:c>
      <x:c r="E249" s="11" t="str">
        <x:v>Đã gán theo nghĩa được chọn</x:v>
      </x:c>
      <x:c r="F249" s="11" t="str">
        <x:v>Phù hợp theo nghĩa làm việc</x:v>
      </x:c>
      <x:c r="G249" s="11" t="str">
        <x:v>Giữ làm đơn vị nghiên cứu</x:v>
      </x:c>
      <x:c r="H249" s="11" t="str">
        <x:v>Ngoại giao</x:v>
      </x:c>
      <x:c r="I249" s="11" t="str">
        <x:v>C141</x:v>
      </x:c>
      <x:c r="J249" s="11" t="str"/>
      <x:c r="K249" s="11" t="str">
        <x:v>Nghĩa được diễn đạt bằng hai ngôn ngữ từ nguồn EN; không giả định nguồn cung cấp mục từ ở cả hai ngôn ngữ. compatible = có khả năng tương ứng theo nghĩa làm việc; chưa thay thế kiểm tra câu song hành.</x:v>
      </x:c>
      <x:c r="L249" s="11" t="str">
        <x:v>S162</x:v>
      </x:c>
      <x:c r="M249" s="11" t="str">
        <x:v>S231</x:v>
      </x:c>
      <x:c r="N249" s="11" t="str">
        <x:v>S162; S231</x:v>
      </x:c>
      <x:c r="O249" s="11" t="str">
        <x:v>Danh sách C99</x:v>
      </x:c>
      <x:c r="P249" s="11" t="str">
        <x:v>Ứng viên giữ — có căn cứ khái niệm</x:v>
      </x:c>
      <x:c r="Q249" s="11" t="str"/>
    </x:row>
    <x:row r="250" ht="57" customHeight="1">
      <x:c r="A250" s="11" t="str">
        <x:v>C142</x:v>
      </x:c>
      <x:c r="B250" s="11" t="str">
        <x:v>thỏa thuận hợp tác</x:v>
      </x:c>
      <x:c r="C250" s="11" t="str">
        <x:v>협정</x:v>
      </x:c>
      <x:c r="D250" s="11" t="str">
        <x:v>N5</x:v>
      </x:c>
      <x:c r="E250" s="11" t="str">
        <x:v>Đã gán theo nghĩa được chọn</x:v>
      </x:c>
      <x:c r="F250" s="19" t="str">
        <x:v>CẦN ĐỐI CHIẾU — khác phạm vi</x:v>
      </x:c>
      <x:c r="G250" s="11" t="str">
        <x:v>Cần xem xét tư cách/phạm vi</x:v>
      </x:c>
      <x:c r="H250" s="11" t="str">
        <x:v>Ngoại giao</x:v>
      </x:c>
      <x:c r="I250" s="11" t="str">
        <x:v>C142</x:v>
      </x:c>
      <x:c r="J250" s="11" t="str"/>
      <x:c r="K250" s="11" t="str">
        <x:v>협정 không tự chứa nét nghĩa hợp tác; từ điển còn nêu hành vi thỏa thuận. Chỉ xếp N5 theo nghĩa văn kiện được chọn. Nghĩa được diễn đạt bằng hai ngôn ngữ từ nguồn EN; không giả định nguồn cung cấp mục từ ở cả hai ngôn ngữ.</x:v>
      </x:c>
      <x:c r="L250" s="11" t="str">
        <x:v>S162</x:v>
      </x:c>
      <x:c r="M250" s="11" t="str">
        <x:v>S232</x:v>
      </x:c>
      <x:c r="N250" s="11" t="str">
        <x:v>S232; S162</x:v>
      </x:c>
      <x:c r="O250" s="11" t="str">
        <x:v>Danh sách C99</x:v>
      </x:c>
      <x:c r="P250" s="11" t="str">
        <x:v>Cần đối chiếu/sửa cặp</x:v>
      </x:c>
      <x:c r="Q250" s="11" t="str">
        <x:v>VI: hiệp định / thỏa thuận — chọn theo văn kiện; thành tố hợp tác cần chứng cứ riêng.</x:v>
      </x:c>
    </x:row>
    <x:row r="251" ht="57" customHeight="1">
      <x:c r="A251" s="11" t="str">
        <x:v>C143</x:v>
      </x:c>
      <x:c r="B251" s="11" t="str">
        <x:v>Nghị định thư</x:v>
      </x:c>
      <x:c r="C251" s="11" t="str">
        <x:v>의정서</x:v>
      </x:c>
      <x:c r="D251" s="11" t="str">
        <x:v>N5</x:v>
      </x:c>
      <x:c r="E251" s="11" t="str">
        <x:v>Đã gán theo nghĩa được chọn</x:v>
      </x:c>
      <x:c r="F251" s="11" t="str">
        <x:v>Phù hợp theo nghĩa làm việc</x:v>
      </x:c>
      <x:c r="G251" s="11" t="str">
        <x:v>Giữ làm đơn vị nghiên cứu</x:v>
      </x:c>
      <x:c r="H251" s="11" t="str">
        <x:v>Ngoại giao</x:v>
      </x:c>
      <x:c r="I251" s="11" t="str">
        <x:v>C143</x:v>
      </x:c>
      <x:c r="J251" s="11" t="str"/>
      <x:c r="K251" s="11" t="str">
        <x:v>Nghĩa được diễn đạt bằng hai ngôn ngữ từ nguồn KO; không giả định nguồn cung cấp mục từ ở cả hai ngôn ngữ. compatible = có khả năng tương ứng theo nghĩa làm việc; chưa thay thế kiểm tra câu song hành.</x:v>
      </x:c>
      <x:c r="L251" s="11" t="str">
        <x:v>S233</x:v>
      </x:c>
      <x:c r="M251" s="11" t="str">
        <x:v>S233</x:v>
      </x:c>
      <x:c r="N251" s="11" t="str">
        <x:v>S233</x:v>
      </x:c>
      <x:c r="O251" s="11" t="str">
        <x:v>Danh sách C99</x:v>
      </x:c>
      <x:c r="P251" s="11" t="str">
        <x:v>Ứng viên giữ — có căn cứ khái niệm</x:v>
      </x:c>
      <x:c r="Q251" s="11" t="str"/>
    </x:row>
    <x:row r="252" ht="72" customHeight="1">
      <x:c r="A252" s="11" t="str">
        <x:v>C144</x:v>
      </x:c>
      <x:c r="B252" s="11" t="str">
        <x:v>Hiệp định Thương mại tự do</x:v>
      </x:c>
      <x:c r="C252" s="11" t="str">
        <x:v>자유무역협정</x:v>
      </x:c>
      <x:c r="D252" s="11" t="str">
        <x:v>N5</x:v>
      </x:c>
      <x:c r="E252" s="11" t="str">
        <x:v>Đã gán theo nghĩa được chọn</x:v>
      </x:c>
      <x:c r="F252" s="11" t="str">
        <x:v>Phù hợp theo nghĩa làm việc</x:v>
      </x:c>
      <x:c r="G252" s="11" t="str">
        <x:v>Giữ làm đơn vị nghiên cứu</x:v>
      </x:c>
      <x:c r="H252" s="11" t="str">
        <x:v>Ngoại giao</x:v>
      </x:c>
      <x:c r="I252" s="11" t="str">
        <x:v>C144</x:v>
      </x:c>
      <x:c r="J252" s="11" t="str"/>
      <x:c r="K252" s="11" t="str">
        <x:v>Biểu thức gọi loại hiệp định, không phải tên riêng chỉ vì viết hoa; N5.1. Nghĩa được diễn đạt bằng hai ngôn ngữ từ nguồn KO; không giả định nguồn cung cấp mục từ ở cả hai ngôn ngữ. compatible = có khả năng tương ứng theo nghĩa làm việc; chưa thay thế kiểm tra câu song hành.</x:v>
      </x:c>
      <x:c r="L252" s="11" t="str">
        <x:v>S234</x:v>
      </x:c>
      <x:c r="M252" s="11" t="str">
        <x:v>S234</x:v>
      </x:c>
      <x:c r="N252" s="11" t="str">
        <x:v>S234</x:v>
      </x:c>
      <x:c r="O252" s="11" t="str">
        <x:v>Danh sách C99</x:v>
      </x:c>
      <x:c r="P252" s="11" t="str">
        <x:v>Ứng viên giữ — có căn cứ khái niệm</x:v>
      </x:c>
      <x:c r="Q252" s="11" t="str"/>
    </x:row>
    <x:row r="253" ht="87" customHeight="1">
      <x:c r="A253" s="11" t="str">
        <x:v>C145</x:v>
      </x:c>
      <x:c r="B253" s="11" t="str">
        <x:v>Hiệp định Bảo hộ đầu tư</x:v>
      </x:c>
      <x:c r="C253" s="11" t="str">
        <x:v>투자보호협정</x:v>
      </x:c>
      <x:c r="D253" s="11" t="str">
        <x:v>N5</x:v>
      </x:c>
      <x:c r="E253" s="11" t="str">
        <x:v>Đã gán theo nghĩa được chọn</x:v>
      </x:c>
      <x:c r="F253" s="11" t="str">
        <x:v>Phù hợp theo nghĩa làm việc</x:v>
      </x:c>
      <x:c r="G253" s="11" t="str">
        <x:v>Giữ làm đơn vị nghiên cứu</x:v>
      </x:c>
      <x:c r="H253" s="11" t="str">
        <x:v>Ngoại giao</x:v>
      </x:c>
      <x:c r="I253" s="11" t="str">
        <x:v>C145</x:v>
      </x:c>
      <x:c r="J253" s="11" t="str"/>
      <x:c r="K253" s="11" t="str">
        <x:v>Biểu thức chưa định danh một hiệp định đầu tư cụ thể; N5.1. Nghĩa được diễn đạt bằng hai ngôn ngữ từ nguồn KO; không giả định nguồn cung cấp mục từ ở cả hai ngôn ngữ. Nguồn Hàn vừa tra dùng 투자보장협정, là dạng gần về khái niệm; không ghi found_exact cho 투자보호협정. compatible = có khả năng tương ứng theo nghĩa làm việc; chưa thay thế kiểm tra câu song hành.</x:v>
      </x:c>
      <x:c r="L253" s="11" t="str">
        <x:v>S235</x:v>
      </x:c>
      <x:c r="M253" s="11" t="str">
        <x:v>S235</x:v>
      </x:c>
      <x:c r="N253" s="11" t="str">
        <x:v>S235</x:v>
      </x:c>
      <x:c r="O253" s="11" t="str">
        <x:v>Danh sách C99</x:v>
      </x:c>
      <x:c r="P253" s="11" t="str">
        <x:v>Ứng viên giữ — có căn cứ khái niệm</x:v>
      </x:c>
      <x:c r="Q253" s="11" t="str"/>
    </x:row>
    <x:row r="254" ht="72" customHeight="1">
      <x:c r="A254" s="11" t="str">
        <x:v>C151</x:v>
      </x:c>
      <x:c r="B254" s="11" t="str">
        <x:v>Công ước Hà Nội</x:v>
      </x:c>
      <x:c r="C254" s="11" t="str">
        <x:v>하노이협약</x:v>
      </x:c>
      <x:c r="D254" s="11" t="str">
        <x:v>N5</x:v>
      </x:c>
      <x:c r="E254" s="11" t="str">
        <x:v>Đã gán theo nghĩa được chọn</x:v>
      </x:c>
      <x:c r="F254" s="11" t="str">
        <x:v>Phù hợp theo nghĩa làm việc</x:v>
      </x:c>
      <x:c r="G254" s="11" t="str">
        <x:v>Giữ làm đơn vị nghiên cứu</x:v>
      </x:c>
      <x:c r="H254" s="11" t="str">
        <x:v>Ngoại giao</x:v>
      </x:c>
      <x:c r="I254" s="11" t="str">
        <x:v>C151</x:v>
      </x:c>
      <x:c r="J254" s="11" t="str">
        <x:v>C161 — cùng Công ước Hà Nội</x:v>
      </x:c>
      <x:c r="K254" s="11" t="str">
        <x:v>Đồng danh với C161; thống kê hình thức có thể giữ cả hai, thống kê khái niệm cần liên kết một văn kiện. Nghĩa được diễn đạt bằng hai ngôn ngữ từ nguồn VI; không giả định nguồn cung cấp mục từ ở cả hai ngôn ngữ. compatible = có khả năng tương ứng theo nghĩa làm việc; chưa thay thế kiểm tra câu song hành.</x:v>
      </x:c>
      <x:c r="L254" s="11" t="str">
        <x:v>S236</x:v>
      </x:c>
      <x:c r="M254" s="11" t="str">
        <x:v>S236</x:v>
      </x:c>
      <x:c r="N254" s="11" t="str">
        <x:v>S236</x:v>
      </x:c>
      <x:c r="O254" s="11" t="str">
        <x:v>Danh sách C99</x:v>
      </x:c>
      <x:c r="P254" s="11" t="str">
        <x:v>Ứng viên giữ — có căn cứ khái niệm</x:v>
      </x:c>
      <x:c r="Q254" s="11" t="str"/>
    </x:row>
    <x:row r="255" ht="87" customHeight="1">
      <x:c r="A255" s="11" t="str">
        <x:v>C154</x:v>
      </x:c>
      <x:c r="B255" s="11" t="str">
        <x:v>Thỏa thuận Paris</x:v>
      </x:c>
      <x:c r="C255" s="11" t="str">
        <x:v>파리협정</x:v>
      </x:c>
      <x:c r="D255" s="16" t="str">
        <x:v>N5</x:v>
      </x:c>
      <x:c r="E255" s="16" t="str">
        <x:v>ĐỀ XUẤT — cần khóa nghĩa</x:v>
      </x:c>
      <x:c r="F255" s="16" t="str">
        <x:v>CẦN NGỮ CẢNH đối chiếu</x:v>
      </x:c>
      <x:c r="G255" s="11" t="str">
        <x:v>Cần xem xét tư cách/phạm vi</x:v>
      </x:c>
      <x:c r="H255" s="11" t="str">
        <x:v>Ngoại giao</x:v>
      </x:c>
      <x:c r="I255" s="11" t="str">
        <x:v>C154</x:v>
      </x:c>
      <x:c r="J255" s="11" t="str"/>
      <x:c r="K255" s="11" t="str">
        <x:v>Chưa có câu nguồn để loại trừ các thỏa thuận Paris khác; định nghĩa khí hậu 2015 chỉ là lựa chọn tạm. N5.2 không thay đổi vì vẫn là tên văn kiện. Nghĩa được diễn đạt bằng hai ngôn ngữ từ nguồn EN; không giả định nguồn cung cấp mục từ ở cả hai ngôn ngữ. proper_name_official chỉ áp dụng tên văn kiện khí hậu đã giả định; quy chiếu ngữ liệu vẫn context_required.</x:v>
      </x:c>
      <x:c r="L255" s="11" t="str">
        <x:v>S237</x:v>
      </x:c>
      <x:c r="M255" s="11" t="str">
        <x:v>S237</x:v>
      </x:c>
      <x:c r="N255" s="11" t="str">
        <x:v>S237</x:v>
      </x:c>
      <x:c r="O255" s="11" t="str">
        <x:v>Danh sách C99</x:v>
      </x:c>
      <x:c r="P255" s="11" t="str">
        <x:v>Cần khóa nghĩa để chốt nhóm</x:v>
      </x:c>
      <x:c r="Q255" s="11" t="str"/>
    </x:row>
    <x:row r="256" ht="57" customHeight="1">
      <x:c r="A256" s="11" t="str">
        <x:v>C155</x:v>
      </x:c>
      <x:c r="B256" s="11" t="str">
        <x:v>Nghị định thư Kyoto</x:v>
      </x:c>
      <x:c r="C256" s="11" t="str">
        <x:v>교토의정서</x:v>
      </x:c>
      <x:c r="D256" s="11" t="str">
        <x:v>N5</x:v>
      </x:c>
      <x:c r="E256" s="11" t="str">
        <x:v>Đã gán theo nghĩa được chọn</x:v>
      </x:c>
      <x:c r="F256" s="11" t="str">
        <x:v>Phù hợp theo nghĩa làm việc</x:v>
      </x:c>
      <x:c r="G256" s="11" t="str">
        <x:v>Giữ làm đơn vị nghiên cứu</x:v>
      </x:c>
      <x:c r="H256" s="11" t="str">
        <x:v>Ngoại giao</x:v>
      </x:c>
      <x:c r="I256" s="11" t="str">
        <x:v>C155</x:v>
      </x:c>
      <x:c r="J256" s="11" t="str"/>
      <x:c r="K256" s="11" t="str">
        <x:v>Nghĩa được diễn đạt bằng hai ngôn ngữ từ nguồn EN; không giả định nguồn cung cấp mục từ ở cả hai ngôn ngữ. compatible = có khả năng tương ứng theo nghĩa làm việc; chưa thay thế kiểm tra câu song hành.</x:v>
      </x:c>
      <x:c r="L256" s="11" t="str">
        <x:v>S238</x:v>
      </x:c>
      <x:c r="M256" s="11" t="str">
        <x:v>S238</x:v>
      </x:c>
      <x:c r="N256" s="11" t="str">
        <x:v>S238</x:v>
      </x:c>
      <x:c r="O256" s="11" t="str">
        <x:v>Danh sách C99</x:v>
      </x:c>
      <x:c r="P256" s="11" t="str">
        <x:v>Ứng viên giữ — có căn cứ khái niệm</x:v>
      </x:c>
      <x:c r="Q256" s="11" t="str"/>
    </x:row>
    <x:row r="257" ht="72" customHeight="1">
      <x:c r="A257" s="11" t="str">
        <x:v>C157</x:v>
      </x:c>
      <x:c r="B257" s="11" t="str">
        <x:v>Hiệp định Đối tác Toàn diện và tiến bộ xuyên Thái Bình Dương</x:v>
      </x:c>
      <x:c r="C257" s="11" t="str">
        <x:v>포괄적·점진적 환태평양경제동반자협정</x:v>
      </x:c>
      <x:c r="D257" s="11" t="str">
        <x:v>N5</x:v>
      </x:c>
      <x:c r="E257" s="11" t="str">
        <x:v>Đã gán theo nghĩa được chọn</x:v>
      </x:c>
      <x:c r="F257" s="11" t="str">
        <x:v>Phù hợp theo nghĩa làm việc</x:v>
      </x:c>
      <x:c r="G257" s="11" t="str">
        <x:v>Giữ làm đơn vị nghiên cứu</x:v>
      </x:c>
      <x:c r="H257" s="11" t="str">
        <x:v>Ngoại giao</x:v>
      </x:c>
      <x:c r="I257" s="11" t="str">
        <x:v>C157</x:v>
      </x:c>
      <x:c r="J257" s="11" t="str"/>
      <x:c r="K257" s="11" t="str">
        <x:v>Chuẩn hóa hoa/thường tiếng Việt nếu biên tập nhãn: “Hiệp định Đối tác Toàn diện và Tiến bộ xuyên Thái Bình Dương”. Nghĩa được diễn đạt bằng hai ngôn ngữ từ nguồn EN; không giả định nguồn cung cấp mục từ ở cả hai ngôn ngữ. compatible = có khả năng tương ứng theo nghĩa làm việc; chưa thay thế kiểm tra câu song hành.</x:v>
      </x:c>
      <x:c r="L257" s="11" t="str">
        <x:v>S239</x:v>
      </x:c>
      <x:c r="M257" s="11" t="str">
        <x:v>S239</x:v>
      </x:c>
      <x:c r="N257" s="11" t="str">
        <x:v>S239</x:v>
      </x:c>
      <x:c r="O257" s="11" t="str">
        <x:v>Danh sách C99</x:v>
      </x:c>
      <x:c r="P257" s="11" t="str">
        <x:v>Ứng viên giữ — có căn cứ khái niệm</x:v>
      </x:c>
      <x:c r="Q257" s="11" t="str"/>
    </x:row>
    <x:row r="258" ht="72" customHeight="1">
      <x:c r="A258" s="11" t="str">
        <x:v>C159</x:v>
      </x:c>
      <x:c r="B258" s="11" t="str">
        <x:v>Chương trình hành động</x:v>
      </x:c>
      <x:c r="C258" s="11" t="str">
        <x:v>행동계획</x:v>
      </x:c>
      <x:c r="D258" s="16" t="str">
        <x:v>N5</x:v>
      </x:c>
      <x:c r="E258" s="16" t="str">
        <x:v>ĐỀ XUẤT — cần khóa nghĩa</x:v>
      </x:c>
      <x:c r="F258" s="16" t="str">
        <x:v>CẦN NGỮ CẢNH đối chiếu</x:v>
      </x:c>
      <x:c r="G258" s="11" t="str">
        <x:v>Cần xem xét tư cách/phạm vi</x:v>
      </x:c>
      <x:c r="H258" s="11" t="str">
        <x:v>Ngoại giao</x:v>
      </x:c>
      <x:c r="I258" s="11" t="str">
        <x:v>C159</x:v>
      </x:c>
      <x:c r="J258" s="11" t="str"/>
      <x:c r="K258" s="11" t="str">
        <x:v>N5.1 chỉ theo nghĩa loại văn bản. 행동계획 thường là kế hoạch hành động; chương trình hành động cần đối chiếu tên chính thức. Nội dung chính sách hoặc hoạt động thực hiện là nghĩa khác. Nhóm hiện là đề xuất có điều kiện theo nghĩa làm việc, chưa chốt khi thiếu câu nguồn.</x:v>
      </x:c>
      <x:c r="L258" s="11" t="str">
        <x:v>S240</x:v>
      </x:c>
      <x:c r="M258" s="11" t="str">
        <x:v>S240</x:v>
      </x:c>
      <x:c r="N258" s="11" t="str">
        <x:v>S240</x:v>
      </x:c>
      <x:c r="O258" s="11" t="str">
        <x:v>Danh sách C99</x:v>
      </x:c>
      <x:c r="P258" s="11" t="str">
        <x:v>Cần khóa nghĩa để chốt nhóm</x:v>
      </x:c>
      <x:c r="Q258" s="11" t="str"/>
    </x:row>
    <x:row r="259" ht="57" customHeight="1">
      <x:c r="A259" s="11" t="str">
        <x:v>C160</x:v>
      </x:c>
      <x:c r="B259" s="11" t="str">
        <x:v>Hiệp định liên Chính phủ</x:v>
      </x:c>
      <x:c r="C259" s="11" t="str">
        <x:v>정부 간 협정</x:v>
      </x:c>
      <x:c r="D259" s="11" t="str">
        <x:v>N5</x:v>
      </x:c>
      <x:c r="E259" s="11" t="str">
        <x:v>Đã gán theo nghĩa được chọn</x:v>
      </x:c>
      <x:c r="F259" s="11" t="str">
        <x:v>Phù hợp theo nghĩa làm việc</x:v>
      </x:c>
      <x:c r="G259" s="11" t="str">
        <x:v>Giữ làm đơn vị nghiên cứu</x:v>
      </x:c>
      <x:c r="H259" s="11" t="str">
        <x:v>Ngoại giao</x:v>
      </x:c>
      <x:c r="I259" s="11" t="str">
        <x:v>C160</x:v>
      </x:c>
      <x:c r="J259" s="11" t="str"/>
      <x:c r="K259" s="11" t="str">
        <x:v>compatible = có khả năng tương ứng theo nghĩa làm việc; chưa thay thế kiểm tra câu song hành.</x:v>
      </x:c>
      <x:c r="L259" s="11" t="str"/>
      <x:c r="M259" s="11" t="str"/>
      <x:c r="N259" s="11" t="str"/>
      <x:c r="O259" s="11" t="str">
        <x:v>Danh sách C99</x:v>
      </x:c>
      <x:c r="P259" s="11" t="str">
        <x:v>Cần bổ sung nguồn định nghĩa</x:v>
      </x:c>
      <x:c r="Q259" s="11" t="str"/>
    </x:row>
    <x:row r="260" ht="72" customHeight="1">
      <x:c r="A260" s="11" t="str">
        <x:v>C161</x:v>
      </x:c>
      <x:c r="B260" s="11" t="str">
        <x:v>Công ước Liên hợp quốc về chống tội phạm mạng</x:v>
      </x:c>
      <x:c r="C260" s="11" t="str">
        <x:v>유엔 사이버범죄 방지 협약</x:v>
      </x:c>
      <x:c r="D260" s="11" t="str">
        <x:v>N5</x:v>
      </x:c>
      <x:c r="E260" s="11" t="str">
        <x:v>Đã gán theo nghĩa được chọn</x:v>
      </x:c>
      <x:c r="F260" s="11" t="str">
        <x:v>Phù hợp theo nghĩa làm việc</x:v>
      </x:c>
      <x:c r="G260" s="11" t="str">
        <x:v>Giữ làm đơn vị nghiên cứu</x:v>
      </x:c>
      <x:c r="H260" s="11" t="str">
        <x:v>Ngoại giao</x:v>
      </x:c>
      <x:c r="I260" s="11" t="str">
        <x:v>C151</x:v>
      </x:c>
      <x:c r="J260" s="11" t="str">
        <x:v>Cùng khái niệm/đồng danh với C151</x:v>
      </x:c>
      <x:c r="K260" s="11" t="str">
        <x:v>Tên đầy đủ và tên gọi Công ước Hà Nội C151 cùng chỉ một văn kiện. Nghĩa được diễn đạt bằng hai ngôn ngữ từ nguồn VI; không giả định nguồn cung cấp mục từ ở cả hai ngôn ngữ. compatible = có khả năng tương ứng theo nghĩa làm việc; chưa thay thế kiểm tra câu song hành.</x:v>
      </x:c>
      <x:c r="L260" s="11" t="str">
        <x:v>S236</x:v>
      </x:c>
      <x:c r="M260" s="11" t="str">
        <x:v>S236</x:v>
      </x:c>
      <x:c r="N260" s="11" t="str">
        <x:v>S236</x:v>
      </x:c>
      <x:c r="O260" s="11" t="str">
        <x:v>Danh sách C99</x:v>
      </x:c>
      <x:c r="P260" s="11" t="str">
        <x:v>Ứng viên giữ — có căn cứ khái niệm</x:v>
      </x:c>
      <x:c r="Q260" s="11" t="str"/>
    </x:row>
    <x:row r="261" ht="72" customHeight="1">
      <x:c r="A261" s="11" t="str">
        <x:v>C163</x:v>
      </x:c>
      <x:c r="B261" s="11" t="str">
        <x:v>Đối thoại chiến lược</x:v>
      </x:c>
      <x:c r="C261" s="11" t="str">
        <x:v>전략적 대화</x:v>
      </x:c>
      <x:c r="D261" s="16" t="str">
        <x:v>Cần xem xét</x:v>
      </x:c>
      <x:c r="E261" s="16" t="str">
        <x:v>CHƯA GÁN — cần khóa nghĩa</x:v>
      </x:c>
      <x:c r="F261" s="16" t="str">
        <x:v>CẦN NGỮ CẢNH đối chiếu</x:v>
      </x:c>
      <x:c r="G261" s="11" t="str">
        <x:v>Cần xem xét tư cách/phạm vi</x:v>
      </x:c>
      <x:c r="H261" s="11" t="str">
        <x:v>Ngoại giao</x:v>
      </x:c>
      <x:c r="I261" s="11" t="str">
        <x:v>C163</x:v>
      </x:c>
      <x:c r="J261" s="11" t="str">
        <x:v>T161 — chỉ gộp khi cùng nghĩa cơ chế</x:v>
      </x:c>
      <x:c r="K261" s="11" t="str">
        <x:v>Chưa có câu nguồn; không sao chép mã N3.1 từ T161. Có thể cơ chế N3.1 hoặc hoạt động N4.2. Nghĩa Hàn là giải thích làm việc do lượt rà soát soạn; CHƯA có nguồn giải nghĩa trực tiếp cho toàn biểu thức Hàn. Định nghĩa Việt là giải thích làm việc; CHƯA xác minh nguồn định nghĩa trực tiếp.</x:v>
      </x:c>
      <x:c r="L261" s="11" t="str"/>
      <x:c r="M261" s="11" t="str"/>
      <x:c r="N261" s="11" t="str"/>
      <x:c r="O261" s="11" t="str">
        <x:v>Danh sách C99</x:v>
      </x:c>
      <x:c r="P261" s="11" t="str">
        <x:v>Chưa chốt nhóm</x:v>
      </x:c>
      <x:c r="Q261" s="11" t="str"/>
    </x:row>
    <x:row r="262" ht="87" customHeight="1">
      <x:c r="A262" s="11" t="str">
        <x:v>C164</x:v>
      </x:c>
      <x:c r="B262" s="11" t="str">
        <x:v>Thứ trưởng Ngoại giao</x:v>
      </x:c>
      <x:c r="C262" s="11" t="str">
        <x:v>외교차관</x:v>
      </x:c>
      <x:c r="D262" s="11" t="str">
        <x:v>N1</x:v>
      </x:c>
      <x:c r="E262" s="11" t="str">
        <x:v>Đã gán theo nghĩa được chọn</x:v>
      </x:c>
      <x:c r="F262" s="11" t="str">
        <x:v>Phù hợp theo nghĩa làm việc</x:v>
      </x:c>
      <x:c r="G262" s="11" t="str">
        <x:v>Giữ làm đơn vị nghiên cứu</x:v>
      </x:c>
      <x:c r="H262" s="11" t="str">
        <x:v>Chính trị và ngoại giao</x:v>
      </x:c>
      <x:c r="I262" s="11" t="str">
        <x:v>T102</x:v>
      </x:c>
      <x:c r="J262" s="11" t="str">
        <x:v>Cùng khái niệm/đồng danh với T102</x:v>
      </x:c>
      <x:c r="K262" s="11" t="str">
        <x:v>Nghĩa Hàn do nghiên cứu diễn đạt theo nguồn vi; không phải định nghĩa từ điển Hàn. Định nghĩa Việt là nghĩa làm việc; nguồn xác nhận cách dùng hoặc chức năng, chưa phải mục từ giải nghĩa trực tiếp. Trạng thái tra từ điển Việt chưa được xác nhận từ một mục từ toàn cụm có đơn vị biên soạn trong lần này. Liên kết khái niệm với T102; giữ cả hai mã để bảo toàn dữ liệu gốc.</x:v>
      </x:c>
      <x:c r="L262" s="11" t="str">
        <x:v>S041</x:v>
      </x:c>
      <x:c r="M262" s="11" t="str">
        <x:v>S041</x:v>
      </x:c>
      <x:c r="N262" s="11" t="str">
        <x:v>S041; S020</x:v>
      </x:c>
      <x:c r="O262" s="11" t="str">
        <x:v>Danh sách C99</x:v>
      </x:c>
      <x:c r="P262" s="11" t="str">
        <x:v>Cần bổ sung nguồn định nghĩa</x:v>
      </x:c>
      <x:c r="Q262" s="11" t="str"/>
    </x:row>
    <x:row r="263" ht="72" customHeight="1">
      <x:c r="A263" s="11" t="str">
        <x:v>C165</x:v>
      </x:c>
      <x:c r="B263" s="11" t="str">
        <x:v>Tổng Bí thư</x:v>
      </x:c>
      <x:c r="C263" s="11" t="str">
        <x:v>당서기장</x:v>
      </x:c>
      <x:c r="D263" s="11" t="str">
        <x:v>N1</x:v>
      </x:c>
      <x:c r="E263" s="11" t="str">
        <x:v>Đã gán theo nghĩa được chọn</x:v>
      </x:c>
      <x:c r="F263" s="11" t="str">
        <x:v>Phù hợp theo nghĩa làm việc</x:v>
      </x:c>
      <x:c r="G263" s="11" t="str">
        <x:v>Giữ làm đơn vị nghiên cứu</x:v>
      </x:c>
      <x:c r="H263" s="11" t="str">
        <x:v>Chính trị</x:v>
      </x:c>
      <x:c r="I263" s="11" t="str">
        <x:v>T075</x:v>
      </x:c>
      <x:c r="J263" s="11" t="str">
        <x:v>Cùng khái niệm/đồng danh với T075</x:v>
      </x:c>
      <x:c r="K263" s="11" t="str">
        <x:v>Trạng thái tra từ điển Việt chưa được xác nhận từ một mục từ toàn cụm có đơn vị biên soạn trong lần này. Liên kết khái niệm với T075; giữ cả hai mã để bảo toàn dữ liệu gốc. Nguồn từ điển xác nhận 서기장, chưa xác nhận mục từ toàn dạng 당서기장; không sao chép cờ found_exact của T075.</x:v>
      </x:c>
      <x:c r="L263" s="11" t="str">
        <x:v>S021</x:v>
      </x:c>
      <x:c r="M263" s="11" t="str">
        <x:v>S045</x:v>
      </x:c>
      <x:c r="N263" s="11" t="str">
        <x:v>S021; S045; S046</x:v>
      </x:c>
      <x:c r="O263" s="11" t="str">
        <x:v>Danh sách C99</x:v>
      </x:c>
      <x:c r="P263" s="11" t="str">
        <x:v>Cần bổ sung nguồn định nghĩa</x:v>
      </x:c>
      <x:c r="Q263" s="11" t="str"/>
    </x:row>
    <x:row r="264" ht="72" customHeight="1">
      <x:c r="A264" s="11" t="str">
        <x:v>C166</x:v>
      </x:c>
      <x:c r="B264" s="11" t="str">
        <x:v>Ủy viên Trung ương Đảng</x:v>
      </x:c>
      <x:c r="C264" s="11" t="str">
        <x:v>당 중앙위원</x:v>
      </x:c>
      <x:c r="D264" s="11" t="str">
        <x:v>N1</x:v>
      </x:c>
      <x:c r="E264" s="11" t="str">
        <x:v>Đã gán theo nghĩa được chọn</x:v>
      </x:c>
      <x:c r="F264" s="11" t="str">
        <x:v>Phù hợp theo nghĩa làm việc</x:v>
      </x:c>
      <x:c r="G264" s="11" t="str">
        <x:v>Giữ làm đơn vị nghiên cứu</x:v>
      </x:c>
      <x:c r="H264" s="11" t="str">
        <x:v>Chính trị</x:v>
      </x:c>
      <x:c r="I264" s="11" t="str">
        <x:v>T083</x:v>
      </x:c>
      <x:c r="J264" s="11" t="str">
        <x:v>Cùng khái niệm/đồng danh với T083</x:v>
      </x:c>
      <x:c r="K264" s="11" t="str">
        <x:v>Nghĩa Hàn do nghiên cứu diễn đạt theo nguồn vi; không phải định nghĩa từ điển Hàn. Trạng thái tra từ điển Việt chưa được xác nhận từ một mục từ toàn cụm có đơn vị biên soạn trong lần này. Liên kết khái niệm với T083; giữ cả hai mã để bảo toàn dữ liệu gốc.</x:v>
      </x:c>
      <x:c r="L264" s="11" t="str">
        <x:v>S001</x:v>
      </x:c>
      <x:c r="M264" s="11" t="str">
        <x:v>S001</x:v>
      </x:c>
      <x:c r="N264" s="11" t="str">
        <x:v>S001; S020</x:v>
      </x:c>
      <x:c r="O264" s="11" t="str">
        <x:v>Danh sách C99</x:v>
      </x:c>
      <x:c r="P264" s="11" t="str">
        <x:v>Ứng viên giữ — có căn cứ khái niệm</x:v>
      </x:c>
      <x:c r="Q264" s="11" t="str"/>
    </x:row>
    <x:row r="265" ht="57" customHeight="1">
      <x:c r="A265" s="11" t="str">
        <x:v>C167</x:v>
      </x:c>
      <x:c r="B265" s="11" t="str">
        <x:v>Đảng Cộng sản Việt Nam</x:v>
      </x:c>
      <x:c r="C265" s="11" t="str">
        <x:v>베트남공산당</x:v>
      </x:c>
      <x:c r="D265" s="11" t="str">
        <x:v>N2</x:v>
      </x:c>
      <x:c r="E265" s="11" t="str">
        <x:v>Đã gán theo nghĩa được chọn</x:v>
      </x:c>
      <x:c r="F265" s="11" t="str">
        <x:v>Phù hợp theo nghĩa làm việc</x:v>
      </x:c>
      <x:c r="G265" s="11" t="str">
        <x:v>Giữ làm đơn vị nghiên cứu</x:v>
      </x:c>
      <x:c r="H265" s="11" t="str">
        <x:v>Chính trị</x:v>
      </x:c>
      <x:c r="I265" s="11" t="str">
        <x:v>T111</x:v>
      </x:c>
      <x:c r="J265" s="11" t="str">
        <x:v>Cùng khái niệm/đồng danh với T111</x:v>
      </x:c>
      <x:c r="K265" s="11" t="str">
        <x:v>Nghĩa Hàn do nghiên cứu diễn đạt theo nguồn vi; không phải định nghĩa từ điển Hàn. Liên kết khái niệm với T111; giữ cả hai mã để bảo toàn dữ liệu gốc.</x:v>
      </x:c>
      <x:c r="L265" s="11" t="str">
        <x:v>S009</x:v>
      </x:c>
      <x:c r="M265" s="11" t="str">
        <x:v>S009</x:v>
      </x:c>
      <x:c r="N265" s="11" t="str">
        <x:v>S009; S066</x:v>
      </x:c>
      <x:c r="O265" s="11" t="str">
        <x:v>Danh sách C99</x:v>
      </x:c>
      <x:c r="P265" s="11" t="str">
        <x:v>Ứng viên giữ — có căn cứ khái niệm</x:v>
      </x:c>
      <x:c r="Q265" s="11" t="str"/>
    </x:row>
    <x:row r="266" ht="72" customHeight="1">
      <x:c r="A266" s="11" t="str">
        <x:v>C168</x:v>
      </x:c>
      <x:c r="B266" s="11" t="str">
        <x:v>Ban Chấp hành Trung ương</x:v>
      </x:c>
      <x:c r="C266" s="11" t="str">
        <x:v>중앙집행위원회</x:v>
      </x:c>
      <x:c r="D266" s="16" t="str">
        <x:v>N2</x:v>
      </x:c>
      <x:c r="E266" s="16" t="str">
        <x:v>ĐỀ XUẤT — cần khóa nghĩa</x:v>
      </x:c>
      <x:c r="F266" s="16" t="str">
        <x:v>CẦN NGỮ CẢNH đối chiếu</x:v>
      </x:c>
      <x:c r="G266" s="11" t="str">
        <x:v>Cần xem xét tư cách/phạm vi</x:v>
      </x:c>
      <x:c r="H266" s="11" t="str">
        <x:v>Chính trị</x:v>
      </x:c>
      <x:c r="I266" s="11" t="str">
        <x:v>C168</x:v>
      </x:c>
      <x:c r="J266" s="11" t="str">
        <x:v>T113 — chỉ gộp khi cùng cơ quan Đảng</x:v>
      </x:c>
      <x:c r="K266" s="11" t="str">
        <x:v>Chưa có thành tố tên tổ chức. Không tự đồng nhất 중앙집행위원회 với 당 중앙위원회 hoặc gộp mã này với T113; cần xác định chủ thể và tên gọi được nguồn Hàn sử dụng. Nghĩa Việt là giải thích làm việc; chưa xác minh định nghĩa trực tiếp. Nghĩa Hàn là giải thích làm việc; cần kiểm tra nguồn định nghĩa toàn cụm.</x:v>
      </x:c>
      <x:c r="L266" s="11" t="str"/>
      <x:c r="M266" s="11" t="str"/>
      <x:c r="N266" s="11" t="str"/>
      <x:c r="O266" s="11" t="str">
        <x:v>Danh sách C99</x:v>
      </x:c>
      <x:c r="P266" s="11" t="str">
        <x:v>Cần khóa nghĩa để chốt nhóm</x:v>
      </x:c>
      <x:c r="Q266" s="11" t="str">
        <x:v>Đối chiếu 당 중앙위원회 nếu nói Ban Chấp hành Trung ương ĐCSVN; chưa tự đổi 중앙집행위원회.</x:v>
      </x:c>
    </x:row>
    <x:row r="267" ht="57" customHeight="1">
      <x:c r="A267" s="11" t="str">
        <x:v>C169</x:v>
      </x:c>
      <x:c r="B267" s="11" t="str">
        <x:v>Hội đồng Bảo an Liên hợp quốc</x:v>
      </x:c>
      <x:c r="C267" s="11" t="str">
        <x:v>유엔안보리</x:v>
      </x:c>
      <x:c r="D267" s="11" t="str">
        <x:v>N2</x:v>
      </x:c>
      <x:c r="E267" s="11" t="str">
        <x:v>Đã gán theo nghĩa được chọn</x:v>
      </x:c>
      <x:c r="F267" s="11" t="str">
        <x:v>Phù hợp theo nghĩa làm việc</x:v>
      </x:c>
      <x:c r="G267" s="11" t="str">
        <x:v>Giữ làm đơn vị nghiên cứu</x:v>
      </x:c>
      <x:c r="H267" s="11" t="str">
        <x:v>Ngoại giao</x:v>
      </x:c>
      <x:c r="I267" s="11" t="str">
        <x:v>T169</x:v>
      </x:c>
      <x:c r="J267" s="11" t="str">
        <x:v>Cùng khái niệm/đồng danh với T169</x:v>
      </x:c>
      <x:c r="K267" s="11" t="str">
        <x:v>Nghĩa Hàn do nghiên cứu diễn đạt theo nguồn en; không phải định nghĩa từ điển Hàn. Liên kết khái niệm với T169; giữ cả hai mã để bảo toàn dữ liệu gốc.</x:v>
      </x:c>
      <x:c r="L267" s="11" t="str">
        <x:v>S067</x:v>
      </x:c>
      <x:c r="M267" s="11" t="str">
        <x:v>S067</x:v>
      </x:c>
      <x:c r="N267" s="11" t="str">
        <x:v>S067; S079</x:v>
      </x:c>
      <x:c r="O267" s="11" t="str">
        <x:v>Danh sách C99</x:v>
      </x:c>
      <x:c r="P267" s="11" t="str">
        <x:v>Ứng viên giữ — có căn cứ khái niệm</x:v>
      </x:c>
      <x:c r="Q267" s="11" t="str"/>
    </x:row>
    <x:row r="268" ht="57" customHeight="1">
      <x:c r="A268" s="11" t="str">
        <x:v>C170</x:v>
      </x:c>
      <x:c r="B268" s="11" t="str">
        <x:v>ngoại giao kinh tế</x:v>
      </x:c>
      <x:c r="C268" s="11" t="str">
        <x:v>경제외교</x:v>
      </x:c>
      <x:c r="D268" s="11" t="str">
        <x:v>N4</x:v>
      </x:c>
      <x:c r="E268" s="11" t="str">
        <x:v>Đã gán theo nghĩa được chọn</x:v>
      </x:c>
      <x:c r="F268" s="11" t="str">
        <x:v>Phù hợp theo nghĩa làm việc</x:v>
      </x:c>
      <x:c r="G268" s="11" t="str">
        <x:v>Giữ làm đơn vị nghiên cứu</x:v>
      </x:c>
      <x:c r="H268" s="11" t="str">
        <x:v>Ngoại giao</x:v>
      </x:c>
      <x:c r="I268" s="11" t="str">
        <x:v>T156</x:v>
      </x:c>
      <x:c r="J268" s="11" t="str">
        <x:v>Cùng khái niệm/đồng danh với T156</x:v>
      </x:c>
      <x:c r="K268" s="11" t="str">
        <x:v>Trùng khái niệm T156. Kế thừa nguồn nghĩa làm việc của T156 cho cùng khái niệm; không tính thành khái niệm mới chỉ vì mã C khác. compatible = có khả năng tương ứng theo nghĩa làm việc; chưa thay thế kiểm tra câu song hành.</x:v>
      </x:c>
      <x:c r="L268" s="11" t="str">
        <x:v>S152</x:v>
      </x:c>
      <x:c r="M268" s="11" t="str">
        <x:v>S152</x:v>
      </x:c>
      <x:c r="N268" s="11" t="str">
        <x:v>S152</x:v>
      </x:c>
      <x:c r="O268" s="11" t="str">
        <x:v>Danh sách C99</x:v>
      </x:c>
      <x:c r="P268" s="11" t="str">
        <x:v>Cần bổ sung nguồn định nghĩa</x:v>
      </x:c>
      <x:c r="Q268" s="11" t="str"/>
    </x:row>
    <x:row r="269" ht="57" customHeight="1">
      <x:c r="A269" s="11" t="str">
        <x:v>C175</x:v>
      </x:c>
      <x:c r="B269" s="11" t="str">
        <x:v>hội nhập quốc tế</x:v>
      </x:c>
      <x:c r="C269" s="11" t="str">
        <x:v>국제통합</x:v>
      </x:c>
      <x:c r="D269" s="11" t="str">
        <x:v>N4</x:v>
      </x:c>
      <x:c r="E269" s="11" t="str">
        <x:v>Đã gán theo nghĩa được chọn</x:v>
      </x:c>
      <x:c r="F269" s="11" t="str">
        <x:v>Phù hợp theo nghĩa làm việc</x:v>
      </x:c>
      <x:c r="G269" s="11" t="str">
        <x:v>Giữ làm đơn vị nghiên cứu</x:v>
      </x:c>
      <x:c r="H269" s="11" t="str">
        <x:v>Chính trị và ngoại giao</x:v>
      </x:c>
      <x:c r="I269" s="11" t="str">
        <x:v>T138</x:v>
      </x:c>
      <x:c r="J269" s="11" t="str">
        <x:v>Cùng khái niệm/đồng danh với T138</x:v>
      </x:c>
      <x:c r="K269" s="11" t="str">
        <x:v>Trùng khái niệm T138. Kế thừa nguồn nghĩa làm việc của T138 cho cùng khái niệm; không tính thành khái niệm mới chỉ vì mã C khác. compatible = có khả năng tương ứng theo nghĩa làm việc; chưa thay thế kiểm tra câu song hành.</x:v>
      </x:c>
      <x:c r="L269" s="11" t="str">
        <x:v>S116</x:v>
      </x:c>
      <x:c r="M269" s="11" t="str">
        <x:v>S116</x:v>
      </x:c>
      <x:c r="N269" s="11" t="str">
        <x:v>S116</x:v>
      </x:c>
      <x:c r="O269" s="11" t="str">
        <x:v>Danh sách C99</x:v>
      </x:c>
      <x:c r="P269" s="11" t="str">
        <x:v>Cần bổ sung nguồn định nghĩa</x:v>
      </x:c>
      <x:c r="Q269" s="11" t="str"/>
    </x:row>
    <x:row r="270" ht="72" customHeight="1">
      <x:c r="A270" s="11" t="str">
        <x:v>C182</x:v>
      </x:c>
      <x:c r="B270" s="11" t="str">
        <x:v>Hiệp ước Biển cả</x:v>
      </x:c>
      <x:c r="C270" s="11" t="str">
        <x:v>공해조약</x:v>
      </x:c>
      <x:c r="D270" s="11" t="str">
        <x:v>N5</x:v>
      </x:c>
      <x:c r="E270" s="11" t="str">
        <x:v>Đã gán theo nghĩa được chọn</x:v>
      </x:c>
      <x:c r="F270" s="11" t="str">
        <x:v>Phù hợp theo nghĩa làm việc</x:v>
      </x:c>
      <x:c r="G270" s="11" t="str">
        <x:v>Giữ làm đơn vị nghiên cứu</x:v>
      </x:c>
      <x:c r="H270" s="11" t="str">
        <x:v>Ngoại giao</x:v>
      </x:c>
      <x:c r="I270" s="11" t="str">
        <x:v>C182</x:v>
      </x:c>
      <x:c r="J270" s="11" t="str">
        <x:v>BBNJ; khác T158/UNCLOS</x:v>
      </x:c>
      <x:c r="K270" s="11" t="str">
        <x:v>Khóa quy chiếu BBNJ; văn kiện này thực thi UNCLOS, không đồng nhất UNCLOS/T158. Nghĩa được diễn đạt bằng hai ngôn ngữ từ nguồn VI; không giả định nguồn cung cấp mục từ ở cả hai ngôn ngữ. compatible = có khả năng tương ứng theo nghĩa làm việc; chưa thay thế kiểm tra câu song hành.</x:v>
      </x:c>
      <x:c r="L270" s="11" t="str">
        <x:v>S241</x:v>
      </x:c>
      <x:c r="M270" s="11" t="str">
        <x:v>S241</x:v>
      </x:c>
      <x:c r="N270" s="11" t="str">
        <x:v>S241</x:v>
      </x:c>
      <x:c r="O270" s="11" t="str">
        <x:v>Danh sách C99</x:v>
      </x:c>
      <x:c r="P270" s="11" t="str">
        <x:v>Ứng viên giữ — có căn cứ khái niệm</x:v>
      </x:c>
      <x:c r="Q270" s="11" t="str"/>
    </x:row>
    <x:row r="271" ht="72" customHeight="1">
      <x:c r="A271" s="11" t="str">
        <x:v>C186</x:v>
      </x:c>
      <x:c r="B271" s="11" t="str">
        <x:v>chạy đua vũ ttrang</x:v>
      </x:c>
      <x:c r="C271" s="11" t="str">
        <x:v>군비 경쟁</x:v>
      </x:c>
      <x:c r="D271" s="11" t="str">
        <x:v>N4</x:v>
      </x:c>
      <x:c r="E271" s="11" t="str">
        <x:v>Đã gán theo nghĩa được chọn</x:v>
      </x:c>
      <x:c r="F271" s="11" t="str">
        <x:v>Phù hợp theo nghĩa làm việc</x:v>
      </x:c>
      <x:c r="G271" s="11" t="str">
        <x:v>Giữ làm đơn vị nghiên cứu</x:v>
      </x:c>
      <x:c r="H271" s="11" t="str">
        <x:v>Chính trị và ngoại giao</x:v>
      </x:c>
      <x:c r="I271" s="11" t="str">
        <x:v>C186</x:v>
      </x:c>
      <x:c r="J271" s="11" t="str"/>
      <x:c r="K271" s="11" t="str">
        <x:v>Sửa lỗi gõ nhãn ở cột đề xuất thành chạy đua vũ trang; giữ nguyên giá trị gốc trong dữ liệu. Nghĩa được diễn đạt bằng hai ngôn ngữ từ nguồn KO; không giả định nguồn cung cấp mục từ ở cả hai ngôn ngữ. compatible = có khả năng tương ứng theo nghĩa làm việc; chưa thay thế kiểm tra câu song hành.</x:v>
      </x:c>
      <x:c r="L271" s="11" t="str">
        <x:v>S242</x:v>
      </x:c>
      <x:c r="M271" s="11" t="str">
        <x:v>S242</x:v>
      </x:c>
      <x:c r="N271" s="11" t="str">
        <x:v>S242</x:v>
      </x:c>
      <x:c r="O271" s="11" t="str">
        <x:v>Danh sách C99</x:v>
      </x:c>
      <x:c r="P271" s="11" t="str">
        <x:v>Ứng viên giữ — có căn cứ khái niệm</x:v>
      </x:c>
      <x:c r="Q271" s="11" t="str">
        <x:v>VI: chạy đua vũ trang — sửa lỗi gõ vũ ttrang.</x:v>
      </x:c>
    </x:row>
  </x:sheetData>
  <x:pageMargins left="0.7" right="0.7" top="0.75" bottom="0.75" header="0.3" footer="0.3"/>
  <x:tableParts count="1">
    <x:tablePart xmlns:r="http://schemas.openxmlformats.org/officeDocument/2006/relationships" r:id="R0f60c6e16c154ef1"/>
  </x:tableParts>
</x:worksheet>
</file>

<file path=xl/worksheets/sheet3.xml><?xml version="1.0" encoding="utf-8"?>
<x:worksheet xmlns:x="http://schemas.openxmlformats.org/spreadsheetml/2006/main">
  <x:sheetPr>
    <x:tabColor rgb="FF70877A"/>
  </x:sheetPr>
  <x:sheetViews>
    <x:sheetView showGridLines="0" workbookViewId="0">
      <x:pane ySplit="5" topLeftCell="A6" activePane="bottomLeft" state="frozen"/>
    </x:sheetView>
  </x:sheetViews>
  <x:sheetFormatPr defaultRowHeight="15"/>
  <x:cols>
    <x:col min="1" max="1" width="33" hidden="0" customWidth="1"/>
    <x:col min="2" max="2" width="15" hidden="0" customWidth="1"/>
    <x:col min="3" max="3" width="90" hidden="0" customWidth="1"/>
    <x:col min="4" max="4" width="79" hidden="0" customWidth="1"/>
  </x:cols>
  <x:sheetData>
    <x:row r="1">
      <x:c r="A1" s="2"/>
      <x:c r="B1" s="2"/>
      <x:c r="C1" s="2"/>
      <x:c r="D1" s="2"/>
    </x:row>
    <x:row r="2" ht="27.75" customHeight="1">
      <x:c r="A2" s="12" t="str">
        <x:v>Khung phân loại, kết quả và cách đọc</x:v>
      </x:c>
      <x:c r="B2" s="2"/>
      <x:c r="C2" s="2"/>
      <x:c r="D2" s="2"/>
    </x:row>
    <x:row r="3" ht="18.75" customHeight="1">
      <x:c r="A3" s="13" t="str">
        <x:v>Khung thao tác của nghiên cứu — phiên bản rà soát ngày 28/10/2026. Không phải một hệ phân loại chuẩn đã được công bố.</x:v>
      </x:c>
      <x:c r="B3" s="2"/>
      <x:c r="C3" s="2"/>
      <x:c r="D3" s="2"/>
    </x:row>
    <x:row r="4">
      <x:c r="A4" s="2"/>
      <x:c r="B4" s="2"/>
      <x:c r="C4" s="2"/>
      <x:c r="D4" s="2"/>
    </x:row>
    <x:row r="5" ht="36" customHeight="1">
      <x:c r="A5" s="8" t="str">
        <x:v>Nhóm</x:v>
      </x:c>
      <x:c r="B5" s="9" t="str">
        <x:v>Số dòng</x:v>
      </x:c>
      <x:c r="C5" s="9" t="str">
        <x:v>Phạm vi</x:v>
      </x:c>
      <x:c r="D5" s="10" t="str">
        <x:v>Cách hiểu số liệu</x:v>
      </x:c>
    </x:row>
    <x:row r="6" ht="48" customHeight="1">
      <x:c r="A6" s="11" t="str">
        <x:v>N1 — 인물 / Cá nhân</x:v>
      </x:c>
      <x:c r="B6" s="23" t="n">
        <x:f>COUNTIFS('Thuật ngữ'!$J$6:$J$271,"N1 — 인물")</x:f>
        <x:v>49</x:v>
      </x:c>
      <x:c r="C6" s="11" t="str">
        <x:v>Chức vụ, chức danh, vai trò hoặc tư cách của cá nhân.</x:v>
      </x:c>
      <x:c r="D6" s="11" t="str">
        <x:v>Các số đếm theo dòng đầu vào, chưa loại trùng khái niệm.</x:v>
      </x:c>
    </x:row>
    <x:row r="7" ht="48" customHeight="1">
      <x:c r="A7" s="11" t="str">
        <x:v>N2 — 기관·조직 / Cơ quan, tổ chức</x:v>
      </x:c>
      <x:c r="B7" s="23" t="n">
        <x:f>COUNTIFS('Thuật ngữ'!$J$6:$J$271,"N2 — 기관·조직")</x:f>
        <x:v>64</x:v>
      </x:c>
      <x:c r="C7" s="11" t="str">
        <x:v>Chủ thể tập thể có tổ chức.</x:v>
      </x:c>
      <x:c r="D7" s="11" t="str">
        <x:v>Bao gồm các trường hợp gán nhóm có điều kiện; xem cột Trạng thái phân loại.</x:v>
      </x:c>
    </x:row>
    <x:row r="8" ht="48" customHeight="1">
      <x:c r="A8" s="11" t="str">
        <x:v>N3 — 제도·이념 / Thể chế, tư tưởng</x:v>
      </x:c>
      <x:c r="B8" s="23" t="n">
        <x:f>COUNTIFS('Thuật ngữ'!$J$6:$J$271,"N3 — 제도·이념")</x:f>
        <x:v>38</x:v>
      </x:c>
      <x:c r="C8" s="11" t="str">
        <x:v>Thể chế, tư tưởng, chính sách, nguyên tắc, quy phạm và quyền.</x:v>
      </x:c>
      <x:c r="D8" s="11" t="str"/>
    </x:row>
    <x:row r="9" ht="48" customHeight="1">
      <x:c r="A9" s="11" t="str">
        <x:v>N4 — 관계·활동 / Quan hệ, hoạt động</x:v>
      </x:c>
      <x:c r="B9" s="23" t="n">
        <x:f>COUNTIFS('Thuật ngữ'!$J$6:$J$271,"N4 — 관계·활동")</x:f>
        <x:v>73</x:v>
      </x:c>
      <x:c r="C9" s="11" t="str">
        <x:v>Quan hệ, hoạt động, quá trình, sự kiện và lĩnh vực thực hành.</x:v>
      </x:c>
      <x:c r="D9" s="11" t="str"/>
    </x:row>
    <x:row r="10" ht="48" customHeight="1">
      <x:c r="A10" s="11" t="str">
        <x:v>N5 — 문서 / Văn bản</x:v>
      </x:c>
      <x:c r="B10" s="23" t="n">
        <x:f>COUNTIFS('Thuật ngữ'!$J$6:$J$271,"N5 — 문서")</x:f>
        <x:v>26</x:v>
      </x:c>
      <x:c r="C10" s="11" t="str">
        <x:v>Loại văn bản hoặc văn kiện được định danh.</x:v>
      </x:c>
      <x:c r="D10" s="11" t="str"/>
    </x:row>
    <x:row r="11" ht="48" customHeight="1">
      <x:c r="A11" s="16" t="str">
        <x:v>Cần xem xét</x:v>
      </x:c>
      <x:c r="B11" s="24" t="n">
        <x:f>COUNTIF('Thuật ngữ'!$J$6:$J$271,"Cần xem xét")</x:f>
        <x:v>16</x:v>
      </x:c>
      <x:c r="C11" s="16" t="str">
        <x:v>10 mục ngoài phạm vi theo nghĩa đã chọn; 5 mục cần khóa nghĩa; 1 cặp lệch đối tượng.</x:v>
      </x:c>
      <x:c r="D11" s="16" t="str">
        <x:v>Chưa gán nhóm chính. Không phải nhóm thứ sáu.</x:v>
      </x:c>
    </x:row>
    <x:row r="12" ht="48" customHeight="1">
      <x:c r="A12" s="25" t="str">
        <x:v>TỔNG SỐ DÒNG</x:v>
      </x:c>
      <x:c r="B12" s="26" t="n">
        <x:f>SUM(B6:B11)</x:f>
        <x:v>266</x:v>
      </x:c>
      <x:c r="C12" s="25" t="str">
        <x:v>167 mục trong tệp + 99 mã C người dùng cung cấp.</x:v>
      </x:c>
      <x:c r="D12" s="25" t="str">
        <x:v>Giữ cả các biểu thức trùng hoặc đồng danh để bảo toàn dữ liệu.</x:v>
      </x:c>
    </x:row>
    <x:row r="13">
      <x:c r="A13" s="2"/>
      <x:c r="B13" s="2"/>
      <x:c r="C13" s="2"/>
      <x:c r="D13" s="2"/>
    </x:row>
    <x:row r="14" ht="18.75" customHeight="1">
      <x:c r="A14" s="13" t="str">
        <x:v>250 dòng có nhóm: 230 dòng đã gán theo nghĩa được chọn + 20 dòng đề xuất có điều kiện. Có nhóm không tự xác nhận cặp dịch.</x:v>
      </x:c>
      <x:c r="B14" s="2"/>
      <x:c r="C14" s="2"/>
      <x:c r="D14" s="2"/>
    </x:row>
    <x:row r="15" ht="18.75" customHeight="1">
      <x:c r="A15" s="13" t="str">
        <x:v>89 dòng “Ứng viên giữ — có căn cứ khái niệm” là bộ lọc ưu tiên; chưa gọi là 89 cặp song ngữ đã xác nhận.</x:v>
      </x:c>
      <x:c r="B15" s="2"/>
      <x:c r="C15" s="2"/>
      <x:c r="D15" s="2"/>
    </x:row>
    <x:row r="16">
      <x:c r="A16" s="2"/>
      <x:c r="B16" s="2"/>
      <x:c r="C16" s="2"/>
      <x:c r="D16" s="2"/>
    </x:row>
    <x:row r="17" ht="25.5" customHeight="1">
      <x:c r="A17" s="27" t="str">
        <x:v>Định nghĩa thao tác cho 5 nhóm</x:v>
      </x:c>
      <x:c r="B17" s="2"/>
      <x:c r="C17" s="2"/>
      <x:c r="D17" s="2"/>
    </x:row>
    <x:row r="18" ht="36" customHeight="1">
      <x:c r="A18" s="8" t="str">
        <x:v>분류 — Tên nhóm</x:v>
      </x:c>
      <x:c r="B18" s="9" t="str">
        <x:v>Mã</x:v>
      </x:c>
      <x:c r="C18" s="9" t="str">
        <x:v>정의 — Định nghĩa</x:v>
      </x:c>
      <x:c r="D18" s="10" t="str">
        <x:v>하위 분류 — Tiểu loại và ranh giới</x:v>
      </x:c>
    </x:row>
    <x:row r="19" ht="87" customHeight="1">
      <x:c r="A19" s="28" t="str">
        <x:v>인물
Cá nhân</x:v>
      </x:c>
      <x:c r="B19" s="28" t="str">
        <x:v>N1</x:v>
      </x:c>
      <x:c r="C19" s="29" t="str">
        <x:v>정치·외교 분야에서 직위, 직함, 역할 또는 정치적·법적 신분에 따라 개인을 지칭하는 용어.
Chức vụ, danh xưng, vai trò hoặc tư cách được quy cho một con người.</x:v>
      </x:c>
      <x:c r="D19" s="29" t="str">
        <x:v>1.1 직위·직함 — Chức vụ, chức danh
1.2 역할·신분 — Vai trò, tư cách
Loại trừ: Cơ quan gắn với chức vụ; mô hình chức vụ; tên riêng cá nhân nếu phạm vi nghiên cứu không nhận tên riêng.</x:v>
      </x:c>
    </x:row>
    <x:row r="20" ht="117" customHeight="1">
      <x:c r="A20" s="28" t="str">
        <x:v>기관·조직
Cơ quan, tổ chức</x:v>
      </x:c>
      <x:c r="B20" s="28" t="str">
        <x:v>N2</x:v>
      </x:c>
      <x:c r="C20" s="29" t="str">
        <x:v>정치·외교 분야에서 조직화된 집단 주체로 기능하는 국가기관, 정당, 국제기구 및 기타 조직을 지칭하는 용어.
Chủ thể tập thể có tổ chức, có thành phần và chức năng được nhận diện trong hoạt động chính trị–ngoại giao.</x:v>
      </x:c>
      <x:c r="D20" s="29" t="str">
        <x:v>2.1 국가기관 — Cơ quan nhà nước
2.2 정당 — Chính đảng
2.3 국제기구 — Tổ chức quốc tế và cơ quan thuộc tổ chức
2.4 기타 조직 — Tổ chức khác
Loại trừ: Địa điểm; mô hình tổ chức; quy tắc của cơ chế; một phiên họp của tổ chức.</x:v>
      </x:c>
    </x:row>
    <x:row r="21" ht="132" customHeight="1">
      <x:c r="A21" s="28" t="str">
        <x:v>제도·이념
Thể chế, tư tưởng</x:v>
      </x:c>
      <x:c r="B21" s="28" t="str">
        <x:v>N3</x:v>
      </x:c>
      <x:c r="C21" s="29" t="str">
        <x:v>정치·법적 질서의 제도와 체제, 이념, 정책, 원칙·규범 및 권리를 나타내는 용어. 협력의 조직 방식과 운영 규칙·절차를 뜻하는 기제도 포함한다.
Mô hình thể chế, chế độ, cấu trúc tổ chức quyền lực hoặc hợp tác; hệ tư tưởng; đường lối/chính sách; nguyên tắc, quy phạm và quyền.</x:v>
      </x:c>
      <x:c r="D21" s="29" t="str">
        <x:v>3.1 제도·체제 — Thể chế, chế độ, cấu trúc cơ chế
3.2 이념 — Tư tưởng
3.3 정책 — Chính sách, đường lối
3.4 원칙·규범·권리 — Nguyên tắc, quy phạm, quyền
Loại trừ: Chủ thể áp dụng; hoạt động thực hiện; văn bản chứa nội dung; trạng thái, năng lực, thời hạn và nguồn lực chỉ vì liên quan chính trị.</x:v>
      </x:c>
    </x:row>
    <x:row r="22" ht="117" customHeight="1">
      <x:c r="A22" s="28" t="str">
        <x:v>관계·활동
Quan hệ, hoạt động</x:v>
      </x:c>
      <x:c r="B22" s="28" t="str">
        <x:v>N4</x:v>
      </x:c>
      <x:c r="C22" s="29" t="str">
        <x:v>정치·외교 주체 사이의 관계 또는 정치·외교 분야에서 이루어지는 활동, 과정, 사건 및 실천 분야를 나타내는 용어.
Quan hệ giữa các chủ thể; hoạt động, quá trình, sự kiện hoặc lĩnh vực thực hành chính trị–ngoại giao.</x:v>
      </x:c>
      <x:c r="D22" s="29" t="str">
        <x:v>4.1 관계 — Quan hệ
4.2 활동·과정·사건 — Hoạt động, quá trình, sự kiện; gồm lĩnh vực thực hành
Loại trừ: Thiết kế hoặc quy tắc thường xuyên của cơ chế; trạng thái/thuộc tính của một quan hệ nếu định nghĩa không chỉ trực tiếp quan hệ; năng lực thực hiện hoạt động.</x:v>
      </x:c>
    </x:row>
    <x:row r="23" ht="87" customHeight="1">
      <x:c r="A23" s="28" t="str">
        <x:v>문서
Văn bản</x:v>
      </x:c>
      <x:c r="B23" s="28" t="str">
        <x:v>N5</x:v>
      </x:c>
      <x:c r="C23" s="29" t="str">
        <x:v>정치·법률·외교 분야에서 사용되는 문서의 종류 또는 특정 문건이나 문건집 자체를 지칭하는 용어.
Loại văn bản hoặc bản thân văn kiện/tập văn kiện được định danh.</x:v>
      </x:c>
      <x:c r="D23" s="29" t="str">
        <x:v>5.1 문서 유형 — Loại văn bản
5.2 특정 문건·문건집 — Văn kiện/tập văn kiện cụ thể
Loại trừ: Chính sách, nguyên tắc, quyền hoặc quan hệ được trình bày trong văn bản, khi chính nội dung đó là đối tượng thuật ngữ gọi tên.</x:v>
      </x:c>
    </x:row>
    <x:row r="24">
      <x:c r="A24" s="2"/>
      <x:c r="B24" s="2"/>
      <x:c r="C24" s="2"/>
      <x:c r="D24" s="2"/>
    </x:row>
    <x:row r="25" ht="36" customHeight="1">
      <x:c r="A25" s="8" t="str">
        <x:v>Quy tắc</x:v>
      </x:c>
      <x:c r="B25" s="9" t="str">
        <x:v>Thứ tự</x:v>
      </x:c>
      <x:c r="C25" s="9" t="str">
        <x:v>Cách áp dụng</x:v>
      </x:c>
      <x:c r="D25" s="10" t="str">
        <x:v>Ví dụ / giới hạn</x:v>
      </x:c>
    </x:row>
    <x:row r="26" ht="86.25" customHeight="1">
      <x:c r="A26" s="11" t="str">
        <x:v>Đơn vị phân loại</x:v>
      </x:c>
      <x:c r="B26" s="11" t="str">
        <x:v>1</x:v>
      </x:c>
      <x:c r="C26" s="11" t="str">
        <x:v>Một mã nhận một nghĩa được chọn và một nhóm chính. Phân loại toàn biểu thức; không suy từ một thành tố.</x:v>
      </x:c>
      <x:c r="D26" s="11" t="str">
        <x:v>Bộ trưởng Bộ Ngoại giao: cá nhân. Bộ Ngoại giao: cơ quan. UNDP là tổ chức dù tên có Chương trình.</x:v>
      </x:c>
    </x:row>
    <x:row r="27" ht="86.25" customHeight="1">
      <x:c r="A27" s="11" t="str">
        <x:v>Cơ quan – cơ chế – hoạt động</x:v>
      </x:c>
      <x:c r="B27" s="11" t="str">
        <x:v>2</x:v>
      </x:c>
      <x:c r="C27" s="11" t="str">
        <x:v>Ủy ban với thành phần và nhiệm vụ: N2. Cấu trúc, quy tắc hoặc thủ tục của cơ chế: N3. Một phiên họp hay hoạt động triển khai: N4.</x:v>
      </x:c>
      <x:c r="D27" s="11" t="str">
        <x:v>Điều chỉnh rõ so với bản đề xuất ban đầu: không để cơ chế vừa ở N3 vừa ở N4. Phải chứng minh nghĩa bằng ngữ cảnh.</x:v>
      </x:c>
    </x:row>
    <x:row r="28" ht="86.25" customHeight="1">
      <x:c r="A28" s="11" t="str">
        <x:v>Văn bản – nội dung</x:v>
      </x:c>
      <x:c r="B28" s="11" t="str">
        <x:v>3</x:v>
      </x:c>
      <x:c r="C28" s="11" t="str">
        <x:v>Tên văn kiện: N5. Chính sách/nguyên tắc trong văn kiện: N3. Quá trình thực hiện: N4.</x:v>
      </x:c>
      <x:c r="D28" s="11" t="str">
        <x:v>Chương trình hành động chỉ vào văn bản: N5. Chương trình với nghĩa chính sách cần xét N3.</x:v>
      </x:c>
    </x:row>
    <x:row r="29" ht="86.25" customHeight="1">
      <x:c r="A29" s="11" t="str">
        <x:v>Phạm vi nghiên cứu</x:v>
      </x:c>
      <x:c r="B29" s="11" t="str">
        <x:v>4</x:v>
      </x:c>
      <x:c r="C29" s="11" t="str">
        <x:v>Chính trị/ngoại giao là trường phạm vi độc lập, không là nhóm cạnh tranh với cá nhân, tổ chức, văn bản.</x:v>
      </x:c>
      <x:c r="D29" s="11" t="str">
        <x:v>Không đặt Việt Nam trong nước ngang cấp với cơ quan hay hoạt động. Pháp luật được nhận khi liên quan nội dung chính trị–ngoại giao.</x:v>
      </x:c>
    </x:row>
    <x:row r="30" ht="86.25" customHeight="1">
      <x:c r="A30" s="11" t="str">
        <x:v>Khoảng trống của khung</x:v>
      </x:c>
      <x:c r="B30" s="11" t="str">
        <x:v>5</x:v>
      </x:c>
      <x:c r="C30" s="11" t="str">
        <x:v>Không thêm các nét chính sách, nguyên tắc hoặc hoạt động vào định nghĩa chỉ để làm vừa nhóm.</x:v>
      </x:c>
      <x:c r="D30" s="11" t="str">
        <x:v>Nhiệm kỳ là thời hạn; sức mạnh mềm và tự chủ chiến lược là năng lực. Các nghĩa này chưa có nhóm phù hợp.</x:v>
      </x:c>
    </x:row>
    <x:row r="31" ht="86.25" customHeight="1">
      <x:c r="A31" s="11" t="str">
        <x:v>Từ điển và tương đương</x:v>
      </x:c>
      <x:c r="B31" s="11" t="str">
        <x:v>6</x:v>
      </x:c>
      <x:c r="C31" s="11" t="str">
        <x:v>Có mục từ đúng hình thức không tự xác nhận đúng nghĩa trong ngữ liệu hoặc tương đương Việt–Hàn.</x:v>
      </x:c>
      <x:c r="D31" s="11" t="str">
        <x:v>관할권 có nghĩa thẩm quyền xét xử; không tự đủ để chứng minh mọi nghĩa quyền tài phán quốc gia.</x:v>
      </x:c>
    </x:row>
    <x:row r="32" ht="86.25" customHeight="1">
      <x:c r="A32" s="11" t="str">
        <x:v>Tên riêng chuyên ngành</x:v>
      </x:c>
      <x:c r="B32" s="11" t="str">
        <x:v>7</x:v>
      </x:c>
      <x:c r="C32" s="11" t="str">
        <x:v>Tên cơ quan và văn kiện có thể được xác minh bằng nguồn chính thức; không bắt buộc là mục từ từ điển.</x:v>
      </x:c>
      <x:c r="D32" s="11" t="str">
        <x:v>Nguồn VI/EN về đối tượng không tự chứng minh tên Hàn là tên chính thức. Giữ nhãn theo thời điểm ngữ liệu.</x:v>
      </x:c>
    </x:row>
    <x:row r="33" ht="86.25" customHeight="1">
      <x:c r="A33" s="11" t="str">
        <x:v>Đếm và đối chiếu</x:v>
      </x:c>
      <x:c r="B33" s="11" t="str">
        <x:v>8</x:v>
      </x:c>
      <x:c r="C33" s="11" t="str">
        <x:v>Giữ 266 dòng gốc. Liên kết tám trường hợp trùng/đồng danh đã nhận diện; không xóa quan sát.</x:v>
      </x:c>
      <x:c r="D33" s="11" t="str">
        <x:v>C151/C161: cùng Công ước Hà Nội. C026/T018 không gộp chỉ vì cùng chữ tư pháp. C182/BBNJ khác UNCLOS.</x:v>
      </x:c>
    </x:row>
    <x:row r="34">
      <x:c r="A34" s="2"/>
      <x:c r="B34" s="2"/>
      <x:c r="C34" s="2"/>
      <x:c r="D34" s="2"/>
    </x:row>
    <x:row r="35" ht="36" customHeight="1">
      <x:c r="A35" s="8" t="str">
        <x:v>Nhãn / dấu</x:v>
      </x:c>
      <x:c r="B35" s="9" t="str">
        <x:v>Mã</x:v>
      </x:c>
      <x:c r="C35" s="9" t="str">
        <x:v>Ý nghĩa</x:v>
      </x:c>
      <x:c r="D35" s="10" t="str">
        <x:v>Cách sử dụng</x:v>
      </x:c>
    </x:row>
    <x:row r="36" ht="79.5" customHeight="1">
      <x:c r="A36" s="11" t="str">
        <x:v>Có mục từ và đã đọc nghĩa</x:v>
      </x:c>
      <x:c r="B36" s="11" t="str">
        <x:v>TD</x:v>
      </x:c>
      <x:c r="C36" s="11" t="str">
        <x:v>Đã thấy toàn mục từ sau chuẩn hóa khoảng trắng/dấu nối; không nhận thành tố hay mục gần nghĩa là toàn cụm.</x:v>
      </x:c>
      <x:c r="D36" s="11" t="str">
        <x:v>33 dòng Hàn ở mức này. Vẫn đọc ghi chú về nghĩa chọn.</x:v>
      </x:c>
    </x:row>
    <x:row r="37" ht="79.5" customHeight="1">
      <x:c r="A37" s="11" t="str">
        <x:v>Có đầu mục; chưa đọc nghĩa</x:v>
      </x:c>
      <x:c r="B37" s="11" t="str">
        <x:v>ĐM</x:v>
      </x:c>
      <x:c r="C37" s="11" t="str">
        <x:v>Đầu mục xuất hiện nhưng phần giải nghĩa chưa truy xuất được.</x:v>
      </x:c>
      <x:c r="D37" s="11" t="str">
        <x:v>C022 집권당. Không tính cùng nhóm đã đọc định nghĩa.</x:v>
      </x:c>
    </x:row>
    <x:row r="38" ht="79.5" customHeight="1">
      <x:c r="A38" s="11" t="str">
        <x:v>* Nghĩa làm việc / mô tả</x:v>
      </x:c>
      <x:c r="B38" s="11" t="str">
        <x:v>*</x:v>
      </x:c>
      <x:c r="C38" s="11" t="str">
        <x:v>Chưa có định nghĩa trực tiếp của mục từ. Mô tả chính thức có thể giúp nhận diện khái niệm; nghĩa làm việc là diễn giải của lượt rà soát.</x:v>
      </x:c>
      <x:c r="D38" s="11" t="str">
        <x:v>132 nghĩa Việt và 116 nghĩa Hàn hiện thuộc loại giải thích làm việc/chưa xác minh; không dùng như trích dẫn từ điển.</x:v>
      </x:c>
    </x:row>
    <x:row r="39" ht="79.5" customHeight="1">
      <x:c r="A39" s="11" t="str">
        <x:v>Diễn giải từ EN/VI/KO</x:v>
      </x:c>
      <x:c r="B39" s="11" t="str">
        <x:v>NN</x:v>
      </x:c>
      <x:c r="C39" s="11" t="str">
        <x:v>Ngôn ngữ nguồn được ghi theo nguồn thực. Hai câu Việt–Hàn dịch từ cùng một nguồn chỉ là một căn cứ khái niệm.</x:v>
      </x:c>
      <x:c r="D39" s="11" t="str">
        <x:v>Cần nguồn riêng cho nguyên biểu thức ở ngôn ngữ đích khi nghiên cứu tương đương.</x:v>
      </x:c>
    </x:row>
    <x:row r="40" ht="79.5" customHeight="1">
      <x:c r="A40" s="11" t="str">
        <x:v>CẦN TRA</x:v>
      </x:c>
      <x:c r="B40" s="11" t="str">
        <x:v>CT</x:v>
      </x:c>
      <x:c r="C40" s="11" t="str">
        <x:v>Chưa xác minh được mục từ toàn cụm và nghĩa tương ứng trong đợt này.</x:v>
      </x:c>
      <x:c r="D40" s="11" t="str">
        <x:v>Không có nghĩa là từ đó không tồn tại hoặc không có tư cách thuật ngữ.</x:v>
      </x:c>
    </x:row>
    <x:row r="41" ht="79.5" customHeight="1">
      <x:c r="A41" s="11" t="str">
        <x:v>Nguồn về tên riêng</x:v>
      </x:c>
      <x:c r="B41" s="11" t="str">
        <x:v>TR</x:v>
      </x:c>
      <x:c r="C41" s="11" t="str">
        <x:v>Nguồn xác nhận đối tượng/cơ quan/văn kiện được định danh.</x:v>
      </x:c>
      <x:c r="D41" s="11" t="str">
        <x:v>Không cộng vào số mục từ điển; cần kiểm tra nhãn Hàn nếu chỉ có nguồn VI/EN.</x:v>
      </x:c>
    </x:row>
    <x:row r="42" ht="79.5" customHeight="1">
      <x:c r="A42" s="11" t="str">
        <x:v>Ứng viên giữ</x:v>
      </x:c>
      <x:c r="B42" s="11" t="str">
        <x:v>UV</x:v>
      </x:c>
      <x:c r="C42" s="11" t="str">
        <x:v>Có nhóm, nghĩa làm việc phù hợp, không có cờ phạm vi và có căn cứ nhận diện khái niệm ở hai cột nghĩa.</x:v>
      </x:c>
      <x:c r="D42" s="11" t="str">
        <x:v>89 dòng để ưu tiên đối chiếu. Đây chưa phải tập cặp song ngữ đã xác nhận độc lập.</x:v>
      </x:c>
    </x:row>
    <x:row r="43" ht="79.5" customHeight="1">
      <x:c r="A43" s="11" t="str">
        <x:v>검토 필요</x:v>
      </x:c>
      <x:c r="B43" s="11" t="str">
        <x:v>XX</x:v>
      </x:c>
      <x:c r="C43" s="11" t="str">
        <x:v>Chưa khóa nghĩa, lệch đối tượng hai vế hoặc nghĩa nằm ngoài phạm vi khung.</x:v>
      </x:c>
      <x:c r="D43" s="11" t="str">
        <x:v>16 dòng chưa gán; 20 dòng khác có nhóm đề xuất có điều kiện. Không ép vào N3/N4.</x:v>
      </x:c>
    </x:row>
    <x:row r="44">
      <x:c r="A44" s="2"/>
      <x:c r="B44" s="2"/>
      <x:c r="C44" s="2"/>
      <x:c r="D44" s="2"/>
    </x:row>
    <x:row r="45" ht="36" customHeight="1">
      <x:c r="A45" s="8" t="str">
        <x:v>Trang tính</x:v>
      </x:c>
      <x:c r="B45" s="9" t="str">
        <x:v>Mã</x:v>
      </x:c>
      <x:c r="C45" s="9" t="str">
        <x:v>Nội dung</x:v>
      </x:c>
      <x:c r="D45" s="10" t="str">
        <x:v>Cách đọc nhanh</x:v>
      </x:c>
    </x:row>
    <x:row r="46" ht="82.5" customHeight="1">
      <x:c r="A46" s="11" t="str">
        <x:v>Thuật ngữ</x:v>
      </x:c>
      <x:c r="B46" s="11" t="str">
        <x:v>1</x:v>
      </x:c>
      <x:c r="C46" s="11" t="str">
        <x:v>Đủ 266 dòng, năm cột đầu đúng cấu trúc người dùng yêu cầu.</x:v>
      </x:c>
      <x:c r="D46" s="11" t="str">
        <x:v>Lọc Nhóm chính để lấy danh sách từng nhóm; lọc Kết luận rà soát để lấy ứng viên giữ hoặc các mục cần bổ sung.</x:v>
      </x:c>
    </x:row>
    <x:row r="47" ht="82.5" customHeight="1">
      <x:c r="A47" s="11" t="str">
        <x:v>Rà soát</x:v>
      </x:c>
      <x:c r="B47" s="11" t="str">
        <x:v>2</x:v>
      </x:c>
      <x:c r="C47" s="11" t="str">
        <x:v>Kết quả phân loại, chênh lệch cặp, tư cách đơn vị, liên kết trùng và nhận xét chi tiết.</x:v>
      </x:c>
      <x:c r="D47" s="11" t="str">
        <x:v>Tra theo mã ở cột M của bảng Thuật ngữ. Các mã nguồn Sxxx trỏ đến cùng tài liệu trong Nguồn kiểm tra.</x:v>
      </x:c>
    </x:row>
    <x:row r="48" ht="82.5" customHeight="1">
      <x:c r="A48" s="11" t="str">
        <x:v>Nguồn kiểm tra</x:v>
      </x:c>
      <x:c r="B48" s="11" t="str">
        <x:v>3</x:v>
      </x:c>
      <x:c r="C48" s="11" t="str">
        <x:v>Mỗi dòng là một vế nghĩa hoặc một nguồn bổ sung của một mã. Có URL, ngôn ngữ, loại bằng chứng và kết quả từ điển.</x:v>
      </x:c>
      <x:c r="D48" s="11" t="str">
        <x:v>VI/KO chỉ vế đang được giải nghĩa; cột Ngôn ngữ nguồn cho biết tài liệu gốc thực sự viết bằng ngôn ngữ nào.</x:v>
      </x:c>
    </x:row>
    <x:row r="49" ht="82.5" customHeight="1">
      <x:c r="A49" s="11" t="str">
        <x:v>Giới hạn kết luận</x:v>
      </x:c>
      <x:c r="B49" s="11" t="str">
        <x:v>4</x:v>
      </x:c>
      <x:c r="C49" s="11" t="str">
        <x:v>Khung đủ để mã hóa phần có nghĩa phù hợp với năm loại; chưa bao phủ mọi khái niệm chính trị–ngoại giao.</x:v>
      </x:c>
      <x:c r="D49" s="11" t="str">
        <x:v>Nếu phải nhận mọi thuật ngữ hợp lệ vào một nhóm nội dung, cần thiết kế lại phạm vi khung và mã hóa lại, không coi dòng cần xem xét là một nhóm dư.</x:v>
      </x:c>
    </x:row>
    <x:row r="50">
      <x:c r="A50" s="2"/>
      <x:c r="B50" s="2"/>
      <x:c r="C50" s="2"/>
      <x:c r="D50" s="2"/>
    </x:row>
    <x:row r="51" ht="27" customHeight="1">
      <x:c r="A51" s="27" t="str">
        <x:v>ĐỐI CHIẾU QUA TIẾNG ANH — bổ sung ngày 29/10/2026 (KST)</x:v>
      </x:c>
      <x:c r="B51" s="2"/>
      <x:c r="C51" s="2"/>
      <x:c r="D51" s="2"/>
    </x:row>
    <x:row r="52">
      <x:c r="A52" s="2"/>
      <x:c r="B52" s="2"/>
      <x:c r="C52" s="2"/>
      <x:c r="D52" s="2"/>
    </x:row>
    <x:row r="53" ht="36.75" customHeight="1">
      <x:c r="A53" s="36" t="str">
        <x:v>Kết quả</x:v>
      </x:c>
      <x:c r="B53" s="36" t="str">
        <x:v>Số dòng</x:v>
      </x:c>
      <x:c r="C53" s="36" t="str">
        <x:v>Ý nghĩa</x:v>
      </x:c>
      <x:c r="D53" s="36" t="str">
        <x:v>Cách dùng trong nghiên cứu</x:v>
      </x:c>
    </x:row>
    <x:row r="54" ht="76.5" customHeight="1">
      <x:c r="A54" s="38" t="str">
        <x:v>Cùng biểu thức Anh — xác nhận</x:v>
      </x:c>
      <x:c r="B54" s="47" t="n">
        <x:f>COUNTIF('Đối chiếu Anh'!$H$6:$H$271,"Xác nhận — cùng biểu thức Anh")</x:f>
        <x:v>69</x:v>
      </x:c>
      <x:c r="C54" s="38" t="str">
        <x:v>Hai nhánh có nguồn; biểu thức Anh khớp sau chuẩn hóa chữ hoa/thường và khoảng trắng; cùng nghĩa đã chọn.</x:v>
      </x:c>
      <x:c r="D54" s="38" t="str">
        <x:v>Bộ lọc chính phù hợp tiêu chí người dùng. Số dòng không phải số khái niệm độc lập.</x:v>
      </x:c>
    </x:row>
    <x:row r="55" ht="76.5" customHeight="1">
      <x:c r="A55" s="42" t="str">
        <x:v>Tương ứng — biến thể Anh</x:v>
      </x:c>
      <x:c r="B55" s="48" t="n">
        <x:f>COUNTIF('Đối chiếu Anh'!$H$6:$H$271,"Tương ứng — biến thể Anh")</x:f>
        <x:v>6</x:v>
      </x:c>
      <x:c r="C55" s="42" t="str">
        <x:v>Hai nhánh có bằng chứng cùng nghĩa nhưng khác cách viết, cách gọi hoặc có thêm một đối dịch.</x:v>
      </x:c>
      <x:c r="D55" s="42" t="str">
        <x:v>Để riêng khi nghiên cứu yêu cầu trùng đúng một biểu thức Anh.</x:v>
      </x:c>
    </x:row>
    <x:row r="56" ht="76.5" customHeight="1">
      <x:c r="A56" s="11" t="str">
        <x:v>Có điều kiện — chưa chốt</x:v>
      </x:c>
      <x:c r="B56" s="46" t="n">
        <x:f>COUNTIF('Đối chiếu Anh'!$H$6:$H$271,"Có điều kiện — chưa chốt")</x:f>
        <x:v>22</x:v>
      </x:c>
      <x:c r="C56" s="11" t="str">
        <x:v>Cần chốt ngữ cảnh, đối tượng, biến thể nguyên ngữ hoặc kiểm thêm nguồn.</x:v>
      </x:c>
      <x:c r="D56" s="11" t="str">
        <x:v>Chưa đưa vào tập xác nhận dù một số cặp cùng dùng một biểu thức Anh.</x:v>
      </x:c>
    </x:row>
    <x:row r="57" ht="76.5" customHeight="1">
      <x:c r="A57" s="11" t="str">
        <x:v>Ứng viên — thiếu chứng cứ</x:v>
      </x:c>
      <x:c r="B57" s="46" t="n">
        <x:f>COUNTIF('Đối chiếu Anh'!$H$6:$H$271,"Ứng viên — còn thiếu chứng cứ")</x:f>
        <x:v>138</x:v>
      </x:c>
      <x:c r="C57" s="11" t="str">
        <x:v>Có đối chiếu làm việc nhưng chưa đủ bằng chứng hai nhánh để xác nhận.</x:v>
      </x:c>
      <x:c r="D57" s="11" t="str">
        <x:v>Tiếng Anh đánh dấu * chỉ là tham chiếu/đề xuất tra cứu.</x:v>
      </x:c>
    </x:row>
    <x:row r="58" ht="76.5" customHeight="1">
      <x:c r="A58" s="44" t="str">
        <x:v>Lệch nghĩa / phạm vi</x:v>
      </x:c>
      <x:c r="B58" s="49" t="n">
        <x:f>COUNTIF('Đối chiếu Anh'!$H$6:$H$271,"Lệch nghĩa / phạm vi")</x:f>
        <x:v>13</x:v>
      </x:c>
      <x:c r="C58" s="44" t="str">
        <x:v>Hai biểu thức hiện tại chưa gọi tên cùng nội hàm hoặc cùng đối tượng.</x:v>
      </x:c>
      <x:c r="D58" s="44" t="str">
        <x:v>Cần sửa cặp hoặc giới hạn nghĩa bằng ngữ liệu; không ép chung một nhãn Anh.</x:v>
      </x:c>
    </x:row>
    <x:row r="59" ht="76.5" customHeight="1">
      <x:c r="A59" s="11" t="str">
        <x:v>Chưa đủ căn cứ đối chiếu</x:v>
      </x:c>
      <x:c r="B59" s="46" t="n">
        <x:f>COUNTIF('Đối chiếu Anh'!$H$6:$H$271,"Chưa đủ căn cứ đối chiếu")</x:f>
        <x:v>18</x:v>
      </x:c>
      <x:c r="C59" s="11" t="str">
        <x:v>Chưa xác định được ánh xạ đáng tin hoặc cách đọc phù hợp.</x:v>
      </x:c>
      <x:c r="D59" s="11" t="str">
        <x:v>Không kết luận là không có thuật ngữ; giữ lại để kiểm tiếp.</x:v>
      </x:c>
    </x:row>
    <x:row r="60" ht="76.5" customHeight="1">
      <x:c r="A60" s="50" t="str">
        <x:v>TỔNG SỐ DÒNG</x:v>
      </x:c>
      <x:c r="B60" s="51" t="n">
        <x:f>SUM(B54:B59)</x:f>
        <x:v>266</x:v>
      </x:c>
      <x:c r="C60" s="50" t="str">
        <x:v>167 mục gốc + 99 mã C; giữ nguyên dữ liệu đầu vào.</x:v>
      </x:c>
      <x:c r="D60" s="50" t="str">
        <x:v>Các cặp trùng khái niệm vẫn giữ mã riêng.</x:v>
      </x:c>
    </x:row>
    <x:row r="62" ht="36.75" customHeight="1">
      <x:c r="A62" s="36" t="str">
        <x:v>Quy tắc thao tác</x:v>
      </x:c>
      <x:c r="B62" s="36" t="str">
        <x:v>Mã</x:v>
      </x:c>
      <x:c r="C62" s="36" t="str">
        <x:v>Điều kiện cần giữ</x:v>
      </x:c>
      <x:c r="D62" s="36" t="str">
        <x:v>Giới hạn</x:v>
      </x:c>
    </x:row>
    <x:row r="63" ht="86.25" customHeight="1">
      <x:c r="A63" s="11" t="str">
        <x:v>Hai nhánh có nguồn</x:v>
      </x:c>
      <x:c r="B63" s="11" t="str">
        <x:v>EN1</x:v>
      </x:c>
      <x:c r="C63" s="11" t="str">
        <x:v>Tra độc lập Việt–Anh và Hàn–Anh. Nhãn Anh tự dịch hoặc nhãn tham chiếu cũ không được tính là nguồn đối dịch.</x:v>
      </x:c>
      <x:c r="D63" s="11" t="str">
        <x:v>Từ điển song ngữ, cặp tên tường minh, hoặc văn bản song song căn chỉnh cùng đối tượng/cùng sự kiện là bằng chứng phù hợp.</x:v>
      </x:c>
    </x:row>
    <x:row r="64" ht="86.25" customHeight="1">
      <x:c r="A64" s="11" t="str">
        <x:v>Cùng nghĩa chuyên ngành</x:v>
      </x:c>
      <x:c r="B64" s="11" t="str">
        <x:v>EN2</x:v>
      </x:c>
      <x:c r="C64" s="11" t="str">
        <x:v>Trùng chữ Anh mới là dấu hiệu để đối chiếu; phải kiểm nghĩa, phạm vi, từ loại và đối tượng được định danh.</x:v>
      </x:c>
      <x:c r="D64" s="11" t="str">
        <x:v>C087: International Relations trong nguồn Việt là ngành học, trong nguồn Hàn là quan hệ thực tế. Không xác nhận chỉ vì trùng chữ.</x:v>
      </x:c>
    </x:row>
    <x:row r="65" ht="86.25" customHeight="1">
      <x:c r="A65" s="11" t="str">
        <x:v>Biến thể</x:v>
      </x:c>
      <x:c r="B65" s="11" t="str">
        <x:v>EN3</x:v>
      </x:c>
      <x:c r="C65" s="11" t="str">
        <x:v>Không bỏ các thành tố như permanent, honorary, First, cooperation hoặc phạm vi quốc gia. Chữ hoa/thường, khoảng trắng được chuẩn hóa.</x:v>
      </x:c>
      <x:c r="D65" s="11" t="str">
        <x:v>Biến thể Anh được ghi riêng, không âm thầm biến thành trùng nguyên dạng. Nhãn Hàn nguyên gốc vẫn được bảo toàn.</x:v>
      </x:c>
    </x:row>
    <x:row r="66" ht="86.25" customHeight="1">
      <x:c r="A66" s="11" t="str">
        <x:v>Tên riêng và thuật ngữ</x:v>
      </x:c>
      <x:c r="B66" s="11" t="str">
        <x:v>EN4</x:v>
      </x:c>
      <x:c r="C66" s="11" t="str">
        <x:v>Tên tổ chức/văn kiện được xác nhận theo cùng đối tượng; đây là bằng chứng định danh, không tự thành mục từ khái niệm chung.</x:v>
      </x:c>
      <x:c r="D66" s="11" t="str">
        <x:v>CPTPP, UNDP, Kyoto Protocol có thể xác minh bằng nguồn chính thức dù không có trong từ điển phổ thông.</x:v>
      </x:c>
    </x:row>
    <x:row r="67" ht="86.25" customHeight="1">
      <x:c r="A67" s="11" t="str">
        <x:v>Nguồn và thời điểm</x:v>
      </x:c>
      <x:c r="B67" s="11" t="str">
        <x:v>EN5</x:v>
      </x:c>
      <x:c r="C67" s="11" t="str">
        <x:v>Nguồn lịch sử chứng minh cách dùng tại thời điểm tài liệu. Một số nguồn PDF chỉ đọc được phần được lập chỉ mục, đã ghi rõ ở nguồn.</x:v>
      </x:c>
      <x:c r="D67" s="11" t="str">
        <x:v>Không dùng nguồn cũ để khẳng định tên cơ quan hoặc hiệu lực pháp luật hiện hành. Không thay trích dẫn từ điển bằng giải nghĩa tự viết.</x:v>
      </x:c>
    </x:row>
    <x:row r="68" ht="86.25" customHeight="1">
      <x:c r="A68" s="11" t="str">
        <x:v>Phân loại độc lập</x:v>
      </x:c>
      <x:c r="B68" s="11" t="str">
        <x:v>EN6</x:v>
      </x:c>
      <x:c r="C68" s="11" t="str">
        <x:v>Xác nhận tương ứng qua Anh không tự chốt tư cách thuật ngữ, định nghĩa hoặc nhóm nội dung. Xem các cột riêng trong bảng.</x:v>
      </x:c>
      <x:c r="D68" s="11" t="str">
        <x:v>Các mục an ninh có thể tương ứng về nghĩa nhưng nghĩa trạng thái còn nằm ngoài phạm vi năm nhóm hiện tại.</x:v>
      </x:c>
    </x:row>
    <x:row r="69" ht="86.25" customHeight="1">
      <x:c r="A69" s="11" t="str">
        <x:v>Cách lấy danh sách</x:v>
      </x:c>
      <x:c r="B69" s="11" t="str">
        <x:v>EN7</x:v>
      </x:c>
      <x:c r="C69" s="11" t="str">
        <x:v>Ở Đối chiếu Anh, lọc cột H = Xác nhận — cùng biểu thức Anh. Lọc thêm cột R để xem từng nhóm.</x:v>
      </x:c>
      <x:c r="D69" s="11" t="str">
        <x:v>Tra mã EB tại K/M trong trang Nguồn kiểm tra; có ghi số dòng. Cột N/O giữ đúng cách gọi xuất hiện trong nguồn. Dấu * ở D/F báo nhãn chưa được chứng minh.</x:v>
      </x:c>
    </x:row>
    <x:row r="72" ht="27" customHeight="1">
      <x:c r="A72" s="62" t="str">
        <x:v>NGUỒN GỐC TỪ — bổ sung ngày 29/10/2026 (KST)</x:v>
      </x:c>
    </x:row>
    <x:row r="74" ht="36.75" customHeight="1">
      <x:c r="A74" s="60" t="str">
        <x:v>Mức chứng cứ</x:v>
      </x:c>
      <x:c r="B74" s="60" t="str">
        <x:v>Việt: số dòng</x:v>
      </x:c>
      <x:c r="C74" s="60" t="str">
        <x:v>Hàn: số dòng</x:v>
      </x:c>
      <x:c r="D74" s="60" t="str">
        <x:v>Cách hiểu</x:v>
      </x:c>
    </x:row>
    <x:row r="75" ht="82.5" customHeight="1">
      <x:c r="A75" s="11" t="str">
        <x:v>A — Có chứng cứ thành tố</x:v>
      </x:c>
      <x:c r="B75" s="23" t="n">
        <x:f>COUNTIFS('Nguồn gốc từ'!$E$6:$E$271,"A — Có chứng cứ thành tố")</x:f>
        <x:v>161</x:v>
      </x:c>
      <x:c r="C75" s="23" t="n">
        <x:f>COUNTIFS('Nguồn gốc từ'!$H$6:$H$271,"A — Có chứng cứ thành tố")</x:f>
        <x:v>64</x:v>
      </x:c>
      <x:c r="D75" s="11" t="str">
        <x:v>Nguồn đã tra hỗ trợ nguồn gốc của những thành tố quyết định nhãn. Việc phân đoạn và ghép thành nhãn của toàn biểu thức vẫn là phân tích của nghiên cứu.</x:v>
      </x:c>
    </x:row>
    <x:row r="76" ht="82.5" customHeight="1">
      <x:c r="A76" s="11" t="str">
        <x:v>B — Phân tích tạm</x:v>
      </x:c>
      <x:c r="B76" s="23" t="n">
        <x:f>COUNTIFS('Nguồn gốc từ'!$E$6:$E$271,"B — Phân tích tạm")</x:f>
        <x:v>78</x:v>
      </x:c>
      <x:c r="C76" s="23" t="n">
        <x:f>COUNTIFS('Nguồn gốc từ'!$H$6:$H$271,"B — Phân tích tạm")</x:f>
        <x:v>202</x:v>
      </x:c>
      <x:c r="D76" s="11" t="str">
        <x:v>Đã phân tích cấu tạo, nhưng nguồn trong lượt này chưa chứng thực đầy đủ từng thành tố hoặc phép mở rộng nghĩa. Chưa coi là kết quả từ nguyên đã xác nhận.</x:v>
      </x:c>
    </x:row>
    <x:row r="77" ht="82.5" customHeight="1">
      <x:c r="A77" s="11" t="str">
        <x:v>C — Chưa chốt từ nguyên</x:v>
      </x:c>
      <x:c r="B77" s="23" t="n">
        <x:f>COUNTIFS('Nguồn gốc từ'!$E$6:$E$271,"C — Chưa chốt từ nguyên")</x:f>
        <x:v>27</x:v>
      </x:c>
      <x:c r="C77" s="23" t="n">
        <x:f>COUNTIFS('Nguồn gốc từ'!$H$6:$H$271,"C — Chưa chốt từ nguyên")</x:f>
        <x:v>0</x:v>
      </x:c>
      <x:c r="D77" s="11" t="str">
        <x:v>Có thành tố còn tranh luận, nguồn chỉ nêu khả năng vay mượn, hoặc chưa đủ căn cứ để chốt loại cấu tạo.</x:v>
      </x:c>
    </x:row>
    <x:row r="78" ht="82.5" customHeight="1">
      <x:c r="A78" s="67" t="str">
        <x:v>Tổng số biểu thức</x:v>
      </x:c>
      <x:c r="B78" s="68" t="n">
        <x:f>SUM(B75:B77)</x:f>
        <x:v>266</x:v>
      </x:c>
      <x:c r="C78" s="68" t="n">
        <x:f>SUM(C75:C77)</x:f>
        <x:v>266</x:v>
      </x:c>
      <x:c r="D78" s="67" t="str">
        <x:v>Mỗi dòng có một dạng Việt và một dạng Hàn. 266 dòng không phải 266 khái niệm độc lập.</x:v>
      </x:c>
    </x:row>
    <x:row r="80" ht="36.75" customHeight="1">
      <x:c r="A80" s="60" t="str">
        <x:v>Chứng cứ cả cặp</x:v>
      </x:c>
      <x:c r="B80" s="60" t="str">
        <x:v>Số dòng</x:v>
      </x:c>
      <x:c r="C80" s="60" t="str">
        <x:v>Cách lọc</x:v>
      </x:c>
      <x:c r="D80" s="60" t="str">
        <x:v>Giới hạn</x:v>
      </x:c>
    </x:row>
    <x:row r="81" ht="82.5" customHeight="1">
      <x:c r="A81" s="11" t="str">
        <x:v>A/A — Có chứng cứ hai phía</x:v>
      </x:c>
      <x:c r="B81" s="23" t="n">
        <x:f>COUNTIFS('Nguồn gốc từ'!$I$6:$I$271,"A/A — Có chứng cứ hai phía")</x:f>
        <x:v>48</x:v>
      </x:c>
      <x:c r="C81" s="11" t="str">
        <x:v>Lọc cột I = A/A.</x:v>
      </x:c>
      <x:c r="D81" s="11" t="str">
        <x:v>Chỉ kết luận nguồn gốc thành tố ở cả hai phía; chưa đủ để chốt tư cách thuật ngữ hoặc tương ứng nghĩa.</x:v>
      </x:c>
    </x:row>
    <x:row r="82" ht="82.5" customHeight="1">
      <x:c r="A82" s="11" t="str">
        <x:v>B — Cần bổ sung chứng cứ</x:v>
      </x:c>
      <x:c r="B82" s="23" t="n">
        <x:f>COUNTIFS('Nguồn gốc từ'!$I$6:$I$271,"B — Cần bổ sung chứng cứ")</x:f>
        <x:v>191</x:v>
      </x:c>
      <x:c r="C82" s="11" t="str">
        <x:v>Có ít nhất một phía B và không có phía C.</x:v>
      </x:c>
      <x:c r="D82" s="11" t="str">
        <x:v>Phân tích tạm; xem thành tố có * và nguồn cần bổ sung.</x:v>
      </x:c>
    </x:row>
    <x:row r="83" ht="82.5" customHeight="1">
      <x:c r="A83" s="11" t="str">
        <x:v>C — Còn điểm chưa chốt</x:v>
      </x:c>
      <x:c r="B83" s="23" t="n">
        <x:f>COUNTIFS('Nguồn gốc từ'!$I$6:$I$271,"C — Còn điểm chưa chốt")</x:f>
        <x:v>27</x:v>
      </x:c>
      <x:c r="C83" s="11" t="str">
        <x:v>Có ít nhất một phía C.</x:v>
      </x:c>
      <x:c r="D83" s="11" t="str">
        <x:v>Có thành tố còn chưa rõ nguồn gốc hoặc nghĩa phù hợp.</x:v>
      </x:c>
    </x:row>
    <x:row r="84" ht="82.5" customHeight="1">
      <x:c r="A84" s="11" t="str">
        <x:v>A/A và cùng biểu thức Anh</x:v>
      </x:c>
      <x:c r="B84" s="23" t="n">
        <x:f>COUNTIFS('Nguồn gốc từ'!$I$6:$I$271,"A/A — Có chứng cứ hai phía",'Nguồn gốc từ'!$T$6:$T$271,"Xác nhận — cùng biểu thức Anh")</x:f>
        <x:v>15</x:v>
      </x:c>
      <x:c r="C84" s="11" t="str">
        <x:v>Lọc I = A/A và T = Xác nhận — cùng biểu thức Anh.</x:v>
      </x:c>
      <x:c r="D84" s="11" t="str">
        <x:v>Hai điều kiện độc lập: chứng cứ từ nguyên hai phía và tương ứng qua Anh. Vẫn cần xem tư cách đơn vị ở trang Rà soát.</x:v>
      </x:c>
    </x:row>
    <x:row r="86" ht="27" customHeight="1">
      <x:c r="A86" s="62" t="str">
        <x:v>Các nhãn cấu tạo hiện dùng</x:v>
      </x:c>
    </x:row>
    <x:row r="88" ht="36.75" customHeight="1">
      <x:c r="A88" s="60" t="str">
        <x:v>Ngôn ngữ</x:v>
      </x:c>
      <x:c r="B88" s="60" t="str">
        <x:v>Số dòng</x:v>
      </x:c>
      <x:c r="C88" s="60" t="str">
        <x:v>Cấu tạo</x:v>
      </x:c>
      <x:c r="D88" s="60" t="str">
        <x:v>Số dòng mức A</x:v>
      </x:c>
    </x:row>
    <x:row r="89" ht="40.5" customHeight="1">
      <x:c r="A89" s="11" t="str">
        <x:v>Việt</x:v>
      </x:c>
      <x:c r="B89" s="23" t="n">
        <x:f>COUNTIFS('Nguồn gốc từ'!$D$6:$D$271,"Hán Việt")</x:f>
        <x:v>192</x:v>
      </x:c>
      <x:c r="C89" s="11" t="str">
        <x:v>Hán Việt</x:v>
      </x:c>
      <x:c r="D89" s="23" t="n">
        <x:f>COUNTIFS('Nguồn gốc từ'!$D$6:$D$271,"Hán Việt",'Nguồn gốc từ'!$E$6:$E$271,"A — Có chứng cứ thành tố")</x:f>
        <x:v>154</x:v>
      </x:c>
    </x:row>
    <x:row r="90" ht="40.5" customHeight="1">
      <x:c r="A90" s="11" t="str">
        <x:v>Việt</x:v>
      </x:c>
      <x:c r="B90" s="23" t="n">
        <x:f>COUNTIFS('Nguồn gốc từ'!$D$6:$D$271,"Hán Việt + thuần Việt")</x:f>
        <x:v>26</x:v>
      </x:c>
      <x:c r="C90" s="11" t="str">
        <x:v>Hán Việt + thuần Việt</x:v>
      </x:c>
      <x:c r="D90" s="23" t="n">
        <x:f>COUNTIFS('Nguồn gốc từ'!$D$6:$D$271,"Hán Việt + thuần Việt",'Nguồn gốc từ'!$E$6:$E$271,"A — Có chứng cứ thành tố")</x:f>
        <x:v>4</x:v>
      </x:c>
    </x:row>
    <x:row r="91" ht="40.5" customHeight="1">
      <x:c r="A91" s="11" t="str">
        <x:v>Việt</x:v>
      </x:c>
      <x:c r="B91" s="23" t="n">
        <x:f>COUNTIFS('Nguồn gốc từ'!$D$6:$D$271,"Chưa chốt")</x:f>
        <x:v>27</x:v>
      </x:c>
      <x:c r="C91" s="11" t="str">
        <x:v>Chưa chốt</x:v>
      </x:c>
      <x:c r="D91" s="23" t="n">
        <x:f>COUNTIFS('Nguồn gốc từ'!$D$6:$D$271,"Chưa chốt",'Nguồn gốc từ'!$E$6:$E$271,"A — Có chứng cứ thành tố")</x:f>
        <x:v>0</x:v>
      </x:c>
    </x:row>
    <x:row r="92" ht="40.5" customHeight="1">
      <x:c r="A92" s="11" t="str">
        <x:v>Việt</x:v>
      </x:c>
      <x:c r="B92" s="23" t="n">
        <x:f>COUNTIFS('Nguồn gốc từ'!$D$6:$D$271,"Hán Việt + ngoại lai khác")</x:f>
        <x:v>12</x:v>
      </x:c>
      <x:c r="C92" s="11" t="str">
        <x:v>Hán Việt + ngoại lai khác</x:v>
      </x:c>
      <x:c r="D92" s="23" t="n">
        <x:f>COUNTIFS('Nguồn gốc từ'!$D$6:$D$271,"Hán Việt + ngoại lai khác",'Nguồn gốc từ'!$E$6:$E$271,"A — Có chứng cứ thành tố")</x:f>
        <x:v>0</x:v>
      </x:c>
    </x:row>
    <x:row r="93" ht="40.5" customHeight="1">
      <x:c r="A93" s="11" t="str">
        <x:v>Việt</x:v>
      </x:c>
      <x:c r="B93" s="23" t="n">
        <x:f>COUNTIFS('Nguồn gốc từ'!$D$6:$D$271,"Thuần Việt")</x:f>
        <x:v>3</x:v>
      </x:c>
      <x:c r="C93" s="11" t="str">
        <x:v>Thuần Việt</x:v>
      </x:c>
      <x:c r="D93" s="23" t="n">
        <x:f>COUNTIFS('Nguồn gốc từ'!$D$6:$D$271,"Thuần Việt",'Nguồn gốc từ'!$E$6:$E$271,"A — Có chứng cứ thành tố")</x:f>
        <x:v>1</x:v>
      </x:c>
    </x:row>
    <x:row r="94" ht="40.5" customHeight="1">
      <x:c r="A94" s="11" t="str">
        <x:v>Việt</x:v>
      </x:c>
      <x:c r="B94" s="23" t="n">
        <x:f>COUNTIFS('Nguồn gốc từ'!$D$6:$D$271,"Hán Việt + gốc Hán khác")</x:f>
        <x:v>3</x:v>
      </x:c>
      <x:c r="C94" s="11" t="str">
        <x:v>Hán Việt + gốc Hán khác</x:v>
      </x:c>
      <x:c r="D94" s="23" t="n">
        <x:f>COUNTIFS('Nguồn gốc từ'!$D$6:$D$271,"Hán Việt + gốc Hán khác",'Nguồn gốc từ'!$E$6:$E$271,"A — Có chứng cứ thành tố")</x:f>
        <x:v>2</x:v>
      </x:c>
    </x:row>
    <x:row r="95" ht="40.5" customHeight="1">
      <x:c r="A95" s="11" t="str">
        <x:v>Việt</x:v>
      </x:c>
      <x:c r="B95" s="23" t="n">
        <x:f>COUNTIFS('Nguồn gốc từ'!$D$6:$D$271,"Ngoại lai khác")</x:f>
        <x:v>1</x:v>
      </x:c>
      <x:c r="C95" s="11" t="str">
        <x:v>Ngoại lai khác</x:v>
      </x:c>
      <x:c r="D95" s="23" t="n">
        <x:f>COUNTIFS('Nguồn gốc từ'!$D$6:$D$271,"Ngoại lai khác",'Nguồn gốc từ'!$E$6:$E$271,"A — Có chứng cứ thành tố")</x:f>
        <x:v>0</x:v>
      </x:c>
    </x:row>
    <x:row r="96" ht="40.5" customHeight="1">
      <x:c r="A96" s="11" t="str">
        <x:v>Việt</x:v>
      </x:c>
      <x:c r="B96" s="23" t="n">
        <x:f>COUNTIFS('Nguồn gốc từ'!$D$6:$D$271,"Hán Việt + thuần Việt + gốc Hán khác")</x:f>
        <x:v>2</x:v>
      </x:c>
      <x:c r="C96" s="11" t="str">
        <x:v>Hán Việt + thuần Việt + gốc Hán khác</x:v>
      </x:c>
      <x:c r="D96" s="23" t="n">
        <x:f>COUNTIFS('Nguồn gốc từ'!$D$6:$D$271,"Hán Việt + thuần Việt + gốc Hán khác",'Nguồn gốc từ'!$E$6:$E$271,"A — Có chứng cứ thành tố")</x:f>
        <x:v>0</x:v>
      </x:c>
    </x:row>
    <x:row r="97" ht="40.5" customHeight="1">
      <x:c r="A97" s="11" t="str">
        <x:v>Hàn</x:v>
      </x:c>
      <x:c r="B97" s="23" t="n">
        <x:f>COUNTIFS('Nguồn gốc từ'!$G$6:$G$271,"Hán Hàn")</x:f>
        <x:v>210</x:v>
      </x:c>
      <x:c r="C97" s="11" t="str">
        <x:v>Hán Hàn</x:v>
      </x:c>
      <x:c r="D97" s="23" t="n">
        <x:f>COUNTIFS('Nguồn gốc từ'!$G$6:$G$271,"Hán Hàn",'Nguồn gốc từ'!$H$6:$H$271,"A — Có chứng cứ thành tố")</x:f>
        <x:v>52</x:v>
      </x:c>
    </x:row>
    <x:row r="98" ht="40.5" customHeight="1">
      <x:c r="A98" s="11" t="str">
        <x:v>Hàn</x:v>
      </x:c>
      <x:c r="B98" s="23" t="n">
        <x:f>COUNTIFS('Nguồn gốc từ'!$G$6:$G$271,"Hán Hàn + ngữ pháp thuần Hàn")</x:f>
        <x:v>6</x:v>
      </x:c>
      <x:c r="C98" s="11" t="str">
        <x:v>Hán Hàn + ngữ pháp thuần Hàn</x:v>
      </x:c>
      <x:c r="D98" s="23" t="n">
        <x:f>COUNTIFS('Nguồn gốc từ'!$G$6:$G$271,"Hán Hàn + ngữ pháp thuần Hàn",'Nguồn gốc từ'!$H$6:$H$271,"A — Có chứng cứ thành tố")</x:f>
        <x:v>0</x:v>
      </x:c>
    </x:row>
    <x:row r="99" ht="40.5" customHeight="1">
      <x:c r="A99" s="11" t="str">
        <x:v>Hàn</x:v>
      </x:c>
      <x:c r="B99" s="23" t="n">
        <x:f>COUNTIFS('Nguồn gốc từ'!$G$6:$G$271,"Hán Hàn + ngoại lai khác")</x:f>
        <x:v>42</x:v>
      </x:c>
      <x:c r="C99" s="11" t="str">
        <x:v>Hán Hàn + ngoại lai khác</x:v>
      </x:c>
      <x:c r="D99" s="23" t="n">
        <x:f>COUNTIFS('Nguồn gốc từ'!$G$6:$G$271,"Hán Hàn + ngoại lai khác",'Nguồn gốc từ'!$H$6:$H$271,"A — Có chứng cứ thành tố")</x:f>
        <x:v>8</x:v>
      </x:c>
    </x:row>
    <x:row r="100" ht="40.5" customHeight="1">
      <x:c r="A100" s="11" t="str">
        <x:v>Hàn</x:v>
      </x:c>
      <x:c r="B100" s="23" t="n">
        <x:f>COUNTIFS('Nguồn gốc từ'!$G$6:$G$271,"Ngoại lai khác")</x:f>
        <x:v>5</x:v>
      </x:c>
      <x:c r="C100" s="11" t="str">
        <x:v>Ngoại lai khác</x:v>
      </x:c>
      <x:c r="D100" s="23" t="n">
        <x:f>COUNTIFS('Nguồn gốc từ'!$G$6:$G$271,"Ngoại lai khác",'Nguồn gốc từ'!$H$6:$H$271,"A — Có chứng cứ thành tố")</x:f>
        <x:v>4</x:v>
      </x:c>
    </x:row>
    <x:row r="101" ht="40.5" customHeight="1">
      <x:c r="A101" s="11" t="str">
        <x:v>Hàn</x:v>
      </x:c>
      <x:c r="B101" s="23" t="n">
        <x:f>COUNTIFS('Nguồn gốc từ'!$G$6:$G$271,"Dạng song song: ngoại lai / Hán Hàn")</x:f>
        <x:v>1</x:v>
      </x:c>
      <x:c r="C101" s="11" t="str">
        <x:v>Dạng song song: ngoại lai / Hán Hàn</x:v>
      </x:c>
      <x:c r="D101" s="23" t="n">
        <x:f>COUNTIFS('Nguồn gốc từ'!$G$6:$G$271,"Dạng song song: ngoại lai / Hán Hàn",'Nguồn gốc từ'!$H$6:$H$271,"A — Có chứng cứ thành tố")</x:f>
        <x:v>0</x:v>
      </x:c>
    </x:row>
    <x:row r="102" ht="40.5" customHeight="1">
      <x:c r="A102" s="11" t="str">
        <x:v>Hàn</x:v>
      </x:c>
      <x:c r="B102" s="23" t="n">
        <x:f>COUNTIFS('Nguồn gốc từ'!$G$6:$G$271,"Hán Hàn + thuần Hàn")</x:f>
        <x:v>1</x:v>
      </x:c>
      <x:c r="C102" s="11" t="str">
        <x:v>Hán Hàn + thuần Hàn</x:v>
      </x:c>
      <x:c r="D102" s="23" t="n">
        <x:f>COUNTIFS('Nguồn gốc từ'!$G$6:$G$271,"Hán Hàn + thuần Hàn",'Nguồn gốc từ'!$H$6:$H$271,"A — Có chứng cứ thành tố")</x:f>
        <x:v>0</x:v>
      </x:c>
    </x:row>
    <x:row r="103" ht="40.5" customHeight="1">
      <x:c r="A103" s="11" t="str">
        <x:v>Hàn</x:v>
      </x:c>
      <x:c r="B103" s="23" t="n">
        <x:f>COUNTIFS('Nguồn gốc từ'!$G$6:$G$271,"Hán Hàn + ngữ pháp thuần Hàn + ngoại lai khác")</x:f>
        <x:v>1</x:v>
      </x:c>
      <x:c r="C103" s="11" t="str">
        <x:v>Hán Hàn + ngữ pháp thuần Hàn + ngoại lai khác</x:v>
      </x:c>
      <x:c r="D103" s="23" t="n">
        <x:f>COUNTIFS('Nguồn gốc từ'!$G$6:$G$271,"Hán Hàn + ngữ pháp thuần Hàn + ngoại lai khác",'Nguồn gốc từ'!$H$6:$H$271,"A — Có chứng cứ thành tố")</x:f>
        <x:v>0</x:v>
      </x:c>
    </x:row>
    <x:row r="105" ht="36.75" customHeight="1">
      <x:c r="A105" s="60" t="str">
        <x:v>Chứng cứ Hán Nôm</x:v>
      </x:c>
      <x:c r="B105" s="60" t="str">
        <x:v>Số dòng</x:v>
      </x:c>
      <x:c r="C105" s="60" t="str">
        <x:v>Cách xác định</x:v>
      </x:c>
      <x:c r="D105" s="60" t="str">
        <x:v>Giới hạn</x:v>
      </x:c>
    </x:row>
    <x:row r="106" ht="82.5" customHeight="1">
      <x:c r="A106" s="11" t="str">
        <x:v>Có mục từ cả dạng biểu thức</x:v>
      </x:c>
      <x:c r="B106" s="23" t="n">
        <x:f>COUNTIFS('Nguồn gốc từ'!$J$6:$J$271,"Có mục từ cả dạng biểu thức")</x:f>
        <x:v>12</x:v>
      </x:c>
      <x:c r="C106" s="11" t="str">
        <x:v>Chứng cứ mục từ đã ghi cho một thành tố trùng toàn dạng đang phân tích.</x:v>
      </x:c>
      <x:c r="D106" s="11" t="str">
        <x:v>Chỉ xác nhận cùng dạng. Phải kiểm riêng nghĩa chính trị–ngoại giao.</x:v>
      </x:c>
    </x:row>
    <x:row r="107" ht="82.5" customHeight="1">
      <x:c r="A107" s="11" t="str">
        <x:v>Có chứng cứ cho thành tố</x:v>
      </x:c>
      <x:c r="B107" s="23" t="n">
        <x:f>COUNTIFS('Nguồn gốc từ'!$J$6:$J$271,"Có chứng cứ cho thành tố")</x:f>
        <x:v>241</x:v>
      </x:c>
      <x:c r="C107" s="11" t="str">
        <x:v>Có ít nhất một nguồn HVDic liên kết với thành tố hoặc cách đọc.</x:v>
      </x:c>
      <x:c r="D107" s="11" t="str">
        <x:v>Không khẳng định HVDic thiếu mục từ toàn cụm; chưa xác minh điều đó trong lượt này.</x:v>
      </x:c>
    </x:row>
    <x:row r="108" ht="82.5" customHeight="1">
      <x:c r="A108" s="11" t="str">
        <x:v>Chưa có chứng cứ HVDic trong lượt này</x:v>
      </x:c>
      <x:c r="B108" s="23" t="n">
        <x:f>COUNTIFS('Nguồn gốc từ'!$J$6:$J$271,"Chưa có chứng cứ HVDic trong lượt này")</x:f>
        <x:v>13</x:v>
      </x:c>
      <x:c r="C108" s="11" t="str">
        <x:v>Không có nguồn HVDic cụ thể trong các nguồn đã ghi cho dòng.</x:v>
      </x:c>
      <x:c r="D108" s="11" t="str">
        <x:v>Không suy ra thuần Việt từ việc chưa có chứng cứ HVDic. Xem nguồn khác hoặc bổ sung tra cứu.</x:v>
      </x:c>
    </x:row>
    <x:row r="110" ht="36.75" customHeight="1">
      <x:c r="A110" s="60" t="str">
        <x:v>Quy tắc thao tác</x:v>
      </x:c>
      <x:c r="B110" s="60" t="str">
        <x:v>Mã</x:v>
      </x:c>
      <x:c r="C110" s="60" t="str">
        <x:v>Cách làm</x:v>
      </x:c>
      <x:c r="D110" s="60" t="str">
        <x:v>Giới hạn cần giữ</x:v>
      </x:c>
    </x:row>
    <x:row r="111" ht="82.5" customHeight="1">
      <x:c r="A111" s="11" t="str">
        <x:v>Phân loại theo thành tố</x:v>
      </x:c>
      <x:c r="B111" s="11" t="str">
        <x:v>TN1</x:v>
      </x:c>
      <x:c r="C111" s="11" t="str">
        <x:v>Tách biểu thức thành những thành tố có nghĩa và xác định nguồn gốc trong đúng nghĩa đang dùng.</x:v>
      </x:c>
      <x:c r="D111" s="11" t="str">
        <x:v>Có một thành tố Hán không làm toàn bộ biểu thức trở thành Hán Việt/Hán Hàn.</x:v>
      </x:c>
    </x:row>
    <x:row r="112" ht="82.5" customHeight="1">
      <x:c r="A112" s="11" t="str">
        <x:v>Âm đọc và chữ viết</x:v>
      </x:c>
      <x:c r="B112" s="11" t="str">
        <x:v>TN2</x:v>
      </x:c>
      <x:c r="C112" s="11" t="str">
        <x:v>Hán Việt/Hán Hàn là lớp từ theo âm đọc và cấu tạo từ vựng. Chữ Quốc ngữ hoặc Hangul không quyết định nguồn gốc.</x:v>
      </x:c>
      <x:c r="D112" s="11" t="str">
        <x:v>Các thành tố gốc Hán có thể kết hợp mới trong tiếng Việt hoặc tiếng Hàn. Chưa kết luận cả thuật ngữ được vay nguyên khối từ tiếng Trung.</x:v>
      </x:c>
    </x:row>
    <x:row r="113" ht="82.5" customHeight="1">
      <x:c r="A113" s="11" t="str">
        <x:v>Chữ Hán có dấu *</x:v>
      </x:c>
      <x:c r="B113" s="11" t="str">
        <x:v>TN3</x:v>
      </x:c>
      <x:c r="C113" s="11" t="str">
        <x:v>Chữ Hán/Hanja có * là đối chiếu phân tích chưa được chứng thực đầy đủ bằng nguồn đã tra. Chữ không có * được dẫn về nguồn ở các cột mã nguồn.</x:v>
      </x:c>
      <x:c r="D113" s="11" t="str">
        <x:v>Không dùng bảng chuyển âm tự động, chữ Nôm mượn âm hoặc một chữ Hán đồng âm làm bằng chứng duy nhất về từ nguyên.</x:v>
      </x:c>
    </x:row>
    <x:row r="114" ht="82.5" customHeight="1">
      <x:c r="A114" s="11" t="str">
        <x:v>Gốc Hán khác</x:v>
      </x:c>
      <x:c r="B114" s="11" t="str">
        <x:v>TN4</x:v>
      </x:c>
      <x:c r="C114" s="11" t="str">
        <x:v>Dùng nhãn trung tính cho thành tố có chứng cứ gốc Hán nhưng không mang âm Hán Việt thông thường, thí dụ tòa/tọa và vẹn/hoàn.</x:v>
      </x:c>
      <x:c r="D114" s="11" t="str">
        <x:v>Không mặc nhiên đồng nhất lớp này với thuần Việt. Tên gọi và lịch sử của lớp thường gọi Hán Việt Việt hóa vẫn có thảo luận học thuật.</x:v>
      </x:c>
    </x:row>
    <x:row r="115" ht="82.5" customHeight="1">
      <x:c r="A115" s="11" t="str">
        <x:v>Tên riêng</x:v>
      </x:c>
      <x:c r="B115" s="11" t="str">
        <x:v>TN5</x:v>
      </x:c>
      <x:c r="C115" s="11" t="str">
        <x:v>Ghi tên riêng riêng với nguồn gốc. Việt Nam là dạng Hán Việt; 베트남 là dạng phiên âm. 상하이, 교토 không được tự đổi thành âm Hán Hàn 상해, 경도.</x:v>
      </x:c>
      <x:c r="D115" s="11" t="str">
        <x:v>Tên riêng có thể mang nguồn gốc Hán hoặc ngoại lai khác. Tư cách tên riêng không thay nhãn nguồn gốc.</x:v>
      </x:c>
    </x:row>
    <x:row r="116" ht="82.5" customHeight="1">
      <x:c r="A116" s="11" t="str">
        <x:v>Ngoặc và chữ viết tắt</x:v>
      </x:c>
      <x:c r="B116" s="11" t="str">
        <x:v>TN6</x:v>
      </x:c>
      <x:c r="C116" s="11" t="str">
        <x:v>Tách chữ viết tắt chú thích trong ngoặc khỏi thành tố của tên đầy đủ. Chữ viết tắt đang là thành phần của tên, như ASEAN trong Cộng đồng ASEAN, vẫn được phân tích.</x:v>
      </x:c>
      <x:c r="D116" s="11" t="str">
        <x:v>도이머이(혁신) được ghi là tên vay mượn kèm từ giải nghĩa Hán Hàn, không xem hai tên song song là một từ ghép hỗn hợp.</x:v>
      </x:c>
    </x:row>
    <x:row r="117" ht="82.5" customHeight="1">
      <x:c r="A117" s="11" t="str">
        <x:v>Ngữ pháp Hàn</x:v>
      </x:c>
      <x:c r="B117" s="11" t="str">
        <x:v>TN7</x:v>
      </x:c>
      <x:c r="C117" s="11" t="str">
        <x:v>Ghi rõ 의, 가, 로, 에, 하-/되- và đuôi biến đổi khi có. Cột loại Hàn tính dạng đang có; cột lõi Hàn cho phép xem thành tố từ vựng khi bỏ phần ngữ pháp.</x:v>
      </x:c>
      <x:c r="D117" s="11" t="str">
        <x:v>항행의 자유 có lõi Hán Hàn nhưng có 의. 및 là thành tố thuần Hàn, không phải chữ Hán chỉ vì nằm giữa những từ Hán Hàn.</x:v>
      </x:c>
    </x:row>
    <x:row r="118" ht="82.5" customHeight="1">
      <x:c r="A118" s="11" t="str">
        <x:v>Nghĩa và dữ liệu gốc</x:v>
      </x:c>
      <x:c r="B118" s="11" t="str">
        <x:v>TN8</x:v>
      </x:c>
      <x:c r="C118" s="11" t="str">
        <x:v>Giữ nguyên thuật ngữ đầu vào. Dạng sửa lỗi hoặc dạng phục nguyên để phân tích được nêu riêng.</x:v>
      </x:c>
      <x:c r="D118" s="11" t="str">
        <x:v>Chạy đua vũ ttrang được phân tích theo vũ trang; lỗi gốc vẫn còn trong cột thuật ngữ. Không thay cặp tương ứng hoặc nhóm nội dung từ kết quả từ nguyên.</x:v>
      </x:c>
    </x:row>
    <x:row r="119" ht="82.5" customHeight="1">
      <x:c r="A119" s="11" t="str">
        <x:v>Giới hạn của bằng chứng</x:v>
      </x:c>
      <x:c r="B119" s="11" t="str">
        <x:v>TN9</x:v>
      </x:c>
      <x:c r="C119" s="11" t="str">
        <x:v>Phân biệt nguồn âm/chữ, nghiên cứu từ nguyên, bằng chứng dùng tên và suy luận phân tích. Nguồn nêu probably/perhaps không được nâng thành chắc chắn.</x:v>
      </x:c>
      <x:c r="D119" s="11" t="str">
        <x:v>Mã A/B/C chỉ mức chứng cứ của lượt kiểm tra này, không phải xác suất hoặc sự đồng thuận tuyệt đối của giới nghiên cứu.</x:v>
      </x:c>
    </x:row>
    <x:row r="120" ht="82.5" customHeight="1">
      <x:c r="A120" s="11" t="str">
        <x:v>Cách dùng danh sách</x:v>
      </x:c>
      <x:c r="B120" s="11" t="str">
        <x:v>TN10</x:v>
      </x:c>
      <x:c r="C120" s="11" t="str">
        <x:v>Lọc mức A ở từng ngôn ngữ để lấy phần có chứng cứ. Muốn tập Việt–Hàn đều có chứng cứ, lọc A ở cả hai phía; xem thêm kết quả đối chiếu Anh.</x:v>
      </x:c>
      <x:c r="D120" s="11" t="str">
        <x:v>Cấu tạo Hán Việt/Hán Hàn, tương ứng nghĩa, tư cách thuật ngữ và năm nhóm nội dung là các biến nghiên cứu độc lập.</x:v>
      </x:c>
    </x:row>
    <x:row r="121" ht="82.5" customHeight="1">
      <x:c r="A121" s="11" t="str">
        <x:v>Tra từ điển Hán Nôm</x:v>
      </x:c>
      <x:c r="B121" s="11" t="str">
        <x:v>TN11</x:v>
      </x:c>
      <x:c r="C121" s="11" t="str">
        <x:v>HVDic/Thi Viện là nguồn ưu tiên cho âm, chữ và thành tố Hán Việt. Ghi người biên soạn khi trang mục từ nêu rõ. Tách chứng cứ cả dạng biểu thức với chứng cứ thành tố.</x:v>
      </x:c>
      <x:c r="D121" s="11" t="str">
        <x:v>Chưa có chứng cứ HVDic trong lượt này không có nghĩa từ điển không có mục từ. Có mục từ cùng dạng không tự xác nhận nghĩa chính trị–ngoại giao; chữ Nôm không tự chứng minh gốc Hán.</x:v>
      </x:c>
    </x:row>
    <x:row r="123" ht="27" customHeight="1">
      <x:c r="A123" s="62" t="str">
        <x:v>Ký hiệu trong cột tách thành tố</x:v>
      </x:c>
    </x:row>
    <x:row r="125" ht="36.75" customHeight="1">
      <x:c r="A125" s="60" t="str">
        <x:v>Ký hiệu</x:v>
      </x:c>
      <x:c r="B125" s="60" t="str">
        <x:v>Phạm vi</x:v>
      </x:c>
      <x:c r="C125" s="60" t="str">
        <x:v>Ý nghĩa</x:v>
      </x:c>
      <x:c r="D125" s="60" t="str">
        <x:v>Cách tra nguồn</x:v>
      </x:c>
    </x:row>
    <x:row r="126" ht="78.75" customHeight="1">
      <x:c r="A126" s="11" t="str">
        <x:v>HV, TV, GH</x:v>
      </x:c>
      <x:c r="B126" s="11" t="str">
        <x:v>Việt</x:v>
      </x:c>
      <x:c r="C126" s="11" t="str">
        <x:v>HV: Hán Việt; TV: thuần Việt; GH: gốc Hán khác ngoài lớp Hán Việt chuẩn.</x:v>
      </x:c>
      <x:c r="D126" s="11" t="str">
        <x:v>Tra mã ET ở cột Q của Nguồn gốc từ.</x:v>
      </x:c>
    </x:row>
    <x:row r="127" ht="78.75" customHeight="1">
      <x:c r="A127" s="11" t="str">
        <x:v>HH, TH, NP</x:v>
      </x:c>
      <x:c r="B127" s="11" t="str">
        <x:v>Hàn</x:v>
      </x:c>
      <x:c r="C127" s="11" t="str">
        <x:v>HH: Hán Hàn; TH: thuần Hàn; NP: ngữ pháp thuần Hàn.</x:v>
      </x:c>
      <x:c r="D127" s="11" t="str">
        <x:v>Tra mã ET ở cột R. Cột O cho biết loại của lõi từ vựng Hàn.</x:v>
      </x:c>
    </x:row>
    <x:row r="128" ht="78.75" customHeight="1">
      <x:c r="A128" s="11" t="str">
        <x:v>NL, VT, SỐ</x:v>
      </x:c>
      <x:c r="B128" s="11" t="str">
        <x:v>Cả hai</x:v>
      </x:c>
      <x:c r="C128" s="11" t="str">
        <x:v>NL: ngoại lai khác; VT: viết tắt; SỐ: chữ số. Chú thích trong ngoặc được ghi riêng.</x:v>
      </x:c>
      <x:c r="D128" s="11" t="str">
        <x:v>Tên riêng được phân tích theo dạng thực tế, không theo việc có hay không có chữ Hán ở ngôn ngữ gốc.</x:v>
      </x:c>
    </x:row>
    <x:row r="129" ht="78.75" customHeight="1">
      <x:c r="A129" s="11" t="str">
        <x:v>?, *</x:v>
      </x:c>
      <x:c r="B129" s="11" t="str">
        <x:v>Chưa chốt</x:v>
      </x:c>
      <x:c r="C129" s="11" t="str">
        <x:v>?: thành tố chưa xác định loại. *: chữ Hán/Hanja được đề xuất, chưa xác minh đủ trong lượt tra.</x:v>
      </x:c>
      <x:c r="D129" s="11" t="str">
        <x:v>Mức A/B/C là mức chứng cứ của lượt kiểm tra, không phải xác suất thống kê.</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 hidden="0" customWidth="1"/>
    <x:col min="2" max="2" width="18" hidden="0" customWidth="1"/>
    <x:col min="3" max="3" width="40" hidden="0" customWidth="1"/>
    <x:col min="4" max="4" width="34" hidden="0" customWidth="1"/>
    <x:col min="5" max="5" width="40" hidden="0" customWidth="1"/>
    <x:col min="6" max="6" width="20" hidden="0" customWidth="1"/>
    <x:col min="7" max="7" width="16" hidden="0" customWidth="1"/>
    <x:col min="8" max="8" width="62" hidden="0" customWidth="1"/>
    <x:col min="9" max="9" width="90" hidden="0" customWidth="1"/>
    <x:col min="10" max="10" width="90" hidden="0" customWidth="1"/>
    <x:col min="11" max="11" width="18" hidden="0" customWidth="1"/>
  </x:cols>
  <x:sheetData>
    <x:row r="1">
      <x:c r="A1" s="2"/>
      <x:c r="B1" s="2"/>
      <x:c r="C1" s="2"/>
      <x:c r="D1" s="2"/>
      <x:c r="E1" s="2"/>
      <x:c r="F1" s="2"/>
      <x:c r="G1" s="2"/>
      <x:c r="H1" s="2"/>
      <x:c r="I1" s="2"/>
      <x:c r="J1" s="2"/>
      <x:c r="K1" s="2"/>
    </x:row>
    <x:row r="2" ht="27.75" customHeight="1">
      <x:c r="A2" s="12" t="str">
        <x:v>Nguồn định nghĩa và bằng chứng đối chiếu</x:v>
      </x:c>
      <x:c r="B2" s="2"/>
      <x:c r="C2" s="2"/>
      <x:c r="D2" s="2"/>
      <x:c r="E2" s="2"/>
      <x:c r="F2" s="2"/>
      <x:c r="G2" s="2"/>
      <x:c r="H2" s="2"/>
      <x:c r="I2" s="2"/>
      <x:c r="J2" s="2"/>
      <x:c r="K2" s="2"/>
    </x:row>
    <x:row r="3" ht="18.75" customHeight="1">
      <x:c r="A3" s="13" t="str">
        <x:v>870 dòng bằng chứng trước và 315 nguồn từ nguyên (ETxxx) được quy về URL riêng. Ngày rà soát không thay ngày công bố.</x:v>
      </x:c>
      <x:c r="B3" s="2"/>
      <x:c r="C3" s="2"/>
      <x:c r="D3" s="2"/>
      <x:c r="E3" s="2"/>
      <x:c r="F3" s="2"/>
      <x:c r="G3" s="2"/>
      <x:c r="H3" s="2"/>
      <x:c r="I3" s="2"/>
      <x:c r="J3" s="2"/>
      <x:c r="K3" s="2"/>
    </x:row>
    <x:row r="4" ht="18.75" customHeight="1">
      <x:c r="A4" s="13" t="str">
        <x:v>EBxxx: đối chiếu qua Anh. ETxxx: nguồn gốc thành tố; cùng nguồn có thể dùng cho nhiều mã. Đọc ghi chú và người biên soạn ở cột J.</x:v>
      </x:c>
      <x:c r="B4" s="2"/>
      <x:c r="C4" s="2"/>
      <x:c r="D4" s="2"/>
      <x:c r="E4" s="2"/>
      <x:c r="F4" s="2"/>
      <x:c r="G4" s="2"/>
      <x:c r="H4" s="2"/>
      <x:c r="I4" s="2"/>
      <x:c r="J4" s="2"/>
      <x:c r="K4" s="2"/>
    </x:row>
    <x:row r="5" ht="36" customHeight="1">
      <x:c r="A5" s="8" t="str">
        <x:v>Mã thuật ngữ</x:v>
      </x:c>
      <x:c r="B5" s="9" t="str">
        <x:v>Vế đối chiếu</x:v>
      </x:c>
      <x:c r="C5" s="9" t="str">
        <x:v>Biểu thức kiểm tra</x:v>
      </x:c>
      <x:c r="D5" s="9" t="str">
        <x:v>Kết quả tra từ điển</x:v>
      </x:c>
      <x:c r="E5" s="9" t="str">
        <x:v>Loại căn cứ / giới hạn</x:v>
      </x:c>
      <x:c r="F5" s="9" t="str">
        <x:v>Ngôn ngữ nguồn</x:v>
      </x:c>
      <x:c r="G5" s="9" t="str">
        <x:v>Mã tài liệu</x:v>
      </x:c>
      <x:c r="H5" s="9" t="str">
        <x:v>Tên tài liệu / đơn vị</x:v>
      </x:c>
      <x:c r="I5" s="9" t="str">
        <x:v>URL nguồn</x:v>
      </x:c>
      <x:c r="J5" s="9" t="str">
        <x:v>Nội dung dùng để kiểm tra</x:v>
      </x:c>
      <x:c r="K5" s="10" t="str">
        <x:v>Ngày rà soát</x:v>
      </x:c>
    </x:row>
    <x:row r="6" ht="57" customHeight="1">
      <x:c r="A6" s="11" t="str">
        <x:v>T085</x:v>
      </x:c>
      <x:c r="B6" s="11" t="str">
        <x:v>VI</x:v>
      </x:c>
      <x:c r="C6" s="11" t="str">
        <x:v>Bí thư Trung ương Đảng</x:v>
      </x:c>
      <x:c r="D6" s="11" t="str">
        <x:v>CẦN TRA — chưa xác minh mục từ</x:v>
      </x:c>
      <x:c r="E6" s="11" t="str">
        <x:v>* Nghĩa làm việc; cần nguồn định nghĩa</x:v>
      </x:c>
      <x:c r="F6" s="11" t="str">
        <x:v>VI</x:v>
      </x:c>
      <x:c r="G6" s="11" t="str">
        <x:v>S001</x:v>
      </x:c>
      <x:c r="H6" s="11" t="str">
        <x:v>Danh sách Ban Bí thư Trung ương Đảng Cộng sản Việt Nam khóa XIV</x:v>
      </x:c>
      <x:c r="I6" s="30" t="str">
        <x:v>https://xaydungchinhsach.chinhphu.vn/danh-sach-ban-bi-thu-trung-uong-dang-cong-san-viet-nam-khoa-xiv-119260130145320517.htm</x:v>
      </x:c>
      <x:c r="J6"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6" s="11" t="str">
        <x:v>2026-10-28</x:v>
      </x:c>
    </x:row>
    <x:row r="7" ht="57" customHeight="1">
      <x:c r="A7" s="11" t="str">
        <x:v>T085</x:v>
      </x:c>
      <x:c r="B7" s="11" t="str">
        <x:v>KO</x:v>
      </x:c>
      <x:c r="C7" s="11" t="str">
        <x:v>당 중앙위원회 서기</x:v>
      </x:c>
      <x:c r="D7" s="11" t="str">
        <x:v>CẦN TRA — chưa xác minh mục từ</x:v>
      </x:c>
      <x:c r="E7" s="11" t="str">
        <x:v>* Nghĩa làm việc; cần nguồn định nghĩa</x:v>
      </x:c>
      <x:c r="F7" s="11" t="str">
        <x:v>VI</x:v>
      </x:c>
      <x:c r="G7" s="11" t="str">
        <x:v>S001</x:v>
      </x:c>
      <x:c r="H7" s="11" t="str">
        <x:v>Danh sách Ban Bí thư Trung ương Đảng Cộng sản Việt Nam khóa XIV</x:v>
      </x:c>
      <x:c r="I7" s="30" t="str">
        <x:v>https://xaydungchinhsach.chinhphu.vn/danh-sach-ban-bi-thu-trung-uong-dang-cong-san-viet-nam-khoa-xiv-119260130145320517.htm</x:v>
      </x:c>
      <x:c r="J7"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7" s="11" t="str">
        <x:v>2026-10-28</x:v>
      </x:c>
    </x:row>
    <x:row r="8" ht="57" customHeight="1">
      <x:c r="A8" s="11" t="str">
        <x:v>T085</x:v>
      </x:c>
      <x:c r="B8" s="11" t="str">
        <x:v>Bổ sung</x:v>
      </x:c>
      <x:c r="C8" s="11" t="str">
        <x:v>Bí thư Trung ương Đảng / 당 중앙위원회 서기</x:v>
      </x:c>
      <x:c r="D8" s="11" t="str">
        <x:v>Xem dòng VI/KO</x:v>
      </x:c>
      <x:c r="E8" s="11" t="str">
        <x:v>Chứng cứ cách dùng trong ngữ liệu</x:v>
      </x:c>
      <x:c r="F8" s="11" t="str">
        <x:v>KO</x:v>
      </x:c>
      <x:c r="G8" s="11" t="str">
        <x:v>S002</x:v>
      </x:c>
      <x:c r="H8" s="11" t="str">
        <x:v>Nhân Dân tiếng Hàn – dẫn chứng trong hồ sơ gốc</x:v>
      </x:c>
      <x:c r="I8" s="30" t="str">
        <x:v>https://kr.nhandan.vn/article-post3431.html</x:v>
      </x:c>
      <x:c r="J8" s="11" t="str">
        <x:v>Chứng cứ biểu thức trong corpus; không tự là định nghĩa từ điển hoặc xác nhận mọi nét nghĩa.</x:v>
      </x:c>
      <x:c r="K8" s="11" t="str">
        <x:v>2026-10-28</x:v>
      </x:c>
    </x:row>
    <x:row r="9" ht="57" customHeight="1">
      <x:c r="A9" s="11" t="str">
        <x:v>T078</x:v>
      </x:c>
      <x:c r="B9" s="11" t="str">
        <x:v>VI</x:v>
      </x:c>
      <x:c r="C9" s="11" t="str">
        <x:v>Bộ trưởng</x:v>
      </x:c>
      <x:c r="D9" s="11" t="str">
        <x:v>CẦN TRA — chưa xác minh mục từ</x:v>
      </x:c>
      <x:c r="E9" s="11" t="str">
        <x:v>Định nghĩa chuyên ngành [VI]</x:v>
      </x:c>
      <x:c r="F9" s="11" t="str">
        <x:v>VI</x:v>
      </x:c>
      <x:c r="G9" s="11" t="str">
        <x:v>S003</x:v>
      </x:c>
      <x:c r="H9" s="11" t="str">
        <x:v>Hiến pháp năm 2013 – Chương VII: Chính phủ</x:v>
      </x:c>
      <x:c r="I9" s="30" t="str">
        <x:v>https://chinhphu.vn/hien-phap-nam-2013/chuong-vii-chinh-phu-10052988</x:v>
      </x:c>
      <x:c r="J9" s="11" t="str">
        <x:v>Đã đọc nguồn giải nghĩa bằng ngôn ngữ này; vẫn đối chiếu nghĩa chọn và ghi chú.</x:v>
      </x:c>
      <x:c r="K9" s="11" t="str">
        <x:v>2026-10-28</x:v>
      </x:c>
    </x:row>
    <x:row r="10" ht="57" customHeight="1">
      <x:c r="A10" s="11" t="str">
        <x:v>T078</x:v>
      </x:c>
      <x:c r="B10" s="11" t="str">
        <x:v>KO</x:v>
      </x:c>
      <x:c r="C10" s="11" t="str">
        <x:v>장관</x:v>
      </x:c>
      <x:c r="D10" s="11" t="str">
        <x:v>CẦN TRA — chưa xác minh mục từ</x:v>
      </x:c>
      <x:c r="E10" s="11" t="str">
        <x:v>* Diễn giải mô tả VI</x:v>
      </x:c>
      <x:c r="F10" s="11" t="str">
        <x:v>VI</x:v>
      </x:c>
      <x:c r="G10" s="11" t="str">
        <x:v>S003</x:v>
      </x:c>
      <x:c r="H10" s="11" t="str">
        <x:v>Hiến pháp năm 2013 – Chương VII: Chính phủ</x:v>
      </x:c>
      <x:c r="I10" s="30" t="str">
        <x:v>https://chinhphu.vn/hien-phap-nam-2013/chuong-vii-chinh-phu-10052988</x:v>
      </x:c>
      <x:c r="J10"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10" s="11" t="str">
        <x:v>2026-10-28</x:v>
      </x:c>
    </x:row>
    <x:row r="11" ht="57" customHeight="1">
      <x:c r="A11" s="11" t="str">
        <x:v>T078</x:v>
      </x:c>
      <x:c r="B11" s="11" t="str">
        <x:v>Bổ sung</x:v>
      </x:c>
      <x:c r="C11" s="11" t="str">
        <x:v>Bộ trưởng / 장관</x:v>
      </x:c>
      <x:c r="D11" s="11" t="str">
        <x:v>Xem dòng VI/KO</x:v>
      </x:c>
      <x:c r="E11" s="11" t="str">
        <x:v>Chứng cứ cách dùng trong ngữ liệu</x:v>
      </x:c>
      <x:c r="F11" s="11" t="str">
        <x:v>KO</x:v>
      </x:c>
      <x:c r="G11" s="11" t="str">
        <x:v>S004</x:v>
      </x:c>
      <x:c r="H11" s="11" t="str">
        <x:v>Nhân Dân tiếng Hàn – dẫn chứng trong hồ sơ gốc</x:v>
      </x:c>
      <x:c r="I11" s="30" t="str">
        <x:v>https://kr.nhandan.vn/article-post3269.html</x:v>
      </x:c>
      <x:c r="J11" s="11" t="str">
        <x:v>Chứng cứ biểu thức trong corpus; không tự là định nghĩa từ điển hoặc xác nhận mọi nét nghĩa.</x:v>
      </x:c>
      <x:c r="K11" s="11" t="str">
        <x:v>2026-10-28</x:v>
      </x:c>
    </x:row>
    <x:row r="12" ht="57" customHeight="1">
      <x:c r="A12" s="11" t="str">
        <x:v>T103</x:v>
      </x:c>
      <x:c r="B12" s="11" t="str">
        <x:v>VI</x:v>
      </x:c>
      <x:c r="C12" s="11" t="str">
        <x:v>Bộ trưởng Bộ Công an</x:v>
      </x:c>
      <x:c r="D12" s="11" t="str">
        <x:v>CẦN TRA — chưa xác minh mục từ</x:v>
      </x:c>
      <x:c r="E12" s="11" t="str">
        <x:v>* Mô tả chính thức</x:v>
      </x:c>
      <x:c r="F12" s="11" t="str">
        <x:v>VI</x:v>
      </x:c>
      <x:c r="G12" s="11" t="str">
        <x:v>S005</x:v>
      </x:c>
      <x:c r="H12" s="11" t="str">
        <x:v>Quốc hội phê chuẩn bổ nhiệm 6 Phó Thủ tướng, Bộ trưởng và các thành viên Chính phủ</x:v>
      </x:c>
      <x:c r="I12" s="30" t="str">
        <x:v>https://baochinhphu.vn/quoc-hoi-phe-chuan-bo-nhiem-6-pho-thu-tuong-cac-bo-truong-va-thanh-vien-chinh-phu-102260408130112084.htm</x:v>
      </x:c>
      <x:c r="J12" s="11" t="str">
        <x:v>Chưa xác minh định nghĩa độc lập của nguyên biểu thức/nghĩa chọn trong ngôn ngữ này. Đối chiếu trong hồ sơ cũ;</x:v>
      </x:c>
      <x:c r="K12" s="11" t="str">
        <x:v>2026-10-28</x:v>
      </x:c>
    </x:row>
    <x:row r="13" ht="57" customHeight="1">
      <x:c r="A13" s="11" t="str">
        <x:v>T103</x:v>
      </x:c>
      <x:c r="B13" s="11" t="str">
        <x:v>KO</x:v>
      </x:c>
      <x:c r="C13" s="11" t="str">
        <x:v>공안부 장관</x:v>
      </x:c>
      <x:c r="D13" s="11" t="str">
        <x:v>CẦN TRA — chưa xác minh mục từ</x:v>
      </x:c>
      <x:c r="E13" s="11" t="str">
        <x:v>* Diễn giải mô tả VI</x:v>
      </x:c>
      <x:c r="F13" s="11" t="str">
        <x:v>VI</x:v>
      </x:c>
      <x:c r="G13" s="11" t="str">
        <x:v>S005</x:v>
      </x:c>
      <x:c r="H13" s="11" t="str">
        <x:v>Quốc hội phê chuẩn bổ nhiệm 6 Phó Thủ tướng, Bộ trưởng và các thành viên Chính phủ</x:v>
      </x:c>
      <x:c r="I13" s="30" t="str">
        <x:v>https://baochinhphu.vn/quoc-hoi-phe-chuan-bo-nhiem-6-pho-thu-tuong-cac-bo-truong-va-thanh-vien-chinh-phu-102260408130112084.htm</x:v>
      </x:c>
      <x:c r="J13" s="11" t="str">
        <x:v>Chưa xác minh định nghĩa độc lập của nguyên biểu thức/nghĩa chọn trong ngôn ngữ này. Đối chiếu trong hồ sơ cũ;</x:v>
      </x:c>
      <x:c r="K13" s="11" t="str">
        <x:v>2026-10-28</x:v>
      </x:c>
    </x:row>
    <x:row r="14" ht="57" customHeight="1">
      <x:c r="A14" s="11" t="str">
        <x:v>T103</x:v>
      </x:c>
      <x:c r="B14" s="11" t="str">
        <x:v>Bổ sung</x:v>
      </x:c>
      <x:c r="C14" s="11" t="str">
        <x:v>Bộ trưởng Bộ Công an / 공안부 장관</x:v>
      </x:c>
      <x:c r="D14" s="11" t="str">
        <x:v>Xem dòng VI/KO</x:v>
      </x:c>
      <x:c r="E14" s="11" t="str">
        <x:v>Chứng cứ cách dùng trong ngữ liệu</x:v>
      </x:c>
      <x:c r="F14" s="11" t="str">
        <x:v>KO</x:v>
      </x:c>
      <x:c r="G14" s="11" t="str">
        <x:v>S006</x:v>
      </x:c>
      <x:c r="H14" s="11" t="str">
        <x:v>Nhân Dân tiếng Hàn – dẫn chứng trong hồ sơ gốc</x:v>
      </x:c>
      <x:c r="I14" s="30" t="str">
        <x:v>https://kr.nhandan.vn/article-post4069.html</x:v>
      </x:c>
      <x:c r="J14" s="11" t="str">
        <x:v>Chứng cứ biểu thức trong corpus; không tự là định nghĩa từ điển hoặc xác nhận mọi nét nghĩa.</x:v>
      </x:c>
      <x:c r="K14" s="11" t="str">
        <x:v>2026-10-28</x:v>
      </x:c>
    </x:row>
    <x:row r="15" ht="57" customHeight="1">
      <x:c r="A15" s="11" t="str">
        <x:v>T100</x:v>
      </x:c>
      <x:c r="B15" s="11" t="str">
        <x:v>VI</x:v>
      </x:c>
      <x:c r="C15" s="11" t="str">
        <x:v>Bộ trưởng Bộ Ngoại giao</x:v>
      </x:c>
      <x:c r="D15" s="11" t="str">
        <x:v>CẦN TRA — chưa xác minh mục từ</x:v>
      </x:c>
      <x:c r="E15" s="11" t="str">
        <x:v>* Mô tả chính thức</x:v>
      </x:c>
      <x:c r="F15" s="11" t="str">
        <x:v>VI</x:v>
      </x:c>
      <x:c r="G15" s="11" t="str">
        <x:v>S005</x:v>
      </x:c>
      <x:c r="H15" s="11" t="str">
        <x:v>Quốc hội phê chuẩn bổ nhiệm 6 Phó Thủ tướng, Bộ trưởng và các thành viên Chính phủ</x:v>
      </x:c>
      <x:c r="I15" s="30" t="str">
        <x:v>https://baochinhphu.vn/quoc-hoi-phe-chuan-bo-nhiem-6-pho-thu-tuong-cac-bo-truong-va-thanh-vien-chinh-phu-102260408130112084.htm</x:v>
      </x:c>
      <x:c r="J15" s="11" t="str">
        <x:v>Chưa xác minh định nghĩa độc lập của nguyên biểu thức/nghĩa chọn trong ngôn ngữ này. Đối chiếu trong hồ sơ cũ;</x:v>
      </x:c>
      <x:c r="K15" s="11" t="str">
        <x:v>2026-10-28</x:v>
      </x:c>
    </x:row>
    <x:row r="16" ht="57" customHeight="1">
      <x:c r="A16" s="11" t="str">
        <x:v>T100</x:v>
      </x:c>
      <x:c r="B16" s="11" t="str">
        <x:v>KO</x:v>
      </x:c>
      <x:c r="C16" s="11" t="str">
        <x:v>외교부 장관</x:v>
      </x:c>
      <x:c r="D16" s="11" t="str">
        <x:v>CẦN TRA — chưa xác minh mục từ</x:v>
      </x:c>
      <x:c r="E16" s="11" t="str">
        <x:v>* Diễn giải mô tả VI</x:v>
      </x:c>
      <x:c r="F16" s="11" t="str">
        <x:v>VI</x:v>
      </x:c>
      <x:c r="G16" s="11" t="str">
        <x:v>S005</x:v>
      </x:c>
      <x:c r="H16" s="11" t="str">
        <x:v>Quốc hội phê chuẩn bổ nhiệm 6 Phó Thủ tướng, Bộ trưởng và các thành viên Chính phủ</x:v>
      </x:c>
      <x:c r="I16" s="30" t="str">
        <x:v>https://baochinhphu.vn/quoc-hoi-phe-chuan-bo-nhiem-6-pho-thu-tuong-cac-bo-truong-va-thanh-vien-chinh-phu-102260408130112084.htm</x:v>
      </x:c>
      <x:c r="J16" s="11" t="str">
        <x:v>Chưa xác minh định nghĩa độc lập của nguyên biểu thức/nghĩa chọn trong ngôn ngữ này. Đối chiếu trong hồ sơ cũ;</x:v>
      </x:c>
      <x:c r="K16" s="11" t="str">
        <x:v>2026-10-28</x:v>
      </x:c>
    </x:row>
    <x:row r="17" ht="57" customHeight="1">
      <x:c r="A17" s="11" t="str">
        <x:v>T100</x:v>
      </x:c>
      <x:c r="B17" s="11" t="str">
        <x:v>Bổ sung</x:v>
      </x:c>
      <x:c r="C17" s="11" t="str">
        <x:v>Bộ trưởng Bộ Ngoại giao / 외교부 장관</x:v>
      </x:c>
      <x:c r="D17" s="11" t="str">
        <x:v>Xem dòng VI/KO</x:v>
      </x:c>
      <x:c r="E17" s="11" t="str">
        <x:v>Chứng cứ cách dùng trong ngữ liệu</x:v>
      </x:c>
      <x:c r="F17" s="11" t="str">
        <x:v>KO</x:v>
      </x:c>
      <x:c r="G17" s="11" t="str">
        <x:v>S007</x:v>
      </x:c>
      <x:c r="H17" s="11" t="str">
        <x:v>Nhân Dân tiếng Hàn – dẫn chứng trong hồ sơ gốc</x:v>
      </x:c>
      <x:c r="I17" s="30" t="str">
        <x:v>https://kr.nhandan.vn/article-post4752.html</x:v>
      </x:c>
      <x:c r="J17" s="11" t="str">
        <x:v>Chứng cứ biểu thức trong corpus; không tự là định nghĩa từ điển hoặc xác nhận mọi nét nghĩa.</x:v>
      </x:c>
      <x:c r="K17" s="11" t="str">
        <x:v>2026-10-28</x:v>
      </x:c>
    </x:row>
    <x:row r="18" ht="57" customHeight="1">
      <x:c r="A18" s="11" t="str">
        <x:v>T101</x:v>
      </x:c>
      <x:c r="B18" s="11" t="str">
        <x:v>VI</x:v>
      </x:c>
      <x:c r="C18" s="11" t="str">
        <x:v>Bộ trưởng Bộ Quốc phòng</x:v>
      </x:c>
      <x:c r="D18" s="11" t="str">
        <x:v>CẦN TRA — chưa xác minh mục từ</x:v>
      </x:c>
      <x:c r="E18" s="11" t="str">
        <x:v>* Mô tả chính thức</x:v>
      </x:c>
      <x:c r="F18" s="11" t="str">
        <x:v>VI</x:v>
      </x:c>
      <x:c r="G18" s="11" t="str">
        <x:v>S008</x:v>
      </x:c>
      <x:c r="H18" s="11" t="str">
        <x:v>Bộ Quốc phòng nước CHXHCN Việt Nam – cổng Bộ Quốc phòng</x:v>
      </x:c>
      <x:c r="I18" s="30" t="str">
        <x:v>https://mod.gov.vn/home/intro/detail?1dmy=&amp;current=true&amp;urile=wcm%3Apath%3A%2Fmod%2Fsa-mod-site%2Fsa-qpvn%2Fsa-qpvn-bqp-root%2Fsa-qpvn-gt%2Fbo-quoc-phong-nuoc-cong-hoa-xa-hoi-chu-nghia-viet-nam</x:v>
      </x:c>
      <x:c r="J18" s="11" t="str">
        <x:v>Chưa xác minh định nghĩa độc lập của nguyên biểu thức/nghĩa chọn trong ngôn ngữ này. Cơ quan tự giới thiệu chức năng quốc phòng và vị trí Bộ trưởng đứng đầu.</x:v>
      </x:c>
      <x:c r="K18" s="11" t="str">
        <x:v>2026-10-28</x:v>
      </x:c>
    </x:row>
    <x:row r="19" ht="57" customHeight="1">
      <x:c r="A19" s="11" t="str">
        <x:v>T101</x:v>
      </x:c>
      <x:c r="B19" s="11" t="str">
        <x:v>KO</x:v>
      </x:c>
      <x:c r="C19" s="11" t="str">
        <x:v>국방부 장관</x:v>
      </x:c>
      <x:c r="D19" s="11" t="str">
        <x:v>CẦN TRA — chưa xác minh mục từ</x:v>
      </x:c>
      <x:c r="E19" s="11" t="str">
        <x:v>* Diễn giải mô tả VI</x:v>
      </x:c>
      <x:c r="F19" s="11" t="str">
        <x:v>VI</x:v>
      </x:c>
      <x:c r="G19" s="11" t="str">
        <x:v>S008</x:v>
      </x:c>
      <x:c r="H19" s="11" t="str">
        <x:v>Bộ Quốc phòng nước CHXHCN Việt Nam – cổng Bộ Quốc phòng</x:v>
      </x:c>
      <x:c r="I19" s="30" t="str">
        <x:v>https://mod.gov.vn/home/intro/detail?1dmy=&amp;current=true&amp;urile=wcm%3Apath%3A%2Fmod%2Fsa-mod-site%2Fsa-qpvn%2Fsa-qpvn-bqp-root%2Fsa-qpvn-gt%2Fbo-quoc-phong-nuoc-cong-hoa-xa-hoi-chu-nghia-viet-nam</x:v>
      </x:c>
      <x:c r="J19" s="11" t="str">
        <x:v>Chưa xác minh định nghĩa độc lập của nguyên biểu thức/nghĩa chọn trong ngôn ngữ này. Cơ quan tự giới thiệu chức năng quốc phòng và vị trí Bộ trưởng đứng đầu.</x:v>
      </x:c>
      <x:c r="K19" s="11" t="str">
        <x:v>2026-10-28</x:v>
      </x:c>
    </x:row>
    <x:row r="20" ht="57" customHeight="1">
      <x:c r="A20" s="11" t="str">
        <x:v>T101</x:v>
      </x:c>
      <x:c r="B20" s="11" t="str">
        <x:v>Bổ sung</x:v>
      </x:c>
      <x:c r="C20" s="11" t="str">
        <x:v>Bộ trưởng Bộ Quốc phòng / 국방부 장관</x:v>
      </x:c>
      <x:c r="D20" s="11" t="str">
        <x:v>Xem dòng VI/KO</x:v>
      </x:c>
      <x:c r="E20" s="11" t="str">
        <x:v>Chứng cứ cách dùng trong ngữ liệu</x:v>
      </x:c>
      <x:c r="F20" s="11" t="str">
        <x:v>KO</x:v>
      </x:c>
      <x:c r="G20" s="11" t="str">
        <x:v>S006</x:v>
      </x:c>
      <x:c r="H20" s="11" t="str">
        <x:v>Nhân Dân tiếng Hàn – dẫn chứng trong hồ sơ gốc</x:v>
      </x:c>
      <x:c r="I20" s="30" t="str">
        <x:v>https://kr.nhandan.vn/article-post4069.html</x:v>
      </x:c>
      <x:c r="J20" s="11" t="str">
        <x:v>Chứng cứ biểu thức trong corpus; không tự là định nghĩa từ điển hoặc xác nhận mọi nét nghĩa.</x:v>
      </x:c>
      <x:c r="K20" s="11" t="str">
        <x:v>2026-10-28</x:v>
      </x:c>
    </x:row>
    <x:row r="21" ht="57" customHeight="1">
      <x:c r="A21" s="11" t="str">
        <x:v>T076</x:v>
      </x:c>
      <x:c r="B21" s="11" t="str">
        <x:v>VI</x:v>
      </x:c>
      <x:c r="C21" s="11" t="str">
        <x:v>Chủ tịch nước</x:v>
      </x:c>
      <x:c r="D21" s="11" t="str">
        <x:v>CẦN TRA — chưa xác minh mục từ</x:v>
      </x:c>
      <x:c r="E21" s="11" t="str">
        <x:v>Định nghĩa chuyên ngành [VI]</x:v>
      </x:c>
      <x:c r="F21" s="11" t="str">
        <x:v>VI</x:v>
      </x:c>
      <x:c r="G21" s="11" t="str">
        <x:v>S009</x:v>
      </x:c>
      <x:c r="H21" s="11" t="str">
        <x:v>Hệ thống chính trị</x:v>
      </x:c>
      <x:c r="I21" s="30" t="str">
        <x:v>https://vanban.chinhphu.vn/he-thong-chinh-tri-68381</x:v>
      </x:c>
      <x:c r="J21" s="11" t="str">
        <x:v>Đã đọc nguồn giải nghĩa bằng ngôn ngữ này; vẫn đối chiếu nghĩa chọn và ghi chú.</x:v>
      </x:c>
      <x:c r="K21" s="11" t="str">
        <x:v>2026-10-28</x:v>
      </x:c>
    </x:row>
    <x:row r="22" ht="57" customHeight="1">
      <x:c r="A22" s="11" t="str">
        <x:v>T076</x:v>
      </x:c>
      <x:c r="B22" s="11" t="str">
        <x:v>KO</x:v>
      </x:c>
      <x:c r="C22" s="11" t="str">
        <x:v>국가주석</x:v>
      </x:c>
      <x:c r="D22" s="11" t="str">
        <x:v>CẦN TRA — chưa xác minh mục từ</x:v>
      </x:c>
      <x:c r="E22" s="11" t="str">
        <x:v>* Diễn giải mô tả VI</x:v>
      </x:c>
      <x:c r="F22" s="11" t="str">
        <x:v>VI</x:v>
      </x:c>
      <x:c r="G22" s="11" t="str">
        <x:v>S009</x:v>
      </x:c>
      <x:c r="H22" s="11" t="str">
        <x:v>Hệ thống chính trị</x:v>
      </x:c>
      <x:c r="I22" s="30" t="str">
        <x:v>https://vanban.chinhphu.vn/he-thong-chinh-tri-68381</x:v>
      </x:c>
      <x:c r="J22" s="11" t="str">
        <x:v>Chưa xác minh định nghĩa độc lập của nguyên biểu thức/nghĩa chọn trong ngôn ngữ này. Đối chiếu trong hồ sơ cũ; Trang hệ thống chính trị có cập nhật các sửa đổi Hiến pháp năm 2025.</x:v>
      </x:c>
      <x:c r="K22" s="11" t="str">
        <x:v>2026-10-28</x:v>
      </x:c>
    </x:row>
    <x:row r="23" ht="57" customHeight="1">
      <x:c r="A23" s="11" t="str">
        <x:v>T076</x:v>
      </x:c>
      <x:c r="B23" s="11" t="str">
        <x:v>Bổ sung</x:v>
      </x:c>
      <x:c r="C23" s="11" t="str">
        <x:v>Chủ tịch nước / 국가주석</x:v>
      </x:c>
      <x:c r="D23" s="11" t="str">
        <x:v>Xem dòng VI/KO</x:v>
      </x:c>
      <x:c r="E23" s="11" t="str">
        <x:v>Chứng cứ cách dùng trong ngữ liệu</x:v>
      </x:c>
      <x:c r="F23" s="11" t="str">
        <x:v>KO</x:v>
      </x:c>
      <x:c r="G23" s="11" t="str">
        <x:v>S010</x:v>
      </x:c>
      <x:c r="H23" s="11" t="str">
        <x:v>Nhân Dân tiếng Hàn – dẫn chứng trong hồ sơ gốc</x:v>
      </x:c>
      <x:c r="I23" s="30" t="str">
        <x:v>https://kr.nhandan.vn/article-post5119.html</x:v>
      </x:c>
      <x:c r="J23" s="11" t="str">
        <x:v>Chứng cứ biểu thức trong corpus; không tự là định nghĩa từ điển hoặc xác nhận mọi nét nghĩa.</x:v>
      </x:c>
      <x:c r="K23" s="11" t="str">
        <x:v>2026-10-28</x:v>
      </x:c>
    </x:row>
    <x:row r="24" ht="57" customHeight="1">
      <x:c r="A24" s="11" t="str">
        <x:v>T077</x:v>
      </x:c>
      <x:c r="B24" s="11" t="str">
        <x:v>VI</x:v>
      </x:c>
      <x:c r="C24" s="11" t="str">
        <x:v>Chủ tịch Quốc hội</x:v>
      </x:c>
      <x:c r="D24" s="11" t="str">
        <x:v>CẦN TRA — chưa xác minh mục từ</x:v>
      </x:c>
      <x:c r="E24" s="11" t="str">
        <x:v>Định nghĩa chuyên ngành [VI]</x:v>
      </x:c>
      <x:c r="F24" s="11" t="str">
        <x:v>VI</x:v>
      </x:c>
      <x:c r="G24" s="11" t="str">
        <x:v>S009</x:v>
      </x:c>
      <x:c r="H24" s="11" t="str">
        <x:v>Hệ thống chính trị</x:v>
      </x:c>
      <x:c r="I24" s="30" t="str">
        <x:v>https://vanban.chinhphu.vn/he-thong-chinh-tri-68381</x:v>
      </x:c>
      <x:c r="J24" s="11" t="str">
        <x:v>Đã đọc nguồn giải nghĩa bằng ngôn ngữ này; vẫn đối chiếu nghĩa chọn và ghi chú.</x:v>
      </x:c>
      <x:c r="K24" s="11" t="str">
        <x:v>2026-10-28</x:v>
      </x:c>
    </x:row>
    <x:row r="25" ht="57" customHeight="1">
      <x:c r="A25" s="11" t="str">
        <x:v>T077</x:v>
      </x:c>
      <x:c r="B25" s="11" t="str">
        <x:v>KO</x:v>
      </x:c>
      <x:c r="C25" s="11" t="str">
        <x:v>국회의장</x:v>
      </x:c>
      <x:c r="D25" s="11" t="str">
        <x:v>CẦN TRA — chưa xác minh mục từ</x:v>
      </x:c>
      <x:c r="E25" s="11" t="str">
        <x:v>* Diễn giải mô tả VI</x:v>
      </x:c>
      <x:c r="F25" s="11" t="str">
        <x:v>VI</x:v>
      </x:c>
      <x:c r="G25" s="11" t="str">
        <x:v>S009</x:v>
      </x:c>
      <x:c r="H25" s="11" t="str">
        <x:v>Hệ thống chính trị</x:v>
      </x:c>
      <x:c r="I25" s="30" t="str">
        <x:v>https://vanban.chinhphu.vn/he-thong-chinh-tri-68381</x:v>
      </x:c>
      <x:c r="J25" s="11" t="str">
        <x:v>Chưa xác minh định nghĩa độc lập của nguyên biểu thức/nghĩa chọn trong ngôn ngữ này. Đối chiếu trong hồ sơ cũ; Trang hệ thống chính trị có cập nhật các sửa đổi Hiến pháp năm 2025.</x:v>
      </x:c>
      <x:c r="K25" s="11" t="str">
        <x:v>2026-10-28</x:v>
      </x:c>
    </x:row>
    <x:row r="26" ht="57" customHeight="1">
      <x:c r="A26" s="11" t="str">
        <x:v>T077</x:v>
      </x:c>
      <x:c r="B26" s="11" t="str">
        <x:v>Bổ sung</x:v>
      </x:c>
      <x:c r="C26" s="11" t="str">
        <x:v>Chủ tịch Quốc hội / 국회의장</x:v>
      </x:c>
      <x:c r="D26" s="11" t="str">
        <x:v>Xem dòng VI/KO</x:v>
      </x:c>
      <x:c r="E26" s="11" t="str">
        <x:v>Chứng cứ cách dùng trong ngữ liệu</x:v>
      </x:c>
      <x:c r="F26" s="11" t="str">
        <x:v>KO</x:v>
      </x:c>
      <x:c r="G26" s="11" t="str">
        <x:v>S011</x:v>
      </x:c>
      <x:c r="H26" s="11" t="str">
        <x:v>Nhân Dân tiếng Hàn – dẫn chứng trong hồ sơ gốc</x:v>
      </x:c>
      <x:c r="I26" s="30" t="str">
        <x:v>https://kr.nhandan.vn/article-post5147.html</x:v>
      </x:c>
      <x:c r="J26" s="11" t="str">
        <x:v>Chứng cứ biểu thức trong corpus; không tự là định nghĩa từ điển hoặc xác nhận mọi nét nghĩa.</x:v>
      </x:c>
      <x:c r="K26" s="11" t="str">
        <x:v>2026-10-28</x:v>
      </x:c>
    </x:row>
    <x:row r="27" ht="57" customHeight="1">
      <x:c r="A27" s="11" t="str">
        <x:v>T089</x:v>
      </x:c>
      <x:c r="B27" s="11" t="str">
        <x:v>VI</x:v>
      </x:c>
      <x:c r="C27" s="11" t="str">
        <x:v>Chủ tịch Ủy ban nhân dân</x:v>
      </x:c>
      <x:c r="D27" s="11" t="str">
        <x:v>CẦN TRA — chưa xác minh mục từ</x:v>
      </x:c>
      <x:c r="E27" s="11" t="str">
        <x:v>Định nghĩa chuyên ngành [VI]</x:v>
      </x:c>
      <x:c r="F27" s="11" t="str">
        <x:v>VI</x:v>
      </x:c>
      <x:c r="G27" s="11" t="str">
        <x:v>S012</x:v>
      </x:c>
      <x:c r="H27" s="11" t="str">
        <x:v>Luật số 72/2025/QH15 Tổ chức chính quyền địa phương</x:v>
      </x:c>
      <x:c r="I27" s="30" t="str">
        <x:v>https://xaydungchinhsach.chinhphu.vn/toan-van-luat-so-72-2025-qh15-to-chuc-chinh-quyen-dia-phuong-119250618161434371.htm</x:v>
      </x:c>
      <x:c r="J27" s="11" t="str">
        <x:v>Đã đọc nguồn giải nghĩa bằng ngôn ngữ này; vẫn đối chiếu nghĩa chọn và ghi chú.</x:v>
      </x:c>
      <x:c r="K27" s="11" t="str">
        <x:v>2026-10-28</x:v>
      </x:c>
    </x:row>
    <x:row r="28" ht="57" customHeight="1">
      <x:c r="A28" s="11" t="str">
        <x:v>T089</x:v>
      </x:c>
      <x:c r="B28" s="11" t="str">
        <x:v>KO</x:v>
      </x:c>
      <x:c r="C28" s="11" t="str">
        <x:v>인민위원장</x:v>
      </x:c>
      <x:c r="D28" s="11" t="str">
        <x:v>CẦN TRA — chưa xác minh mục từ</x:v>
      </x:c>
      <x:c r="E28" s="11" t="str">
        <x:v>* Diễn giải mô tả VI</x:v>
      </x:c>
      <x:c r="F28" s="11" t="str">
        <x:v>VI</x:v>
      </x:c>
      <x:c r="G28" s="11" t="str">
        <x:v>S012</x:v>
      </x:c>
      <x:c r="H28" s="11" t="str">
        <x:v>Luật số 72/2025/QH15 Tổ chức chính quyền địa phương</x:v>
      </x:c>
      <x:c r="I28" s="30" t="str">
        <x:v>https://xaydungchinhsach.chinhphu.vn/toan-van-luat-so-72-2025-qh15-to-chuc-chinh-quyen-dia-phuong-119250618161434371.htm</x:v>
      </x:c>
      <x:c r="J28" s="11" t="str">
        <x:v>Chưa xác minh định nghĩa độc lập của nguyên biểu thức/nghĩa chọn trong ngôn ngữ này. Đối chiếu trong hồ sơ cũ;</x:v>
      </x:c>
      <x:c r="K28" s="11" t="str">
        <x:v>2026-10-28</x:v>
      </x:c>
    </x:row>
    <x:row r="29" ht="57" customHeight="1">
      <x:c r="A29" s="11" t="str">
        <x:v>T089</x:v>
      </x:c>
      <x:c r="B29" s="11" t="str">
        <x:v>Bổ sung</x:v>
      </x:c>
      <x:c r="C29" s="11" t="str">
        <x:v>Chủ tịch Ủy ban nhân dân / 인민위원장</x:v>
      </x:c>
      <x:c r="D29" s="11" t="str">
        <x:v>Xem dòng VI/KO</x:v>
      </x:c>
      <x:c r="E29" s="11" t="str">
        <x:v>Chứng cứ cách dùng trong ngữ liệu</x:v>
      </x:c>
      <x:c r="F29" s="11" t="str">
        <x:v>KO</x:v>
      </x:c>
      <x:c r="G29" s="11" t="str">
        <x:v>S013</x:v>
      </x:c>
      <x:c r="H29" s="11" t="str">
        <x:v>Nhân Dân tiếng Hàn – dẫn chứng trong hồ sơ gốc</x:v>
      </x:c>
      <x:c r="I29" s="30" t="str">
        <x:v>https://kr.nhandan.vn/article-post5907.html</x:v>
      </x:c>
      <x:c r="J29" s="11" t="str">
        <x:v>Chứng cứ biểu thức trong corpus; không tự là định nghĩa từ điển hoặc xác nhận mọi nét nghĩa.</x:v>
      </x:c>
      <x:c r="K29" s="11" t="str">
        <x:v>2026-10-28</x:v>
      </x:c>
    </x:row>
    <x:row r="30" ht="57" customHeight="1">
      <x:c r="A30" s="11" t="str">
        <x:v>T003</x:v>
      </x:c>
      <x:c r="B30" s="11" t="str">
        <x:v>VI</x:v>
      </x:c>
      <x:c r="C30" s="11" t="str">
        <x:v>cử tri</x:v>
      </x:c>
      <x:c r="D30" s="11" t="str">
        <x:v>CẦN TRA — chưa xác minh mục từ</x:v>
      </x:c>
      <x:c r="E30" s="11" t="str">
        <x:v>* Mô tả chính thức</x:v>
      </x:c>
      <x:c r="F30" s="11" t="str">
        <x:v>VI</x:v>
      </x:c>
      <x:c r="G30" s="11" t="str">
        <x:v>S014</x:v>
      </x:c>
      <x:c r="H30" s="11" t="str">
        <x:v>Luật Bầu cử đại biểu Quốc hội và đại biểu Hội đồng nhân dân 85/2015/QH13</x:v>
      </x:c>
      <x:c r="I30" s="30" t="str">
        <x:v>https://btllang.bqp.vn/van-ban/vbpq-do-nha-nuoc-ban-hanh/4826-luat-bau-cu-dai-bieu-quoc-hoi-va-dai-bieu-hoi-dong-nhan-dan-2015.html</x:v>
      </x:c>
      <x:c r="J30" s="11" t="str">
        <x:v>Chưa xác minh định nghĩa độc lập của nguyên biểu thức/nghĩa chọn trong ngôn ngữ này. Đối chiếu trong hồ sơ cũ;</x:v>
      </x:c>
      <x:c r="K30" s="11" t="str">
        <x:v>2026-10-28</x:v>
      </x:c>
    </x:row>
    <x:row r="31" ht="57" customHeight="1">
      <x:c r="A31" s="11" t="str">
        <x:v>T003</x:v>
      </x:c>
      <x:c r="B31" s="11" t="str">
        <x:v>KO</x:v>
      </x:c>
      <x:c r="C31" s="11" t="str">
        <x:v>유권자</x:v>
      </x:c>
      <x:c r="D31" s="11" t="str">
        <x:v>CẦN TRA — chưa xác minh mục từ</x:v>
      </x:c>
      <x:c r="E31" s="11" t="str">
        <x:v>* Diễn giải mô tả VI</x:v>
      </x:c>
      <x:c r="F31" s="11" t="str">
        <x:v>VI</x:v>
      </x:c>
      <x:c r="G31" s="11" t="str">
        <x:v>S014</x:v>
      </x:c>
      <x:c r="H31" s="11" t="str">
        <x:v>Luật Bầu cử đại biểu Quốc hội và đại biểu Hội đồng nhân dân 85/2015/QH13</x:v>
      </x:c>
      <x:c r="I31" s="30" t="str">
        <x:v>https://btllang.bqp.vn/van-ban/vbpq-do-nha-nuoc-ban-hanh/4826-luat-bau-cu-dai-bieu-quoc-hoi-va-dai-bieu-hoi-dong-nhan-dan-2015.html</x:v>
      </x:c>
      <x:c r="J31" s="11" t="str">
        <x:v>Chưa xác minh định nghĩa độc lập của nguyên biểu thức/nghĩa chọn trong ngôn ngữ này. Đối chiếu trong hồ sơ cũ;</x:v>
      </x:c>
      <x:c r="K31" s="11" t="str">
        <x:v>2026-10-28</x:v>
      </x:c>
    </x:row>
    <x:row r="32" ht="57" customHeight="1">
      <x:c r="A32" s="11" t="str">
        <x:v>T003</x:v>
      </x:c>
      <x:c r="B32" s="11" t="str">
        <x:v>Bổ sung</x:v>
      </x:c>
      <x:c r="C32" s="11" t="str">
        <x:v>cử tri / 유권자</x:v>
      </x:c>
      <x:c r="D32" s="11" t="str">
        <x:v>Xem dòng VI/KO</x:v>
      </x:c>
      <x:c r="E32" s="11" t="str">
        <x:v>Chứng cứ cách dùng trong ngữ liệu</x:v>
      </x:c>
      <x:c r="F32" s="11" t="str">
        <x:v>KO</x:v>
      </x:c>
      <x:c r="G32" s="11" t="str">
        <x:v>S015</x:v>
      </x:c>
      <x:c r="H32" s="11" t="str">
        <x:v>Nhân Dân tiếng Hàn – dẫn chứng trong hồ sơ gốc</x:v>
      </x:c>
      <x:c r="I32" s="30" t="str">
        <x:v>https://kr.nhandan.vn/article-post3246.html</x:v>
      </x:c>
      <x:c r="J32" s="11" t="str">
        <x:v>Chứng cứ biểu thức trong corpus; không tự là định nghĩa từ điển hoặc xác nhận mọi nét nghĩa.</x:v>
      </x:c>
      <x:c r="K32" s="11" t="str">
        <x:v>2026-10-28</x:v>
      </x:c>
    </x:row>
    <x:row r="33" ht="57" customHeight="1">
      <x:c r="A33" s="11" t="str">
        <x:v>T090</x:v>
      </x:c>
      <x:c r="B33" s="11" t="str">
        <x:v>VI</x:v>
      </x:c>
      <x:c r="C33" s="11" t="str">
        <x:v>đại biểu Hội đồng nhân dân</x:v>
      </x:c>
      <x:c r="D33" s="11" t="str">
        <x:v>CẦN TRA — chưa xác minh mục từ</x:v>
      </x:c>
      <x:c r="E33" s="11" t="str">
        <x:v>Định nghĩa chuyên ngành [VI]</x:v>
      </x:c>
      <x:c r="F33" s="11" t="str">
        <x:v>VI</x:v>
      </x:c>
      <x:c r="G33" s="11" t="str">
        <x:v>S012</x:v>
      </x:c>
      <x:c r="H33" s="11" t="str">
        <x:v>Luật số 72/2025/QH15 Tổ chức chính quyền địa phương</x:v>
      </x:c>
      <x:c r="I33" s="30" t="str">
        <x:v>https://xaydungchinhsach.chinhphu.vn/toan-van-luat-so-72-2025-qh15-to-chuc-chinh-quyen-dia-phuong-119250618161434371.htm</x:v>
      </x:c>
      <x:c r="J33" s="11" t="str">
        <x:v>Đã đọc nguồn giải nghĩa bằng ngôn ngữ này; vẫn đối chiếu nghĩa chọn và ghi chú.</x:v>
      </x:c>
      <x:c r="K33" s="11" t="str">
        <x:v>2026-10-28</x:v>
      </x:c>
    </x:row>
    <x:row r="34" ht="57" customHeight="1">
      <x:c r="A34" s="11" t="str">
        <x:v>T090</x:v>
      </x:c>
      <x:c r="B34" s="11" t="str">
        <x:v>KO</x:v>
      </x:c>
      <x:c r="C34" s="11" t="str">
        <x:v>인민의회 의원</x:v>
      </x:c>
      <x:c r="D34" s="11" t="str">
        <x:v>CẦN TRA — chưa xác minh mục từ</x:v>
      </x:c>
      <x:c r="E34" s="11" t="str">
        <x:v>* Diễn giải mô tả VI</x:v>
      </x:c>
      <x:c r="F34" s="11" t="str">
        <x:v>VI</x:v>
      </x:c>
      <x:c r="G34" s="11" t="str">
        <x:v>S012</x:v>
      </x:c>
      <x:c r="H34" s="11" t="str">
        <x:v>Luật số 72/2025/QH15 Tổ chức chính quyền địa phương</x:v>
      </x:c>
      <x:c r="I34" s="30" t="str">
        <x:v>https://xaydungchinhsach.chinhphu.vn/toan-van-luat-so-72-2025-qh15-to-chuc-chinh-quyen-dia-phuong-119250618161434371.htm</x:v>
      </x:c>
      <x:c r="J34" s="11" t="str">
        <x:v>Chưa xác minh định nghĩa độc lập của nguyên biểu thức/nghĩa chọn trong ngôn ngữ này. Đối chiếu trong hồ sơ cũ;</x:v>
      </x:c>
      <x:c r="K34" s="11" t="str">
        <x:v>2026-10-28</x:v>
      </x:c>
    </x:row>
    <x:row r="35" ht="57" customHeight="1">
      <x:c r="A35" s="11" t="str">
        <x:v>T090</x:v>
      </x:c>
      <x:c r="B35" s="11" t="str">
        <x:v>Bổ sung</x:v>
      </x:c>
      <x:c r="C35" s="11" t="str">
        <x:v>đại biểu Hội đồng nhân dân / 인민의회 의원</x:v>
      </x:c>
      <x:c r="D35" s="11" t="str">
        <x:v>Xem dòng VI/KO</x:v>
      </x:c>
      <x:c r="E35" s="11" t="str">
        <x:v>Chứng cứ cách dùng trong ngữ liệu</x:v>
      </x:c>
      <x:c r="F35" s="11" t="str">
        <x:v>KO</x:v>
      </x:c>
      <x:c r="G35" s="11" t="str">
        <x:v>S016</x:v>
      </x:c>
      <x:c r="H35" s="11" t="str">
        <x:v>Nhân Dân tiếng Hàn – dẫn chứng trong hồ sơ gốc</x:v>
      </x:c>
      <x:c r="I35" s="30" t="str">
        <x:v>https://kr.nhandan.vn/article-post4883.html</x:v>
      </x:c>
      <x:c r="J35" s="11" t="str">
        <x:v>Chứng cứ biểu thức trong corpus; không tự là định nghĩa từ điển hoặc xác nhận mọi nét nghĩa.</x:v>
      </x:c>
      <x:c r="K35" s="11" t="str">
        <x:v>2026-10-28</x:v>
      </x:c>
    </x:row>
    <x:row r="36" ht="57" customHeight="1">
      <x:c r="A36" s="11" t="str">
        <x:v>T081</x:v>
      </x:c>
      <x:c r="B36" s="11" t="str">
        <x:v>VI</x:v>
      </x:c>
      <x:c r="C36" s="11" t="str">
        <x:v>đại biểu Quốc hội</x:v>
      </x:c>
      <x:c r="D36" s="11" t="str">
        <x:v>CẦN TRA — chưa xác minh mục từ</x:v>
      </x:c>
      <x:c r="E36" s="11" t="str">
        <x:v>Định nghĩa chuyên ngành [VI]</x:v>
      </x:c>
      <x:c r="F36" s="11" t="str">
        <x:v>VI</x:v>
      </x:c>
      <x:c r="G36" s="11" t="str">
        <x:v>S009</x:v>
      </x:c>
      <x:c r="H36" s="11" t="str">
        <x:v>Hệ thống chính trị</x:v>
      </x:c>
      <x:c r="I36" s="30" t="str">
        <x:v>https://vanban.chinhphu.vn/he-thong-chinh-tri-68381</x:v>
      </x:c>
      <x:c r="J36" s="11" t="str">
        <x:v>Đã đọc nguồn giải nghĩa bằng ngôn ngữ này; vẫn đối chiếu nghĩa chọn và ghi chú.</x:v>
      </x:c>
      <x:c r="K36" s="11" t="str">
        <x:v>2026-10-28</x:v>
      </x:c>
    </x:row>
    <x:row r="37" ht="57" customHeight="1">
      <x:c r="A37" s="11" t="str">
        <x:v>T081</x:v>
      </x:c>
      <x:c r="B37" s="11" t="str">
        <x:v>KO</x:v>
      </x:c>
      <x:c r="C37" s="11" t="str">
        <x:v>국회의원</x:v>
      </x:c>
      <x:c r="D37" s="11" t="str">
        <x:v>Có mục từ và đã đọc nghĩa</x:v>
      </x:c>
      <x:c r="E37" s="11" t="str">
        <x:v>Mục từ có nghĩa [KO]</x:v>
      </x:c>
      <x:c r="F37" s="11" t="str">
        <x:v>KO</x:v>
      </x:c>
      <x:c r="G37" s="11" t="str">
        <x:v>S017</x:v>
      </x:c>
      <x:c r="H37" s="11" t="str">
        <x:v>국회의원 – 법령 용어 사례집, 한국법제연구원; cổng 국립국어원 온용어</x:v>
      </x:c>
      <x:c r="I37" s="30" t="str">
        <x:v>https://kli.korean.go.kr/term/trgtWord/indexTrgtWord.do?trgtWordNo=220964</x:v>
      </x:c>
      <x:c r="J37" s="11" t="str">
        <x:v>Đã đọc nguồn giải nghĩa bằng ngôn ngữ này; vẫn đối chiếu nghĩa chọn và ghi chú.</x:v>
      </x:c>
      <x:c r="K37" s="11" t="str">
        <x:v>2026-10-28</x:v>
      </x:c>
    </x:row>
    <x:row r="38" ht="57" customHeight="1">
      <x:c r="A38" s="11" t="str">
        <x:v>T081</x:v>
      </x:c>
      <x:c r="B38" s="11" t="str">
        <x:v>Bổ sung</x:v>
      </x:c>
      <x:c r="C38" s="11" t="str">
        <x:v>đại biểu Quốc hội / 국회의원</x:v>
      </x:c>
      <x:c r="D38" s="11" t="str">
        <x:v>Xem dòng VI/KO</x:v>
      </x:c>
      <x:c r="E38" s="11" t="str">
        <x:v>Chứng cứ cách dùng trong ngữ liệu</x:v>
      </x:c>
      <x:c r="F38" s="11" t="str">
        <x:v>KO</x:v>
      </x:c>
      <x:c r="G38" s="11" t="str">
        <x:v>S018</x:v>
      </x:c>
      <x:c r="H38" s="11" t="str">
        <x:v>Nhân Dân tiếng Hàn – dẫn chứng trong hồ sơ gốc</x:v>
      </x:c>
      <x:c r="I38" s="30" t="str">
        <x:v>https://kr.nhandan.vn/article-post3775.html</x:v>
      </x:c>
      <x:c r="J38" s="11" t="str">
        <x:v>Chứng cứ biểu thức trong corpus; không tự là định nghĩa từ điển hoặc xác nhận mọi nét nghĩa.</x:v>
      </x:c>
      <x:c r="K38" s="11" t="str">
        <x:v>2026-10-28</x:v>
      </x:c>
    </x:row>
    <x:row r="39" ht="57" customHeight="1">
      <x:c r="A39" s="11" t="str">
        <x:v>T079</x:v>
      </x:c>
      <x:c r="B39" s="11" t="str">
        <x:v>VI</x:v>
      </x:c>
      <x:c r="C39" s="11" t="str">
        <x:v>Đại sứ</x:v>
      </x:c>
      <x:c r="D39" s="11" t="str">
        <x:v>CẦN TRA — chưa xác minh mục từ</x:v>
      </x:c>
      <x:c r="E39" s="11" t="str">
        <x:v>* Mô tả chính thức</x:v>
      </x:c>
      <x:c r="F39" s="11" t="str">
        <x:v>VI</x:v>
      </x:c>
      <x:c r="G39" s="11" t="str">
        <x:v>S019</x:v>
      </x:c>
      <x:c r="H39" s="11" t="str">
        <x:v>Luật số 33/2009/QH12: Luật Cơ quan đại diện nước CHXHCN Việt Nam ở nước ngoài</x:v>
      </x:c>
      <x:c r="I39" s="30" t="str">
        <x:v>https://chinhphu.vn/default.aspx?docid=91023&amp;pageid=27160</x:v>
      </x:c>
      <x:c r="J39" s="11" t="str">
        <x:v>Chưa xác minh định nghĩa độc lập của nguyên biểu thức/nghĩa chọn trong ngôn ngữ này. Đối chiếu trong hồ sơ cũ; Dùng định danh và cấu trúc thuật ngữ ở Điều 2,18–19; không khẳng định toàn văn chưa sửa đổi.</x:v>
      </x:c>
      <x:c r="K39" s="11" t="str">
        <x:v>2026-10-28</x:v>
      </x:c>
    </x:row>
    <x:row r="40" ht="57" customHeight="1">
      <x:c r="A40" s="11" t="str">
        <x:v>T079</x:v>
      </x:c>
      <x:c r="B40" s="11" t="str">
        <x:v>KO</x:v>
      </x:c>
      <x:c r="C40" s="11" t="str">
        <x:v>대사</x:v>
      </x:c>
      <x:c r="D40" s="11" t="str">
        <x:v>CẦN TRA — chưa xác minh mục từ</x:v>
      </x:c>
      <x:c r="E40" s="11" t="str">
        <x:v>* Diễn giải mô tả VI</x:v>
      </x:c>
      <x:c r="F40" s="11" t="str">
        <x:v>VI</x:v>
      </x:c>
      <x:c r="G40" s="11" t="str">
        <x:v>S019</x:v>
      </x:c>
      <x:c r="H40" s="11" t="str">
        <x:v>Luật số 33/2009/QH12: Luật Cơ quan đại diện nước CHXHCN Việt Nam ở nước ngoài</x:v>
      </x:c>
      <x:c r="I40" s="30" t="str">
        <x:v>https://chinhphu.vn/default.aspx?docid=91023&amp;pageid=27160</x:v>
      </x:c>
      <x:c r="J40" s="11" t="str">
        <x:v>Chưa xác minh định nghĩa độc lập của nguyên biểu thức/nghĩa chọn trong ngôn ngữ này. Đối chiếu trong hồ sơ cũ; Dùng định danh và cấu trúc thuật ngữ ở Điều 2,18–19; không khẳng định toàn văn chưa sửa đổi.</x:v>
      </x:c>
      <x:c r="K40" s="11" t="str">
        <x:v>2026-10-28</x:v>
      </x:c>
    </x:row>
    <x:row r="41" ht="57" customHeight="1">
      <x:c r="A41" s="11" t="str">
        <x:v>T079</x:v>
      </x:c>
      <x:c r="B41" s="11" t="str">
        <x:v>Bổ sung</x:v>
      </x:c>
      <x:c r="C41" s="11" t="str">
        <x:v>Đại sứ / 대사</x:v>
      </x:c>
      <x:c r="D41" s="11" t="str">
        <x:v>Xem dòng VI/KO</x:v>
      </x:c>
      <x:c r="E41" s="11" t="str">
        <x:v>Chứng cứ cách dùng trong ngữ liệu</x:v>
      </x:c>
      <x:c r="F41" s="11" t="str">
        <x:v>KO</x:v>
      </x:c>
      <x:c r="G41" s="11" t="str">
        <x:v>S020</x:v>
      </x:c>
      <x:c r="H41" s="11" t="str">
        <x:v>Nhân Dân tiếng Hàn – dẫn chứng trong hồ sơ gốc</x:v>
      </x:c>
      <x:c r="I41" s="30" t="str">
        <x:v>https://kr.nhandan.vn/article-post3123.html</x:v>
      </x:c>
      <x:c r="J41" s="11" t="str">
        <x:v>Chứng cứ biểu thức trong corpus; không tự là định nghĩa từ điển hoặc xác nhận mọi nét nghĩa.</x:v>
      </x:c>
      <x:c r="K41" s="11" t="str">
        <x:v>2026-10-28</x:v>
      </x:c>
    </x:row>
    <x:row r="42" ht="57" customHeight="1">
      <x:c r="A42" s="11" t="str">
        <x:v>T002</x:v>
      </x:c>
      <x:c r="B42" s="11" t="str">
        <x:v>VI</x:v>
      </x:c>
      <x:c r="C42" s="11" t="str">
        <x:v>đảng viên</x:v>
      </x:c>
      <x:c r="D42" s="11" t="str">
        <x:v>CẦN TRA — chưa xác minh mục từ</x:v>
      </x:c>
      <x:c r="E42" s="11" t="str">
        <x:v>* Mô tả chính thức</x:v>
      </x:c>
      <x:c r="F42" s="11" t="str">
        <x:v>VI</x:v>
      </x:c>
      <x:c r="G42" s="11" t="str">
        <x:v>S021</x:v>
      </x:c>
      <x:c r="H42" s="11" t="str">
        <x:v>Điều lệ Đảng (do Đại hội đại biểu toàn quốc lần thứ XI của Đảng thông qua)</x:v>
      </x:c>
      <x:c r="I42" s="30" t="str">
        <x:v>https://tulieuvankien.dangcongsan.vn/ban-chap-hanh-trung-uong-dang/dai-hoi-dang/lan-thu-xi/dieu-le-dang-do-dai-hoi-dai-bieu-toan-quoc-lan-thu-xi-cua-dang-thong-qua-1472</x:v>
      </x:c>
      <x:c r="J42" s="11" t="str">
        <x:v>Chưa xác minh định nghĩa độc lập của nguyên biểu thức/nghĩa chọn trong ngôn ngữ này. Đối chiếu trong hồ sơ cũ;</x:v>
      </x:c>
      <x:c r="K42" s="11" t="str">
        <x:v>2026-10-28</x:v>
      </x:c>
    </x:row>
    <x:row r="43" ht="57" customHeight="1">
      <x:c r="A43" s="11" t="str">
        <x:v>T002</x:v>
      </x:c>
      <x:c r="B43" s="11" t="str">
        <x:v>KO</x:v>
      </x:c>
      <x:c r="C43" s="11" t="str">
        <x:v>당원</x:v>
      </x:c>
      <x:c r="D43" s="11" t="str">
        <x:v>CẦN TRA — chưa xác minh mục từ</x:v>
      </x:c>
      <x:c r="E43" s="11" t="str">
        <x:v>Định nghĩa chuyên ngành [KO]</x:v>
      </x:c>
      <x:c r="F43" s="11" t="str">
        <x:v>KO</x:v>
      </x:c>
      <x:c r="G43" s="11" t="str">
        <x:v>S022</x:v>
      </x:c>
      <x:c r="H43" s="11" t="str">
        <x:v>중앙선거관리위원회 – giải thích 당원 theo 정당법</x:v>
      </x:c>
      <x:c r="I43" s="30" t="str">
        <x:v>https://www.nec.go.kr/site/nec/law/qnaView.do?bcIdx=43257&amp;cbIdx=1245</x:v>
      </x:c>
      <x:c r="J43" s="11" t="str">
        <x:v>Đã đọc nguồn giải nghĩa bằng ngôn ngữ này; vẫn đối chiếu nghĩa chọn và ghi chú.</x:v>
      </x:c>
      <x:c r="K43" s="11" t="str">
        <x:v>2026-10-28</x:v>
      </x:c>
    </x:row>
    <x:row r="44" ht="57" customHeight="1">
      <x:c r="A44" s="11" t="str">
        <x:v>T002</x:v>
      </x:c>
      <x:c r="B44" s="11" t="str">
        <x:v>Bổ sung</x:v>
      </x:c>
      <x:c r="C44" s="11" t="str">
        <x:v>đảng viên / 당원</x:v>
      </x:c>
      <x:c r="D44" s="11" t="str">
        <x:v>Xem dòng VI/KO</x:v>
      </x:c>
      <x:c r="E44" s="11" t="str">
        <x:v>Chứng cứ cách dùng trong ngữ liệu</x:v>
      </x:c>
      <x:c r="F44" s="11" t="str">
        <x:v>KO</x:v>
      </x:c>
      <x:c r="G44" s="11" t="str">
        <x:v>S023</x:v>
      </x:c>
      <x:c r="H44" s="11" t="str">
        <x:v>Nhân Dân tiếng Hàn – dẫn chứng trong hồ sơ gốc</x:v>
      </x:c>
      <x:c r="I44" s="30" t="str">
        <x:v>https://kr.nhandan.vn/article-post3453.html</x:v>
      </x:c>
      <x:c r="J44" s="11" t="str">
        <x:v>Chứng cứ biểu thức trong corpus; không tự là định nghĩa từ điển hoặc xác nhận mọi nét nghĩa.</x:v>
      </x:c>
      <x:c r="K44" s="11" t="str">
        <x:v>2026-10-28</x:v>
      </x:c>
    </x:row>
    <x:row r="45" ht="57" customHeight="1">
      <x:c r="A45" s="11" t="str">
        <x:v>M011</x:v>
      </x:c>
      <x:c r="B45" s="11" t="str">
        <x:v>VI</x:v>
      </x:c>
      <x:c r="C45" s="11" t="str">
        <x:v>nguyên thủ quốc gia</x:v>
      </x:c>
      <x:c r="D45" s="11" t="str">
        <x:v>CẦN TRA — chưa xác minh mục từ</x:v>
      </x:c>
      <x:c r="E45" s="11" t="str">
        <x:v>* Mô tả chính thức</x:v>
      </x:c>
      <x:c r="F45" s="11" t="str">
        <x:v>VI</x:v>
      </x:c>
      <x:c r="G45" s="11" t="str">
        <x:v>S024</x:v>
      </x:c>
      <x:c r="H45" s="11" t="str">
        <x:v>Tổng thống Phần Lan – Vị Nguyên thủ quốc gia đầu tiên thăm Việt Nam năm 2008</x:v>
      </x:c>
      <x:c r="I45" s="30" t="str">
        <x:v>https://baochinhphu.vn/tong-thong-phan-lan-vi-nguyen-thu-quoc-gia-dau-tien-tham-viet-nam-nam-2008-10210747.htm</x:v>
      </x:c>
      <x:c r="J45" s="11" t="str">
        <x:v>Chưa xác minh định nghĩa độc lập của nguyên biểu thức/nghĩa chọn trong ngôn ngữ này. Đối chiếu trong hồ sơ cũ;</x:v>
      </x:c>
      <x:c r="K45" s="11" t="str">
        <x:v>2026-10-28</x:v>
      </x:c>
    </x:row>
    <x:row r="46" ht="57" customHeight="1">
      <x:c r="A46" s="11" t="str">
        <x:v>M011</x:v>
      </x:c>
      <x:c r="B46" s="11" t="str">
        <x:v>KO</x:v>
      </x:c>
      <x:c r="C46" s="11" t="str">
        <x:v>국가원수</x:v>
      </x:c>
      <x:c r="D46" s="11" t="str">
        <x:v>Có mục từ và đã đọc nghĩa</x:v>
      </x:c>
      <x:c r="E46" s="11" t="str">
        <x:v>Mục từ có nghĩa [KO]</x:v>
      </x:c>
      <x:c r="F46" s="11" t="str">
        <x:v>KO</x:v>
      </x:c>
      <x:c r="G46" s="11" t="str">
        <x:v>S025</x:v>
      </x:c>
      <x:c r="H46" s="11" t="str">
        <x:v>우리말샘 – 국가 원수; 국립국어원, cung cấp qua 디지털집현전</x:v>
      </x:c>
      <x:c r="I46" s="30" t="str">
        <x:v>https://k-knowledge.kr/srch/read.jsp?id=268717318</x:v>
      </x:c>
      <x:c r="J46" s="11" t="str">
        <x:v>Đã đọc nguồn giải nghĩa bằng ngôn ngữ này; vẫn đối chiếu nghĩa chọn và ghi chú.</x:v>
      </x:c>
      <x:c r="K46" s="11" t="str">
        <x:v>2026-10-28</x:v>
      </x:c>
    </x:row>
    <x:row r="47" ht="57" customHeight="1">
      <x:c r="A47" s="11" t="str">
        <x:v>M011</x:v>
      </x:c>
      <x:c r="B47" s="11" t="str">
        <x:v>Bổ sung</x:v>
      </x:c>
      <x:c r="C47" s="11" t="str">
        <x:v>nguyên thủ quốc gia / 국가원수</x:v>
      </x:c>
      <x:c r="D47" s="11" t="str">
        <x:v>Xem dòng VI/KO</x:v>
      </x:c>
      <x:c r="E47" s="11" t="str">
        <x:v>Chứng cứ cách dùng trong ngữ liệu</x:v>
      </x:c>
      <x:c r="F47" s="11" t="str">
        <x:v>KO</x:v>
      </x:c>
      <x:c r="G47" s="11" t="str">
        <x:v>S026</x:v>
      </x:c>
      <x:c r="H47" s="11" t="str">
        <x:v>Nhân Dân tiếng Hàn – dẫn chứng trong hồ sơ gốc</x:v>
      </x:c>
      <x:c r="I47" s="30" t="str">
        <x:v>https://kr.nhandan.vn/article-post5075.html</x:v>
      </x:c>
      <x:c r="J47" s="11" t="str">
        <x:v>Chứng cứ biểu thức trong corpus; không tự là định nghĩa từ điển hoặc xác nhận mọi nét nghĩa.</x:v>
      </x:c>
      <x:c r="K47" s="11" t="str">
        <x:v>2026-10-28</x:v>
      </x:c>
    </x:row>
    <x:row r="48" ht="57" customHeight="1">
      <x:c r="A48" s="11" t="str">
        <x:v>T093</x:v>
      </x:c>
      <x:c r="B48" s="11" t="str">
        <x:v>VI</x:v>
      </x:c>
      <x:c r="C48" s="11" t="str">
        <x:v>người phát ngôn</x:v>
      </x:c>
      <x:c r="D48" s="11" t="str">
        <x:v>CẦN TRA — chưa xác minh mục từ</x:v>
      </x:c>
      <x:c r="E48" s="11" t="str">
        <x:v>* Nghĩa làm việc; cần nguồn định nghĩa</x:v>
      </x:c>
      <x:c r="F48" s="11" t="str">
        <x:v>VI</x:v>
      </x:c>
      <x:c r="G48" s="11" t="str">
        <x:v>S027</x:v>
      </x:c>
      <x:c r="H48" s="11" t="str">
        <x:v>Người phát ngôn – Cổng thông tin Bộ Ngoại giao</x:v>
      </x:c>
      <x:c r="I48" s="30" t="str">
        <x:v>https://web.mofa.gov.vn/web/guest/nguoi-phat-ngon</x:v>
      </x:c>
      <x:c r="J48" s="11" t="str">
        <x:v>Chưa xác minh định nghĩa độc lập của nguyên biểu thức/nghĩa chọn trong ngôn ngữ này. Đối chiếu trong hồ sơ cũ; Chuyên mục chức năng, nhiều phát biểu có nhãn chức danh trong nội dung, không phải suy từ trang chủ.</x:v>
      </x:c>
      <x:c r="K48" s="11" t="str">
        <x:v>2026-10-28</x:v>
      </x:c>
    </x:row>
    <x:row r="49" ht="57" customHeight="1">
      <x:c r="A49" s="11" t="str">
        <x:v>T093</x:v>
      </x:c>
      <x:c r="B49" s="11" t="str">
        <x:v>KO</x:v>
      </x:c>
      <x:c r="C49" s="11" t="str">
        <x:v>대변인</x:v>
      </x:c>
      <x:c r="D49" s="11" t="str">
        <x:v>Có mục từ và đã đọc nghĩa</x:v>
      </x:c>
      <x:c r="E49" s="11" t="str">
        <x:v>Mục từ có nghĩa [KO]</x:v>
      </x:c>
      <x:c r="F49" s="11" t="str">
        <x:v>KO</x:v>
      </x:c>
      <x:c r="G49" s="11" t="str">
        <x:v>S028</x:v>
      </x:c>
      <x:c r="H49" s="11" t="str">
        <x:v>한국어기초사전 – 대변인; 국립국어원</x:v>
      </x:c>
      <x:c r="I49" s="30" t="str">
        <x:v>https://krdict.korean.go.kr/m/eng/searchResultView?ParaWordNo=62456&amp;currentPage=28&amp;exaType=&amp;font_size=12&amp;mainSearchWord=%EB%8C%80&amp;nation=eng&amp;nationCode=6&amp;proverbType=&amp;searchType=W&amp;sort=W&amp;viewType=A&amp;wordMatchFlag=N</x:v>
      </x:c>
      <x:c r="J49" s="11" t="str">
        <x:v>Đã đọc nguồn giải nghĩa bằng ngôn ngữ này; vẫn đối chiếu nghĩa chọn và ghi chú.</x:v>
      </x:c>
      <x:c r="K49" s="11" t="str">
        <x:v>2026-10-28</x:v>
      </x:c>
    </x:row>
    <x:row r="50" ht="57" customHeight="1">
      <x:c r="A50" s="11" t="str">
        <x:v>T093</x:v>
      </x:c>
      <x:c r="B50" s="11" t="str">
        <x:v>Bổ sung</x:v>
      </x:c>
      <x:c r="C50" s="11" t="str">
        <x:v>người phát ngôn / 대변인</x:v>
      </x:c>
      <x:c r="D50" s="11" t="str">
        <x:v>Xem dòng VI/KO</x:v>
      </x:c>
      <x:c r="E50" s="11" t="str">
        <x:v>Chứng cứ cách dùng trong ngữ liệu</x:v>
      </x:c>
      <x:c r="F50" s="11" t="str">
        <x:v>KO</x:v>
      </x:c>
      <x:c r="G50" s="11" t="str">
        <x:v>S029</x:v>
      </x:c>
      <x:c r="H50" s="11" t="str">
        <x:v>Nhân Dân tiếng Hàn – dẫn chứng trong hồ sơ gốc</x:v>
      </x:c>
      <x:c r="I50" s="30" t="str">
        <x:v>https://kr.nhandan.vn/article-post4736.html</x:v>
      </x:c>
      <x:c r="J50" s="11" t="str">
        <x:v>Chứng cứ biểu thức trong corpus; không tự là định nghĩa từ điển hoặc xác nhận mọi nét nghĩa.</x:v>
      </x:c>
      <x:c r="K50" s="11" t="str">
        <x:v>2026-10-28</x:v>
      </x:c>
    </x:row>
    <x:row r="51" ht="57" customHeight="1">
      <x:c r="A51" s="11" t="str">
        <x:v>T097</x:v>
      </x:c>
      <x:c r="B51" s="11" t="str">
        <x:v>VI</x:v>
      </x:c>
      <x:c r="C51" s="11" t="str">
        <x:v>người phát ngôn Bộ Ngoại giao</x:v>
      </x:c>
      <x:c r="D51" s="11" t="str">
        <x:v>CẦN TRA — chưa xác minh mục từ</x:v>
      </x:c>
      <x:c r="E51" s="11" t="str">
        <x:v>* Nghĩa làm việc; cần nguồn định nghĩa</x:v>
      </x:c>
      <x:c r="F51" s="11" t="str">
        <x:v>VI</x:v>
      </x:c>
      <x:c r="G51" s="11" t="str">
        <x:v>S027</x:v>
      </x:c>
      <x:c r="H51" s="11" t="str">
        <x:v>Người phát ngôn – Cổng thông tin Bộ Ngoại giao</x:v>
      </x:c>
      <x:c r="I51" s="30" t="str">
        <x:v>https://web.mofa.gov.vn/web/guest/nguoi-phat-ngon</x:v>
      </x:c>
      <x:c r="J51" s="11" t="str">
        <x:v>Chưa xác minh định nghĩa độc lập của nguyên biểu thức/nghĩa chọn trong ngôn ngữ này. Đối chiếu trong hồ sơ cũ; Chuyên mục chức năng, nhiều phát biểu có nhãn chức danh trong nội dung, không phải suy từ trang chủ.</x:v>
      </x:c>
      <x:c r="K51" s="11" t="str">
        <x:v>2026-10-28</x:v>
      </x:c>
    </x:row>
    <x:row r="52" ht="57" customHeight="1">
      <x:c r="A52" s="11" t="str">
        <x:v>T097</x:v>
      </x:c>
      <x:c r="B52" s="11" t="str">
        <x:v>KO</x:v>
      </x:c>
      <x:c r="C52" s="11" t="str">
        <x:v>외교부 대변인</x:v>
      </x:c>
      <x:c r="D52" s="11" t="str">
        <x:v>CẦN TRA — chưa xác minh mục từ</x:v>
      </x:c>
      <x:c r="E52" s="11" t="str">
        <x:v>* Nghĩa làm việc; cần nguồn định nghĩa</x:v>
      </x:c>
      <x:c r="F52" s="11" t="str">
        <x:v>VI</x:v>
      </x:c>
      <x:c r="G52" s="11" t="str">
        <x:v>S027</x:v>
      </x:c>
      <x:c r="H52" s="11" t="str">
        <x:v>Người phát ngôn – Cổng thông tin Bộ Ngoại giao</x:v>
      </x:c>
      <x:c r="I52" s="30" t="str">
        <x:v>https://web.mofa.gov.vn/web/guest/nguoi-phat-ngon</x:v>
      </x:c>
      <x:c r="J52" s="11" t="str">
        <x:v>Chưa xác minh định nghĩa độc lập của nguyên biểu thức/nghĩa chọn trong ngôn ngữ này. Đối chiếu trong hồ sơ cũ; Chuyên mục chức năng, nhiều phát biểu có nhãn chức danh trong nội dung, không phải suy từ trang chủ.</x:v>
      </x:c>
      <x:c r="K52" s="11" t="str">
        <x:v>2026-10-28</x:v>
      </x:c>
    </x:row>
    <x:row r="53" ht="57" customHeight="1">
      <x:c r="A53" s="11" t="str">
        <x:v>T097</x:v>
      </x:c>
      <x:c r="B53" s="11" t="str">
        <x:v>Bổ sung</x:v>
      </x:c>
      <x:c r="C53" s="11" t="str">
        <x:v>người phát ngôn Bộ Ngoại giao / 외교부 대변인</x:v>
      </x:c>
      <x:c r="D53" s="11" t="str">
        <x:v>Xem dòng VI/KO</x:v>
      </x:c>
      <x:c r="E53" s="11" t="str">
        <x:v>Chứng cứ cách dùng trong ngữ liệu</x:v>
      </x:c>
      <x:c r="F53" s="11" t="str">
        <x:v>KO</x:v>
      </x:c>
      <x:c r="G53" s="11" t="str">
        <x:v>S029</x:v>
      </x:c>
      <x:c r="H53" s="11" t="str">
        <x:v>Nhân Dân tiếng Hàn – dẫn chứng trong hồ sơ gốc</x:v>
      </x:c>
      <x:c r="I53" s="30" t="str">
        <x:v>https://kr.nhandan.vn/article-post4736.html</x:v>
      </x:c>
      <x:c r="J53" s="11" t="str">
        <x:v>Chứng cứ biểu thức trong corpus; không tự là định nghĩa từ điển hoặc xác nhận mọi nét nghĩa.</x:v>
      </x:c>
      <x:c r="K53" s="11" t="str">
        <x:v>2026-10-28</x:v>
      </x:c>
    </x:row>
    <x:row r="54" ht="57" customHeight="1">
      <x:c r="A54" s="11" t="str">
        <x:v>T088</x:v>
      </x:c>
      <x:c r="B54" s="11" t="str">
        <x:v>VI</x:v>
      </x:c>
      <x:c r="C54" s="11" t="str">
        <x:v>Phó Chủ tịch Quốc hội</x:v>
      </x:c>
      <x:c r="D54" s="11" t="str">
        <x:v>CẦN TRA — chưa xác minh mục từ</x:v>
      </x:c>
      <x:c r="E54" s="11" t="str">
        <x:v>Định nghĩa chuyên ngành [VI]</x:v>
      </x:c>
      <x:c r="F54" s="11" t="str">
        <x:v>VI</x:v>
      </x:c>
      <x:c r="G54" s="11" t="str">
        <x:v>S009</x:v>
      </x:c>
      <x:c r="H54" s="11" t="str">
        <x:v>Hệ thống chính trị</x:v>
      </x:c>
      <x:c r="I54" s="30" t="str">
        <x:v>https://vanban.chinhphu.vn/he-thong-chinh-tri-68381</x:v>
      </x:c>
      <x:c r="J54" s="11" t="str">
        <x:v>Đã đọc nguồn giải nghĩa bằng ngôn ngữ này; vẫn đối chiếu nghĩa chọn và ghi chú.</x:v>
      </x:c>
      <x:c r="K54" s="11" t="str">
        <x:v>2026-10-28</x:v>
      </x:c>
    </x:row>
    <x:row r="55" ht="57" customHeight="1">
      <x:c r="A55" s="11" t="str">
        <x:v>T088</x:v>
      </x:c>
      <x:c r="B55" s="11" t="str">
        <x:v>KO</x:v>
      </x:c>
      <x:c r="C55" s="11" t="str">
        <x:v>국회 부의장</x:v>
      </x:c>
      <x:c r="D55" s="11" t="str">
        <x:v>CẦN TRA — chưa xác minh mục từ</x:v>
      </x:c>
      <x:c r="E55" s="11" t="str">
        <x:v>* Diễn giải mô tả VI</x:v>
      </x:c>
      <x:c r="F55" s="11" t="str">
        <x:v>VI</x:v>
      </x:c>
      <x:c r="G55" s="11" t="str">
        <x:v>S009</x:v>
      </x:c>
      <x:c r="H55" s="11" t="str">
        <x:v>Hệ thống chính trị</x:v>
      </x:c>
      <x:c r="I55" s="30" t="str">
        <x:v>https://vanban.chinhphu.vn/he-thong-chinh-tri-68381</x:v>
      </x:c>
      <x:c r="J55" s="11" t="str">
        <x:v>Chưa xác minh định nghĩa độc lập của nguyên biểu thức/nghĩa chọn trong ngôn ngữ này. Đối chiếu trong hồ sơ cũ; Trang hệ thống chính trị có cập nhật các sửa đổi Hiến pháp năm 2025.</x:v>
      </x:c>
      <x:c r="K55" s="11" t="str">
        <x:v>2026-10-28</x:v>
      </x:c>
    </x:row>
    <x:row r="56" ht="57" customHeight="1">
      <x:c r="A56" s="11" t="str">
        <x:v>T088</x:v>
      </x:c>
      <x:c r="B56" s="11" t="str">
        <x:v>Bổ sung</x:v>
      </x:c>
      <x:c r="C56" s="11" t="str">
        <x:v>Phó Chủ tịch Quốc hội / 국회 부의장</x:v>
      </x:c>
      <x:c r="D56" s="11" t="str">
        <x:v>Xem dòng VI/KO</x:v>
      </x:c>
      <x:c r="E56" s="11" t="str">
        <x:v>Chứng cứ cách dùng trong ngữ liệu</x:v>
      </x:c>
      <x:c r="F56" s="11" t="str">
        <x:v>KO</x:v>
      </x:c>
      <x:c r="G56" s="11" t="str">
        <x:v>S002</x:v>
      </x:c>
      <x:c r="H56" s="11" t="str">
        <x:v>Nhân Dân tiếng Hàn – dẫn chứng trong hồ sơ gốc</x:v>
      </x:c>
      <x:c r="I56" s="30" t="str">
        <x:v>https://kr.nhandan.vn/article-post3431.html</x:v>
      </x:c>
      <x:c r="J56" s="11" t="str">
        <x:v>Chứng cứ biểu thức trong corpus; không tự là định nghĩa từ điển hoặc xác nhận mọi nét nghĩa.</x:v>
      </x:c>
      <x:c r="K56" s="11" t="str">
        <x:v>2026-10-28</x:v>
      </x:c>
    </x:row>
    <x:row r="57" ht="57" customHeight="1">
      <x:c r="A57" s="11" t="str">
        <x:v>T082</x:v>
      </x:c>
      <x:c r="B57" s="11" t="str">
        <x:v>VI</x:v>
      </x:c>
      <x:c r="C57" s="11" t="str">
        <x:v>Phó Thủ tướng</x:v>
      </x:c>
      <x:c r="D57" s="11" t="str">
        <x:v>CẦN TRA — chưa xác minh mục từ</x:v>
      </x:c>
      <x:c r="E57" s="11" t="str">
        <x:v>Định nghĩa chuyên ngành [VI]</x:v>
      </x:c>
      <x:c r="F57" s="11" t="str">
        <x:v>VI</x:v>
      </x:c>
      <x:c r="G57" s="11" t="str">
        <x:v>S003</x:v>
      </x:c>
      <x:c r="H57" s="11" t="str">
        <x:v>Hiến pháp năm 2013 – Chương VII: Chính phủ</x:v>
      </x:c>
      <x:c r="I57" s="30" t="str">
        <x:v>https://chinhphu.vn/hien-phap-nam-2013/chuong-vii-chinh-phu-10052988</x:v>
      </x:c>
      <x:c r="J57" s="11" t="str">
        <x:v>Đã đọc nguồn giải nghĩa bằng ngôn ngữ này; vẫn đối chiếu nghĩa chọn và ghi chú.</x:v>
      </x:c>
      <x:c r="K57" s="11" t="str">
        <x:v>2026-10-28</x:v>
      </x:c>
    </x:row>
    <x:row r="58" ht="57" customHeight="1">
      <x:c r="A58" s="11" t="str">
        <x:v>T082</x:v>
      </x:c>
      <x:c r="B58" s="11" t="str">
        <x:v>KO</x:v>
      </x:c>
      <x:c r="C58" s="11" t="str">
        <x:v>부총리</x:v>
      </x:c>
      <x:c r="D58" s="11" t="str">
        <x:v>CẦN TRA — chưa xác minh mục từ</x:v>
      </x:c>
      <x:c r="E58" s="11" t="str">
        <x:v>* Diễn giải mô tả VI</x:v>
      </x:c>
      <x:c r="F58" s="11" t="str">
        <x:v>VI</x:v>
      </x:c>
      <x:c r="G58" s="11" t="str">
        <x:v>S003</x:v>
      </x:c>
      <x:c r="H58" s="11" t="str">
        <x:v>Hiến pháp năm 2013 – Chương VII: Chính phủ</x:v>
      </x:c>
      <x:c r="I58" s="30" t="str">
        <x:v>https://chinhphu.vn/hien-phap-nam-2013/chuong-vii-chinh-phu-10052988</x:v>
      </x:c>
      <x:c r="J58"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58" s="11" t="str">
        <x:v>2026-10-28</x:v>
      </x:c>
    </x:row>
    <x:row r="59" ht="57" customHeight="1">
      <x:c r="A59" s="11" t="str">
        <x:v>T082</x:v>
      </x:c>
      <x:c r="B59" s="11" t="str">
        <x:v>Bổ sung</x:v>
      </x:c>
      <x:c r="C59" s="11" t="str">
        <x:v>Phó Thủ tướng / 부총리</x:v>
      </x:c>
      <x:c r="D59" s="11" t="str">
        <x:v>Xem dòng VI/KO</x:v>
      </x:c>
      <x:c r="E59" s="11" t="str">
        <x:v>Chứng cứ cách dùng trong ngữ liệu</x:v>
      </x:c>
      <x:c r="F59" s="11" t="str">
        <x:v>KO</x:v>
      </x:c>
      <x:c r="G59" s="11" t="str">
        <x:v>S030</x:v>
      </x:c>
      <x:c r="H59" s="11" t="str">
        <x:v>Nhân Dân tiếng Hàn – dẫn chứng trong hồ sơ gốc</x:v>
      </x:c>
      <x:c r="I59" s="30" t="str">
        <x:v>https://kr.nhandan.vn/article-post3365.html</x:v>
      </x:c>
      <x:c r="J59" s="11" t="str">
        <x:v>Chứng cứ biểu thức trong corpus; không tự là định nghĩa từ điển hoặc xác nhận mọi nét nghĩa.</x:v>
      </x:c>
      <x:c r="K59" s="11" t="str">
        <x:v>2026-10-28</x:v>
      </x:c>
    </x:row>
    <x:row r="60" ht="57" customHeight="1">
      <x:c r="A60" s="11" t="str">
        <x:v>M036</x:v>
      </x:c>
      <x:c r="B60" s="11" t="str">
        <x:v>VI</x:v>
      </x:c>
      <x:c r="C60" s="11" t="str">
        <x:v>Phó Thủ tướng Thường trực</x:v>
      </x:c>
      <x:c r="D60" s="11" t="str">
        <x:v>CẦN TRA — chưa xác minh mục từ</x:v>
      </x:c>
      <x:c r="E60" s="11" t="str">
        <x:v>* Nghĩa làm việc; cần nguồn định nghĩa</x:v>
      </x:c>
      <x:c r="F60" s="11" t="str">
        <x:v>VI</x:v>
      </x:c>
      <x:c r="G60" s="11" t="str">
        <x:v>S031</x:v>
      </x:c>
      <x:c r="H60" s="11" t="str">
        <x:v>Phó Thủ tướng Thường trực Nguyễn Hòa Bình xem xét, trao đổi, trả lời từng ý kiến, kiến nghị của cử tri</x:v>
      </x:c>
      <x:c r="I60" s="30" t="str">
        <x:v>https://baochinhphu.vn/pho-thu-tuong-thuong-truc-nguyen-hoa-binh-xem-xet-trao-doi-tra-loi-tung-y-kien-kien-nghi-cua-cu-tri-102251216085429542.htm</x:v>
      </x:c>
      <x:c r="J60" s="11" t="str">
        <x:v>Chưa xác minh định nghĩa độc lập của nguyên biểu thức/nghĩa chọn trong ngôn ngữ này. Đối chiếu trong hồ sơ cũ;</x:v>
      </x:c>
      <x:c r="K60" s="11" t="str">
        <x:v>2026-10-28</x:v>
      </x:c>
    </x:row>
    <x:row r="61" ht="57" customHeight="1">
      <x:c r="A61" s="11" t="str">
        <x:v>M036</x:v>
      </x:c>
      <x:c r="B61" s="11" t="str">
        <x:v>KO</x:v>
      </x:c>
      <x:c r="C61" s="11" t="str">
        <x:v>상임 부총리</x:v>
      </x:c>
      <x:c r="D61" s="11" t="str">
        <x:v>CẦN TRA — chưa xác minh mục từ</x:v>
      </x:c>
      <x:c r="E61" s="11" t="str">
        <x:v>* Nghĩa làm việc; cần nguồn định nghĩa</x:v>
      </x:c>
      <x:c r="F61" s="11" t="str">
        <x:v>VI</x:v>
      </x:c>
      <x:c r="G61" s="11" t="str">
        <x:v>S031</x:v>
      </x:c>
      <x:c r="H61" s="11" t="str">
        <x:v>Phó Thủ tướng Thường trực Nguyễn Hòa Bình xem xét, trao đổi, trả lời từng ý kiến, kiến nghị của cử tri</x:v>
      </x:c>
      <x:c r="I61" s="30" t="str">
        <x:v>https://baochinhphu.vn/pho-thu-tuong-thuong-truc-nguyen-hoa-binh-xem-xet-trao-doi-tra-loi-tung-y-kien-kien-nghi-cua-cu-tri-102251216085429542.htm</x:v>
      </x:c>
      <x:c r="J61" s="11" t="str">
        <x:v>Chưa xác minh định nghĩa độc lập của nguyên biểu thức/nghĩa chọn trong ngôn ngữ này. Đối chiếu trong hồ sơ cũ;</x:v>
      </x:c>
      <x:c r="K61" s="11" t="str">
        <x:v>2026-10-28</x:v>
      </x:c>
    </x:row>
    <x:row r="62" ht="57" customHeight="1">
      <x:c r="A62" s="11" t="str">
        <x:v>M036</x:v>
      </x:c>
      <x:c r="B62" s="11" t="str">
        <x:v>Bổ sung</x:v>
      </x:c>
      <x:c r="C62" s="11" t="str">
        <x:v>Phó Thủ tướng Thường trực / 상임 부총리</x:v>
      </x:c>
      <x:c r="D62" s="11" t="str">
        <x:v>Xem dòng VI/KO</x:v>
      </x:c>
      <x:c r="E62" s="11" t="str">
        <x:v>Chứng cứ cách dùng trong ngữ liệu</x:v>
      </x:c>
      <x:c r="F62" s="11" t="str">
        <x:v>KO</x:v>
      </x:c>
      <x:c r="G62" s="11" t="str">
        <x:v>S032</x:v>
      </x:c>
      <x:c r="H62" s="11" t="str">
        <x:v>Nhân Dân tiếng Hàn – dẫn chứng trong hồ sơ gốc</x:v>
      </x:c>
      <x:c r="I62" s="30" t="str">
        <x:v>https://kr.nhandan.vn/article-post5890.html</x:v>
      </x:c>
      <x:c r="J62" s="11" t="str">
        <x:v>Chứng cứ biểu thức trong corpus; không tự là định nghĩa từ điển hoặc xác nhận mọi nét nghĩa.</x:v>
      </x:c>
      <x:c r="K62" s="11" t="str">
        <x:v>2026-10-28</x:v>
      </x:c>
    </x:row>
    <x:row r="63" ht="57" customHeight="1">
      <x:c r="A63" s="11" t="str">
        <x:v>M052</x:v>
      </x:c>
      <x:c r="B63" s="11" t="str">
        <x:v>VI</x:v>
      </x:c>
      <x:c r="C63" s="11" t="str">
        <x:v>Phó Trưởng Ban Tuyên giáo và Dân vận Trung ương</x:v>
      </x:c>
      <x:c r="D63" s="11" t="str">
        <x:v>CẦN TRA — chưa xác minh mục từ</x:v>
      </x:c>
      <x:c r="E63" s="11" t="str">
        <x:v>* Nghĩa làm việc; cần nguồn định nghĩa</x:v>
      </x:c>
      <x:c r="F63" s="11" t="str">
        <x:v>VI</x:v>
      </x:c>
      <x:c r="G63" s="11" t="str">
        <x:v>S033</x:v>
      </x:c>
      <x:c r="H63" s="11" t="str">
        <x:v>Đại hội Thi đua yêu nước Báo Nhân Dân giai đoạn 2025–2030</x:v>
      </x:c>
      <x:c r="I63" s="30" t="str">
        <x:v>https://nhandan.vn/dai-hoi-thi-dua-yeu-nuoc-bao-nhan-dan-giai-doan-2025-2030-post920489.html</x:v>
      </x:c>
      <x:c r="J63" s="11" t="str">
        <x:v>Chưa xác minh định nghĩa độc lập của nguyên biểu thức/nghĩa chọn trong ngôn ngữ này. Đối chiếu trong hồ sơ cũ;</x:v>
      </x:c>
      <x:c r="K63" s="11" t="str">
        <x:v>2026-10-28</x:v>
      </x:c>
    </x:row>
    <x:row r="64" ht="57" customHeight="1">
      <x:c r="A64" s="11" t="str">
        <x:v>M052</x:v>
      </x:c>
      <x:c r="B64" s="11" t="str">
        <x:v>KO</x:v>
      </x:c>
      <x:c r="C64" s="11" t="str">
        <x:v>중앙위 선전교육대중동원위원회 부위원장</x:v>
      </x:c>
      <x:c r="D64" s="11" t="str">
        <x:v>CẦN TRA — chưa xác minh mục từ</x:v>
      </x:c>
      <x:c r="E64" s="11" t="str">
        <x:v>* Nghĩa làm việc; cần nguồn định nghĩa</x:v>
      </x:c>
      <x:c r="F64" s="11" t="str">
        <x:v>VI</x:v>
      </x:c>
      <x:c r="G64" s="11" t="str">
        <x:v>S033</x:v>
      </x:c>
      <x:c r="H64" s="11" t="str">
        <x:v>Đại hội Thi đua yêu nước Báo Nhân Dân giai đoạn 2025–2030</x:v>
      </x:c>
      <x:c r="I64" s="30" t="str">
        <x:v>https://nhandan.vn/dai-hoi-thi-dua-yeu-nuoc-bao-nhan-dan-giai-doan-2025-2030-post920489.html</x:v>
      </x:c>
      <x:c r="J64" s="11" t="str">
        <x:v>Chưa xác minh định nghĩa độc lập của nguyên biểu thức/nghĩa chọn trong ngôn ngữ này. Đối chiếu trong hồ sơ cũ;</x:v>
      </x:c>
      <x:c r="K64" s="11" t="str">
        <x:v>2026-10-28</x:v>
      </x:c>
    </x:row>
    <x:row r="65" ht="57" customHeight="1">
      <x:c r="A65" s="11" t="str">
        <x:v>M052</x:v>
      </x:c>
      <x:c r="B65" s="11" t="str">
        <x:v>Bổ sung</x:v>
      </x:c>
      <x:c r="C65" s="11" t="str">
        <x:v>Phó Trưởng Ban Tuyên giáo và Dân vận Trung ương / 중앙위 선전교육대중동원위원회 부위원장</x:v>
      </x:c>
      <x:c r="D65" s="11" t="str">
        <x:v>Xem dòng VI/KO</x:v>
      </x:c>
      <x:c r="E65" s="11" t="str">
        <x:v>Chứng cứ cách dùng trong ngữ liệu</x:v>
      </x:c>
      <x:c r="F65" s="11" t="str">
        <x:v>KO</x:v>
      </x:c>
      <x:c r="G65" s="11" t="str">
        <x:v>S020</x:v>
      </x:c>
      <x:c r="H65" s="11" t="str">
        <x:v>Nhân Dân tiếng Hàn – dẫn chứng trong hồ sơ gốc</x:v>
      </x:c>
      <x:c r="I65" s="30" t="str">
        <x:v>https://kr.nhandan.vn/article-post3123.html</x:v>
      </x:c>
      <x:c r="J65" s="11" t="str">
        <x:v>Chứng cứ biểu thức trong corpus; không tự là định nghĩa từ điển hoặc xác nhận mọi nét nghĩa.</x:v>
      </x:c>
      <x:c r="K65" s="11" t="str">
        <x:v>2026-10-28</x:v>
      </x:c>
    </x:row>
    <x:row r="66" ht="57" customHeight="1">
      <x:c r="A66" s="11" t="str">
        <x:v>M052</x:v>
      </x:c>
      <x:c r="B66" s="11" t="str">
        <x:v>Bổ sung</x:v>
      </x:c>
      <x:c r="C66" s="11" t="str">
        <x:v>Phó Trưởng Ban Tuyên giáo và Dân vận Trung ương / 중앙위 선전교육대중동원위원회 부위원장</x:v>
      </x:c>
      <x:c r="D66" s="11" t="str">
        <x:v>Xem dòng VI/KO</x:v>
      </x:c>
      <x:c r="E66" s="11" t="str">
        <x:v>Mô tả chính thức</x:v>
      </x:c>
      <x:c r="F66" s="11" t="str">
        <x:v>VI</x:v>
      </x:c>
      <x:c r="G66" s="11" t="str">
        <x:v>S034</x:v>
      </x:c>
      <x:c r="H66" s="11" t="str">
        <x:v>Quyết định 209-QĐ/TW: đổi tên Ban Tuyên giáo và Dân vận Trung ương</x:v>
      </x:c>
      <x:c r="I66" s="30" t="str">
        <x:v>https://xaydungchinhsach.chinhphu.vn/quyet-dinh-so-209-qd-tw-doi-ten-ban-tuyen-giao-va-dan-van-trung-uong-thanh-ban-tuyen-giao-trung-uong-119260801121222733.htm</x:v>
      </x:c>
      <x:c r="J66" s="11" t="str">
        <x:v>Ghi nhận đổi tên từ 01/8/2026; dùng cờ thời điểm cho tên trong corpus, không thay tên gốc.</x:v>
      </x:c>
      <x:c r="K66" s="11" t="str">
        <x:v>2026-10-28</x:v>
      </x:c>
    </x:row>
    <x:row r="67" ht="57" customHeight="1">
      <x:c r="A67" s="11" t="str">
        <x:v>NEW_G1_FL01</x:v>
      </x:c>
      <x:c r="B67" s="11" t="str">
        <x:v>VI</x:v>
      </x:c>
      <x:c r="C67" s="11" t="str">
        <x:v>phu nhân Tổng thống Hàn Quốc</x:v>
      </x:c>
      <x:c r="D67" s="11" t="str">
        <x:v>CẦN TRA — chưa xác minh mục từ</x:v>
      </x:c>
      <x:c r="E67" s="11" t="str">
        <x:v>* Nghĩa làm việc; cần nguồn định nghĩa</x:v>
      </x:c>
      <x:c r="F67" s="11" t="str">
        <x:v>VI</x:v>
      </x:c>
      <x:c r="G67" s="11" t="str">
        <x:v>S035</x:v>
      </x:c>
      <x:c r="H67" s="11" t="str">
        <x:v>Nhân Dân – Phu nhân Tổng Bí thư, Chủ tịch nước Tô Lâm và phu nhân Tổng thống Hàn Quốc thăm Bảo tàng Dân tộc học Việt Nam</x:v>
      </x:c>
      <x:c r="I67" s="30" t="str">
        <x:v>https://nhandan.vn/phu-nhan-tong-bi-thu-chu-tich-nuoc-to-lam-va-phu-nhan-tong-thong-han-quoc-tham-bao-tang-dan-toc-hoc-viet-nam-post957900.html</x:v>
      </x:c>
      <x:c r="J67" s="11" t="str">
        <x:v>Chưa xác minh định nghĩa độc lập của nguyên biểu thức/nghĩa chọn trong ngôn ngữ này. Nguồn bài của biểu thức lễ tân; không phải định nghĩa thuật ngữ.</x:v>
      </x:c>
      <x:c r="K67" s="11" t="str">
        <x:v>2026-10-28</x:v>
      </x:c>
    </x:row>
    <x:row r="68" ht="57" customHeight="1">
      <x:c r="A68" s="11" t="str">
        <x:v>NEW_G1_FL01</x:v>
      </x:c>
      <x:c r="B68" s="11" t="str">
        <x:v>KO</x:v>
      </x:c>
      <x:c r="C68" s="11" t="str">
        <x:v>대한민국 이재명 대통령의 부인</x:v>
      </x:c>
      <x:c r="D68" s="11" t="str">
        <x:v>CẦN TRA — chưa xác minh mục từ</x:v>
      </x:c>
      <x:c r="E68" s="11" t="str">
        <x:v>* Nghĩa làm việc; cần nguồn định nghĩa</x:v>
      </x:c>
      <x:c r="F68" s="11" t="str">
        <x:v>KO</x:v>
      </x:c>
      <x:c r="G68" s="11" t="str">
        <x:v>S036</x:v>
      </x:c>
      <x:c r="H68" s="11" t="str">
        <x:v>Nhân Dân tiếng Hàn – nguồn ngữ liệu phu nhân Tổng thống Hàn Quốc</x:v>
      </x:c>
      <x:c r="I68" s="30" t="str">
        <x:v>https://kr.nhandan.vn/article-post5136.html</x:v>
      </x:c>
      <x:c r="J68" s="11" t="str">
        <x:v>Chưa xác minh định nghĩa độc lập của nguyên biểu thức/nghĩa chọn trong ngôn ngữ này. Dạng Hàn có tên riêng của Tổng thống, là biểu thức miêu tả.</x:v>
      </x:c>
      <x:c r="K68" s="11" t="str">
        <x:v>2026-10-28</x:v>
      </x:c>
    </x:row>
    <x:row r="69" ht="57" customHeight="1">
      <x:c r="A69" s="11" t="str">
        <x:v>T099</x:v>
      </x:c>
      <x:c r="B69" s="11" t="str">
        <x:v>VI</x:v>
      </x:c>
      <x:c r="C69" s="11" t="str">
        <x:v>Thị trưởng</x:v>
      </x:c>
      <x:c r="D69" s="11" t="str">
        <x:v>CẦN TRA — chưa xác minh mục từ</x:v>
      </x:c>
      <x:c r="E69" s="11" t="str">
        <x:v>* Nghĩa làm việc; cần nguồn định nghĩa</x:v>
      </x:c>
      <x:c r="F69" s="11" t="str">
        <x:v>VI</x:v>
      </x:c>
      <x:c r="G69" s="11" t="str">
        <x:v>S037</x:v>
      </x:c>
      <x:c r="H69" s="11" t="str">
        <x:v>Hà Nội và Seoul tăng cường hợp tác, hướng tới phát triển đô thị thông minh</x:v>
      </x:c>
      <x:c r="I69" s="30" t="str">
        <x:v>https://thanglong.chinhphu.vn/ha-noi-va-seoul-tang-cuong-hop-tac-huong-toi-phat-trien-do-thi-thong-minh-103251205194335686.htm</x:v>
      </x:c>
      <x:c r="J69" s="11" t="str">
        <x:v>Chưa xác minh định nghĩa độc lập của nguyên biểu thức/nghĩa chọn trong ngôn ngữ này. Đối chiếu trong hồ sơ cũ;</x:v>
      </x:c>
      <x:c r="K69" s="11" t="str">
        <x:v>2026-10-28</x:v>
      </x:c>
    </x:row>
    <x:row r="70" ht="57" customHeight="1">
      <x:c r="A70" s="11" t="str">
        <x:v>T099</x:v>
      </x:c>
      <x:c r="B70" s="11" t="str">
        <x:v>KO</x:v>
      </x:c>
      <x:c r="C70" s="11" t="str">
        <x:v>시장</x:v>
      </x:c>
      <x:c r="D70" s="11" t="str">
        <x:v>CẦN TRA — chưa xác minh mục từ</x:v>
      </x:c>
      <x:c r="E70" s="11" t="str">
        <x:v>* Nghĩa làm việc; cần nguồn định nghĩa</x:v>
      </x:c>
      <x:c r="F70" s="11" t="str">
        <x:v>VI</x:v>
      </x:c>
      <x:c r="G70" s="11" t="str">
        <x:v>S037</x:v>
      </x:c>
      <x:c r="H70" s="11" t="str">
        <x:v>Hà Nội và Seoul tăng cường hợp tác, hướng tới phát triển đô thị thông minh</x:v>
      </x:c>
      <x:c r="I70" s="30" t="str">
        <x:v>https://thanglong.chinhphu.vn/ha-noi-va-seoul-tang-cuong-hop-tac-huong-toi-phat-trien-do-thi-thong-minh-103251205194335686.htm</x:v>
      </x:c>
      <x:c r="J70" s="11" t="str">
        <x:v>Chưa xác minh định nghĩa độc lập của nguyên biểu thức/nghĩa chọn trong ngôn ngữ này. Đối chiếu trong hồ sơ cũ;</x:v>
      </x:c>
      <x:c r="K70" s="11" t="str">
        <x:v>2026-10-28</x:v>
      </x:c>
    </x:row>
    <x:row r="71" ht="57" customHeight="1">
      <x:c r="A71" s="11" t="str">
        <x:v>T099</x:v>
      </x:c>
      <x:c r="B71" s="11" t="str">
        <x:v>Bổ sung</x:v>
      </x:c>
      <x:c r="C71" s="11" t="str">
        <x:v>Thị trưởng / 시장</x:v>
      </x:c>
      <x:c r="D71" s="11" t="str">
        <x:v>Xem dòng VI/KO</x:v>
      </x:c>
      <x:c r="E71" s="11" t="str">
        <x:v>Chứng cứ cách dùng trong ngữ liệu</x:v>
      </x:c>
      <x:c r="F71" s="11" t="str">
        <x:v>KO</x:v>
      </x:c>
      <x:c r="G71" s="11" t="str">
        <x:v>S038</x:v>
      </x:c>
      <x:c r="H71" s="11" t="str">
        <x:v>Nhân Dân tiếng Hàn – dẫn chứng trong hồ sơ gốc</x:v>
      </x:c>
      <x:c r="I71" s="30" t="str">
        <x:v>https://kr.nhandan.vn/article-post4954.html</x:v>
      </x:c>
      <x:c r="J71" s="11" t="str">
        <x:v>Chứng cứ biểu thức trong corpus; không tự là định nghĩa từ điển hoặc xác nhận mọi nét nghĩa.</x:v>
      </x:c>
      <x:c r="K71" s="11" t="str">
        <x:v>2026-10-28</x:v>
      </x:c>
    </x:row>
    <x:row r="72" ht="57" customHeight="1">
      <x:c r="A72" s="11" t="str">
        <x:v>T074</x:v>
      </x:c>
      <x:c r="B72" s="11" t="str">
        <x:v>VI</x:v>
      </x:c>
      <x:c r="C72" s="11" t="str">
        <x:v>Thủ tướng</x:v>
      </x:c>
      <x:c r="D72" s="11" t="str">
        <x:v>CẦN TRA — chưa xác minh mục từ</x:v>
      </x:c>
      <x:c r="E72" s="11" t="str">
        <x:v>Định nghĩa chuyên ngành [VI]</x:v>
      </x:c>
      <x:c r="F72" s="11" t="str">
        <x:v>VI</x:v>
      </x:c>
      <x:c r="G72" s="11" t="str">
        <x:v>S003</x:v>
      </x:c>
      <x:c r="H72" s="11" t="str">
        <x:v>Hiến pháp năm 2013 – Chương VII: Chính phủ</x:v>
      </x:c>
      <x:c r="I72" s="30" t="str">
        <x:v>https://chinhphu.vn/hien-phap-nam-2013/chuong-vii-chinh-phu-10052988</x:v>
      </x:c>
      <x:c r="J72" s="11" t="str">
        <x:v>Đã đọc nguồn giải nghĩa bằng ngôn ngữ này; vẫn đối chiếu nghĩa chọn và ghi chú.</x:v>
      </x:c>
      <x:c r="K72" s="11" t="str">
        <x:v>2026-10-28</x:v>
      </x:c>
    </x:row>
    <x:row r="73" ht="57" customHeight="1">
      <x:c r="A73" s="11" t="str">
        <x:v>T074</x:v>
      </x:c>
      <x:c r="B73" s="11" t="str">
        <x:v>KO</x:v>
      </x:c>
      <x:c r="C73" s="11" t="str">
        <x:v>총리</x:v>
      </x:c>
      <x:c r="D73" s="11" t="str">
        <x:v>CẦN TRA — chưa xác minh mục từ</x:v>
      </x:c>
      <x:c r="E73" s="11" t="str">
        <x:v>* Diễn giải mô tả VI</x:v>
      </x:c>
      <x:c r="F73" s="11" t="str">
        <x:v>VI</x:v>
      </x:c>
      <x:c r="G73" s="11" t="str">
        <x:v>S003</x:v>
      </x:c>
      <x:c r="H73" s="11" t="str">
        <x:v>Hiến pháp năm 2013 – Chương VII: Chính phủ</x:v>
      </x:c>
      <x:c r="I73" s="30" t="str">
        <x:v>https://chinhphu.vn/hien-phap-nam-2013/chuong-vii-chinh-phu-10052988</x:v>
      </x:c>
      <x:c r="J73"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73" s="11" t="str">
        <x:v>2026-10-28</x:v>
      </x:c>
    </x:row>
    <x:row r="74" ht="57" customHeight="1">
      <x:c r="A74" s="11" t="str">
        <x:v>T074</x:v>
      </x:c>
      <x:c r="B74" s="11" t="str">
        <x:v>Bổ sung</x:v>
      </x:c>
      <x:c r="C74" s="11" t="str">
        <x:v>Thủ tướng / 총리</x:v>
      </x:c>
      <x:c r="D74" s="11" t="str">
        <x:v>Xem dòng VI/KO</x:v>
      </x:c>
      <x:c r="E74" s="11" t="str">
        <x:v>Chứng cứ cách dùng trong ngữ liệu</x:v>
      </x:c>
      <x:c r="F74" s="11" t="str">
        <x:v>KO</x:v>
      </x:c>
      <x:c r="G74" s="11" t="str">
        <x:v>S039</x:v>
      </x:c>
      <x:c r="H74" s="11" t="str">
        <x:v>Nhân Dân tiếng Hàn – dẫn chứng trong hồ sơ gốc</x:v>
      </x:c>
      <x:c r="I74" s="30" t="str">
        <x:v>https://kr.nhandan.vn/article-post5135.html</x:v>
      </x:c>
      <x:c r="J74" s="11" t="str">
        <x:v>Chứng cứ biểu thức trong corpus; không tự là định nghĩa từ điển hoặc xác nhận mọi nét nghĩa.</x:v>
      </x:c>
      <x:c r="K74" s="11" t="str">
        <x:v>2026-10-28</x:v>
      </x:c>
    </x:row>
    <x:row r="75" ht="57" customHeight="1">
      <x:c r="A75" s="11" t="str">
        <x:v>T087</x:v>
      </x:c>
      <x:c r="B75" s="11" t="str">
        <x:v>VI</x:v>
      </x:c>
      <x:c r="C75" s="11" t="str">
        <x:v>Thứ trưởng</x:v>
      </x:c>
      <x:c r="D75" s="11" t="str">
        <x:v>CẦN TRA — chưa xác minh mục từ</x:v>
      </x:c>
      <x:c r="E75" s="11" t="str">
        <x:v>* Nghĩa làm việc; cần nguồn định nghĩa</x:v>
      </x:c>
      <x:c r="F75" s="11" t="str">
        <x:v>VI</x:v>
      </x:c>
      <x:c r="G75" s="11" t="str">
        <x:v>S003</x:v>
      </x:c>
      <x:c r="H75" s="11" t="str">
        <x:v>Hiến pháp năm 2013 – Chương VII: Chính phủ</x:v>
      </x:c>
      <x:c r="I75" s="30" t="str">
        <x:v>https://chinhphu.vn/hien-phap-nam-2013/chuong-vii-chinh-phu-10052988</x:v>
      </x:c>
      <x:c r="J75"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75" s="11" t="str">
        <x:v>2026-10-28</x:v>
      </x:c>
    </x:row>
    <x:row r="76" ht="57" customHeight="1">
      <x:c r="A76" s="11" t="str">
        <x:v>T087</x:v>
      </x:c>
      <x:c r="B76" s="11" t="str">
        <x:v>KO</x:v>
      </x:c>
      <x:c r="C76" s="11" t="str">
        <x:v>차관</x:v>
      </x:c>
      <x:c r="D76" s="11" t="str">
        <x:v>Có mục từ và đã đọc nghĩa</x:v>
      </x:c>
      <x:c r="E76" s="11" t="str">
        <x:v>Mục từ có nghĩa [KO]</x:v>
      </x:c>
      <x:c r="F76" s="11" t="str">
        <x:v>KO</x:v>
      </x:c>
      <x:c r="G76" s="11" t="str">
        <x:v>S040</x:v>
      </x:c>
      <x:c r="H76" s="11" t="str">
        <x:v>한국어기초사전 – 차관¹; 국립국어원</x:v>
      </x:c>
      <x:c r="I76" s="30" t="str">
        <x:v>https://krdict.korean.go.kr/jpn/dicSearch/SearchView?ParaWordNo=80193&amp;blockCount=10&amp;currentPage=1&amp;exaType=&amp;mainSearchWord=%EB%81%9D&amp;nation=jpn&amp;nationCode=7&amp;proverbType=&amp;searchType=E&amp;sort=W&amp;viewType=A&amp;wordMatchFlag=N</x:v>
      </x:c>
      <x:c r="J76" s="11" t="str">
        <x:v>Đã đọc nguồn giải nghĩa bằng ngôn ngữ này; vẫn đối chiếu nghĩa chọn và ghi chú.</x:v>
      </x:c>
      <x:c r="K76" s="11" t="str">
        <x:v>2026-10-28</x:v>
      </x:c>
    </x:row>
    <x:row r="77" ht="57" customHeight="1">
      <x:c r="A77" s="11" t="str">
        <x:v>T087</x:v>
      </x:c>
      <x:c r="B77" s="11" t="str">
        <x:v>Bổ sung</x:v>
      </x:c>
      <x:c r="C77" s="11" t="str">
        <x:v>Thứ trưởng / 차관</x:v>
      </x:c>
      <x:c r="D77" s="11" t="str">
        <x:v>Xem dòng VI/KO</x:v>
      </x:c>
      <x:c r="E77" s="11" t="str">
        <x:v>Chứng cứ cách dùng trong ngữ liệu</x:v>
      </x:c>
      <x:c r="F77" s="11" t="str">
        <x:v>KO</x:v>
      </x:c>
      <x:c r="G77" s="11" t="str">
        <x:v>S020</x:v>
      </x:c>
      <x:c r="H77" s="11" t="str">
        <x:v>Nhân Dân tiếng Hàn – dẫn chứng trong hồ sơ gốc</x:v>
      </x:c>
      <x:c r="I77" s="30" t="str">
        <x:v>https://kr.nhandan.vn/article-post3123.html</x:v>
      </x:c>
      <x:c r="J77" s="11" t="str">
        <x:v>Chứng cứ biểu thức trong corpus; không tự là định nghĩa từ điển hoặc xác nhận mọi nét nghĩa.</x:v>
      </x:c>
      <x:c r="K77" s="11" t="str">
        <x:v>2026-10-28</x:v>
      </x:c>
    </x:row>
    <x:row r="78" ht="57" customHeight="1">
      <x:c r="A78" s="11" t="str">
        <x:v>T102</x:v>
      </x:c>
      <x:c r="B78" s="11" t="str">
        <x:v>VI</x:v>
      </x:c>
      <x:c r="C78" s="11" t="str">
        <x:v>Thứ trưởng Bộ Ngoại giao</x:v>
      </x:c>
      <x:c r="D78" s="11" t="str">
        <x:v>CẦN TRA — chưa xác minh mục từ</x:v>
      </x:c>
      <x:c r="E78" s="11" t="str">
        <x:v>* Nghĩa làm việc; cần nguồn định nghĩa</x:v>
      </x:c>
      <x:c r="F78" s="11" t="str">
        <x:v>VI</x:v>
      </x:c>
      <x:c r="G78" s="11" t="str">
        <x:v>S041</x:v>
      </x:c>
      <x:c r="H78" s="11" t="str">
        <x:v>Quyết định số 1176/QĐ-TTg: Bổ nhiệm bà Nguyễn Minh Hằng giữ chức Thứ trưởng Bộ Ngoại giao</x:v>
      </x:c>
      <x:c r="I78" s="30" t="str">
        <x:v>https://vanban.chinhphu.vn/?docid=208766&amp;pageid=27160</x:v>
      </x:c>
      <x:c r="J78" s="11" t="str">
        <x:v>Chưa xác minh định nghĩa độc lập của nguyên biểu thức/nghĩa chọn trong ngôn ngữ này. Đối chiếu trong hồ sơ cũ;</x:v>
      </x:c>
      <x:c r="K78" s="11" t="str">
        <x:v>2026-10-28</x:v>
      </x:c>
    </x:row>
    <x:row r="79" ht="57" customHeight="1">
      <x:c r="A79" s="11" t="str">
        <x:v>T102</x:v>
      </x:c>
      <x:c r="B79" s="11" t="str">
        <x:v>KO</x:v>
      </x:c>
      <x:c r="C79" s="11" t="str">
        <x:v>외교부 차관</x:v>
      </x:c>
      <x:c r="D79" s="11" t="str">
        <x:v>CẦN TRA — chưa xác minh mục từ</x:v>
      </x:c>
      <x:c r="E79" s="11" t="str">
        <x:v>* Nghĩa làm việc; cần nguồn định nghĩa</x:v>
      </x:c>
      <x:c r="F79" s="11" t="str">
        <x:v>VI</x:v>
      </x:c>
      <x:c r="G79" s="11" t="str">
        <x:v>S041</x:v>
      </x:c>
      <x:c r="H79" s="11" t="str">
        <x:v>Quyết định số 1176/QĐ-TTg: Bổ nhiệm bà Nguyễn Minh Hằng giữ chức Thứ trưởng Bộ Ngoại giao</x:v>
      </x:c>
      <x:c r="I79" s="30" t="str">
        <x:v>https://vanban.chinhphu.vn/?docid=208766&amp;pageid=27160</x:v>
      </x:c>
      <x:c r="J79" s="11" t="str">
        <x:v>Chưa xác minh định nghĩa độc lập của nguyên biểu thức/nghĩa chọn trong ngôn ngữ này. Đối chiếu trong hồ sơ cũ;</x:v>
      </x:c>
      <x:c r="K79" s="11" t="str">
        <x:v>2026-10-28</x:v>
      </x:c>
    </x:row>
    <x:row r="80" ht="57" customHeight="1">
      <x:c r="A80" s="11" t="str">
        <x:v>T102</x:v>
      </x:c>
      <x:c r="B80" s="11" t="str">
        <x:v>Bổ sung</x:v>
      </x:c>
      <x:c r="C80" s="11" t="str">
        <x:v>Thứ trưởng Bộ Ngoại giao / 외교부 차관</x:v>
      </x:c>
      <x:c r="D80" s="11" t="str">
        <x:v>Xem dòng VI/KO</x:v>
      </x:c>
      <x:c r="E80" s="11" t="str">
        <x:v>Chứng cứ cách dùng trong ngữ liệu</x:v>
      </x:c>
      <x:c r="F80" s="11" t="str">
        <x:v>KO</x:v>
      </x:c>
      <x:c r="G80" s="11" t="str">
        <x:v>S020</x:v>
      </x:c>
      <x:c r="H80" s="11" t="str">
        <x:v>Nhân Dân tiếng Hàn – dẫn chứng trong hồ sơ gốc</x:v>
      </x:c>
      <x:c r="I80" s="30" t="str">
        <x:v>https://kr.nhandan.vn/article-post3123.html</x:v>
      </x:c>
      <x:c r="J80" s="11" t="str">
        <x:v>Chứng cứ biểu thức trong corpus; không tự là định nghĩa từ điển hoặc xác nhận mọi nét nghĩa.</x:v>
      </x:c>
      <x:c r="K80" s="11" t="str">
        <x:v>2026-10-28</x:v>
      </x:c>
    </x:row>
    <x:row r="81" ht="72" customHeight="1">
      <x:c r="A81" s="11" t="str">
        <x:v>T184</x:v>
      </x:c>
      <x:c r="B81" s="11" t="str">
        <x:v>VI</x:v>
      </x:c>
      <x:c r="C81" s="11" t="str">
        <x:v>Thứ trưởng Thứ nhất Bộ Ngoại giao</x:v>
      </x:c>
      <x:c r="D81" s="11" t="str">
        <x:v>CẦN TRA — chưa xác minh mục từ</x:v>
      </x:c>
      <x:c r="E81" s="11" t="str">
        <x:v>* Nghĩa làm việc; cần nguồn định nghĩa</x:v>
      </x:c>
      <x:c r="F81" s="11" t="str">
        <x:v>VI</x:v>
      </x:c>
      <x:c r="G81" s="11" t="str">
        <x:v>S042</x:v>
      </x:c>
      <x:c r="H81" s="11" t="str">
        <x:v>Đối thoại Chiến lược về ngoại giao, an ninh, quốc phòng cấp Thứ trưởng ngoại giao Việt Nam-Hàn Quốc lần thứ 5</x:v>
      </x:c>
      <x:c r="I81" s="30" t="str">
        <x:v>https://baoquocte.vn/doi-thoai-chien-luoc-ve-ngoai-giao-an-ninh-quoc-phong-cap-thu-truong-ngoai-giao-viet-nam-han-quoc-lan-thu-5-248318.html</x:v>
      </x:c>
      <x:c r="J81" s="11" t="str">
        <x:v>Chưa xác minh định nghĩa độc lập của nguyên biểu thức/nghĩa chọn trong ngôn ngữ này. Đối chiếu trong hồ sơ cũ; Báo Thế giới và Việt Nam; footer xác định cơ quan báo chí của Bộ Ngoại giao. Dùng chức danh, không suy tên người đương nhiệm từ bản tin lịch sử.</x:v>
      </x:c>
      <x:c r="K81" s="11" t="str">
        <x:v>2026-10-28</x:v>
      </x:c>
    </x:row>
    <x:row r="82" ht="72" customHeight="1">
      <x:c r="A82" s="11" t="str">
        <x:v>T184</x:v>
      </x:c>
      <x:c r="B82" s="11" t="str">
        <x:v>KO</x:v>
      </x:c>
      <x:c r="C82" s="11" t="str">
        <x:v>외교부 제1차관</x:v>
      </x:c>
      <x:c r="D82" s="11" t="str">
        <x:v>CẦN TRA — chưa xác minh mục từ</x:v>
      </x:c>
      <x:c r="E82" s="11" t="str">
        <x:v>* Nghĩa làm việc; cần nguồn định nghĩa</x:v>
      </x:c>
      <x:c r="F82" s="11" t="str">
        <x:v>VI</x:v>
      </x:c>
      <x:c r="G82" s="11" t="str">
        <x:v>S042</x:v>
      </x:c>
      <x:c r="H82" s="11" t="str">
        <x:v>Đối thoại Chiến lược về ngoại giao, an ninh, quốc phòng cấp Thứ trưởng ngoại giao Việt Nam-Hàn Quốc lần thứ 5</x:v>
      </x:c>
      <x:c r="I82" s="30" t="str">
        <x:v>https://baoquocte.vn/doi-thoai-chien-luoc-ve-ngoai-giao-an-ninh-quoc-phong-cap-thu-truong-ngoai-giao-viet-nam-han-quoc-lan-thu-5-248318.html</x:v>
      </x:c>
      <x:c r="J82" s="11" t="str">
        <x:v>Chưa xác minh định nghĩa độc lập của nguyên biểu thức/nghĩa chọn trong ngôn ngữ này. Đối chiếu trong hồ sơ cũ; Báo Thế giới và Việt Nam; footer xác định cơ quan báo chí của Bộ Ngoại giao. Dùng chức danh, không suy tên người đương nhiệm từ bản tin lịch sử.</x:v>
      </x:c>
      <x:c r="K82" s="11" t="str">
        <x:v>2026-10-28</x:v>
      </x:c>
    </x:row>
    <x:row r="83" ht="57" customHeight="1">
      <x:c r="A83" s="11" t="str">
        <x:v>T184</x:v>
      </x:c>
      <x:c r="B83" s="11" t="str">
        <x:v>Bổ sung</x:v>
      </x:c>
      <x:c r="C83" s="11" t="str">
        <x:v>Thứ trưởng Thứ nhất Bộ Ngoại giao / 외교부 제1차관</x:v>
      </x:c>
      <x:c r="D83" s="11" t="str">
        <x:v>Xem dòng VI/KO</x:v>
      </x:c>
      <x:c r="E83" s="11" t="str">
        <x:v>Chứng cứ cách dùng trong ngữ liệu</x:v>
      </x:c>
      <x:c r="F83" s="11" t="str">
        <x:v>KO</x:v>
      </x:c>
      <x:c r="G83" s="11" t="str">
        <x:v>S007</x:v>
      </x:c>
      <x:c r="H83" s="11" t="str">
        <x:v>Nhân Dân tiếng Hàn – dẫn chứng trong hồ sơ gốc</x:v>
      </x:c>
      <x:c r="I83" s="30" t="str">
        <x:v>https://kr.nhandan.vn/article-post4752.html</x:v>
      </x:c>
      <x:c r="J83" s="11" t="str">
        <x:v>Chứng cứ biểu thức trong corpus; không tự là định nghĩa từ điển hoặc xác nhận mọi nét nghĩa.</x:v>
      </x:c>
      <x:c r="K83" s="11" t="str">
        <x:v>2026-10-28</x:v>
      </x:c>
    </x:row>
    <x:row r="84" ht="57" customHeight="1">
      <x:c r="A84" s="11" t="str">
        <x:v>T185</x:v>
      </x:c>
      <x:c r="B84" s="11" t="str">
        <x:v>VI</x:v>
      </x:c>
      <x:c r="C84" s="11" t="str">
        <x:v>Thứ trưởng Thường trực Bộ Ngoại giao</x:v>
      </x:c>
      <x:c r="D84" s="11" t="str">
        <x:v>CẦN TRA — chưa xác minh mục từ</x:v>
      </x:c>
      <x:c r="E84" s="11" t="str">
        <x:v>* Nghĩa làm việc; cần nguồn định nghĩa</x:v>
      </x:c>
      <x:c r="F84" s="11" t="str">
        <x:v>VI</x:v>
      </x:c>
      <x:c r="G84" s="11" t="str">
        <x:v>S043</x:v>
      </x:c>
      <x:c r="H84" s="11" t="str">
        <x:v>Ủy viên Ban Chấp hành Trung ương Đảng, Thứ trưởng Thường trực Bộ Ngoại giao Nguyễn Minh Vũ chủ trì Hội nghị tổng kết việc thi hành Pháp lệnh về hàm, cấp ngoại giao</x:v>
      </x:c>
      <x:c r="I84" s="30" t="str">
        <x:v>https://web.mofa.gov.vn/vi/web/guest/tin-chi-tiet/chi-tiet/uy-vien-ban-chap-hanh-trung-uong-dang-thu-truong-thuong-truc-bo-ngoai-giao-nguyen-minh-vu-chu-tri-hoi-nghi-tong-ket-viec-thi-hanh-phap-lenh-ve-ham-cap-ngoai-giao-62063-140.html</x:v>
      </x:c>
      <x:c r="J84" s="11" t="str">
        <x:v>Chưa xác minh định nghĩa độc lập của nguyên biểu thức/nghĩa chọn trong ngôn ngữ này. Đối chiếu trong hồ sơ cũ; Bản tin Bộ Ngoại giao 15/9/2026; chức danh đầy đủ ở tiêu đề và đoạn mở đầu.</x:v>
      </x:c>
      <x:c r="K84" s="11" t="str">
        <x:v>2026-10-28</x:v>
      </x:c>
    </x:row>
    <x:row r="85" ht="57" customHeight="1">
      <x:c r="A85" s="11" t="str">
        <x:v>T185</x:v>
      </x:c>
      <x:c r="B85" s="11" t="str">
        <x:v>KO</x:v>
      </x:c>
      <x:c r="C85" s="11" t="str">
        <x:v>외교부 상임차관</x:v>
      </x:c>
      <x:c r="D85" s="11" t="str">
        <x:v>CẦN TRA — chưa xác minh mục từ</x:v>
      </x:c>
      <x:c r="E85" s="11" t="str">
        <x:v>* Nghĩa làm việc; cần nguồn định nghĩa</x:v>
      </x:c>
      <x:c r="F85" s="11" t="str">
        <x:v>VI</x:v>
      </x:c>
      <x:c r="G85" s="11" t="str">
        <x:v>S043</x:v>
      </x:c>
      <x:c r="H85" s="11" t="str">
        <x:v>Ủy viên Ban Chấp hành Trung ương Đảng, Thứ trưởng Thường trực Bộ Ngoại giao Nguyễn Minh Vũ chủ trì Hội nghị tổng kết việc thi hành Pháp lệnh về hàm, cấp ngoại giao</x:v>
      </x:c>
      <x:c r="I85" s="30" t="str">
        <x:v>https://web.mofa.gov.vn/vi/web/guest/tin-chi-tiet/chi-tiet/uy-vien-ban-chap-hanh-trung-uong-dang-thu-truong-thuong-truc-bo-ngoai-giao-nguyen-minh-vu-chu-tri-hoi-nghi-tong-ket-viec-thi-hanh-phap-lenh-ve-ham-cap-ngoai-giao-62063-140.html</x:v>
      </x:c>
      <x:c r="J85" s="11" t="str">
        <x:v>Chưa xác minh định nghĩa độc lập của nguyên biểu thức/nghĩa chọn trong ngôn ngữ này. Đối chiếu trong hồ sơ cũ; Bản tin Bộ Ngoại giao 15/9/2026; chức danh đầy đủ ở tiêu đề và đoạn mở đầu.</x:v>
      </x:c>
      <x:c r="K85" s="11" t="str">
        <x:v>2026-10-28</x:v>
      </x:c>
    </x:row>
    <x:row r="86" ht="57" customHeight="1">
      <x:c r="A86" s="11" t="str">
        <x:v>T185</x:v>
      </x:c>
      <x:c r="B86" s="11" t="str">
        <x:v>Bổ sung</x:v>
      </x:c>
      <x:c r="C86" s="11" t="str">
        <x:v>Thứ trưởng Thường trực Bộ Ngoại giao / 외교부 상임차관</x:v>
      </x:c>
      <x:c r="D86" s="11" t="str">
        <x:v>Xem dòng VI/KO</x:v>
      </x:c>
      <x:c r="E86" s="11" t="str">
        <x:v>Chứng cứ cách dùng trong ngữ liệu</x:v>
      </x:c>
      <x:c r="F86" s="11" t="str">
        <x:v>KO</x:v>
      </x:c>
      <x:c r="G86" s="11" t="str">
        <x:v>S007</x:v>
      </x:c>
      <x:c r="H86" s="11" t="str">
        <x:v>Nhân Dân tiếng Hàn – dẫn chứng trong hồ sơ gốc</x:v>
      </x:c>
      <x:c r="I86" s="30" t="str">
        <x:v>https://kr.nhandan.vn/article-post4752.html</x:v>
      </x:c>
      <x:c r="J86" s="11" t="str">
        <x:v>Chứng cứ biểu thức trong corpus; không tự là định nghĩa từ điển hoặc xác nhận mọi nét nghĩa.</x:v>
      </x:c>
      <x:c r="K86" s="11" t="str">
        <x:v>2026-10-28</x:v>
      </x:c>
    </x:row>
    <x:row r="87" ht="57" customHeight="1">
      <x:c r="A87" s="11" t="str">
        <x:v>T086</x:v>
      </x:c>
      <x:c r="B87" s="11" t="str">
        <x:v>VI</x:v>
      </x:c>
      <x:c r="C87" s="11" t="str">
        <x:v>Thường trực Ban Bí thư</x:v>
      </x:c>
      <x:c r="D87" s="11" t="str">
        <x:v>CẦN TRA — chưa xác minh mục từ</x:v>
      </x:c>
      <x:c r="E87" s="11" t="str">
        <x:v>* Nghĩa làm việc; cần nguồn định nghĩa</x:v>
      </x:c>
      <x:c r="F87" s="11" t="str">
        <x:v>VI</x:v>
      </x:c>
      <x:c r="G87" s="11" t="str">
        <x:v>S001</x:v>
      </x:c>
      <x:c r="H87" s="11" t="str">
        <x:v>Danh sách Ban Bí thư Trung ương Đảng Cộng sản Việt Nam khóa XIV</x:v>
      </x:c>
      <x:c r="I87" s="30" t="str">
        <x:v>https://xaydungchinhsach.chinhphu.vn/danh-sach-ban-bi-thu-trung-uong-dang-cong-san-viet-nam-khoa-xiv-119260130145320517.htm</x:v>
      </x:c>
      <x:c r="J87"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87" s="11" t="str">
        <x:v>2026-10-28</x:v>
      </x:c>
    </x:row>
    <x:row r="88" ht="57" customHeight="1">
      <x:c r="A88" s="11" t="str">
        <x:v>T086</x:v>
      </x:c>
      <x:c r="B88" s="11" t="str">
        <x:v>KO</x:v>
      </x:c>
      <x:c r="C88" s="11" t="str">
        <x:v>베트남 공산당 중앙위원회 서기국 상임위원</x:v>
      </x:c>
      <x:c r="D88" s="11" t="str">
        <x:v>CẦN TRA — chưa xác minh mục từ</x:v>
      </x:c>
      <x:c r="E88" s="11" t="str">
        <x:v>* Nghĩa làm việc; cần nguồn định nghĩa</x:v>
      </x:c>
      <x:c r="F88" s="11" t="str">
        <x:v>VI</x:v>
      </x:c>
      <x:c r="G88" s="11" t="str">
        <x:v>S001</x:v>
      </x:c>
      <x:c r="H88" s="11" t="str">
        <x:v>Danh sách Ban Bí thư Trung ương Đảng Cộng sản Việt Nam khóa XIV</x:v>
      </x:c>
      <x:c r="I88" s="30" t="str">
        <x:v>https://xaydungchinhsach.chinhphu.vn/danh-sach-ban-bi-thu-trung-uong-dang-cong-san-viet-nam-khoa-xiv-119260130145320517.htm</x:v>
      </x:c>
      <x:c r="J88"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88" s="11" t="str">
        <x:v>2026-10-28</x:v>
      </x:c>
    </x:row>
    <x:row r="89" ht="57" customHeight="1">
      <x:c r="A89" s="11" t="str">
        <x:v>T086</x:v>
      </x:c>
      <x:c r="B89" s="11" t="str">
        <x:v>Bổ sung</x:v>
      </x:c>
      <x:c r="C89" s="11" t="str">
        <x:v>Thường trực Ban Bí thư / 베트남 공산당 중앙위원회 서기국 상임위원</x:v>
      </x:c>
      <x:c r="D89" s="11" t="str">
        <x:v>Xem dòng VI/KO</x:v>
      </x:c>
      <x:c r="E89" s="11" t="str">
        <x:v>Chứng cứ cách dùng trong ngữ liệu</x:v>
      </x:c>
      <x:c r="F89" s="11" t="str">
        <x:v>KO</x:v>
      </x:c>
      <x:c r="G89" s="11" t="str">
        <x:v>S044</x:v>
      </x:c>
      <x:c r="H89" s="11" t="str">
        <x:v>Nhân Dân tiếng Hàn – dẫn chứng trong hồ sơ gốc</x:v>
      </x:c>
      <x:c r="I89" s="30" t="str">
        <x:v>https://kr.nhandan.vn/article-post4951.html</x:v>
      </x:c>
      <x:c r="J89" s="11" t="str">
        <x:v>Chứng cứ biểu thức trong corpus; không tự là định nghĩa từ điển hoặc xác nhận mọi nét nghĩa.</x:v>
      </x:c>
      <x:c r="K89" s="11" t="str">
        <x:v>2026-10-28</x:v>
      </x:c>
    </x:row>
    <x:row r="90" ht="57" customHeight="1">
      <x:c r="A90" s="11" t="str">
        <x:v>T075</x:v>
      </x:c>
      <x:c r="B90" s="11" t="str">
        <x:v>VI</x:v>
      </x:c>
      <x:c r="C90" s="11" t="str">
        <x:v>Tổng Bí thư</x:v>
      </x:c>
      <x:c r="D90" s="11" t="str">
        <x:v>CẦN TRA — chưa xác minh mục từ</x:v>
      </x:c>
      <x:c r="E90" s="11" t="str">
        <x:v>* Mô tả chính thức</x:v>
      </x:c>
      <x:c r="F90" s="11" t="str">
        <x:v>VI</x:v>
      </x:c>
      <x:c r="G90" s="11" t="str">
        <x:v>S021</x:v>
      </x:c>
      <x:c r="H90" s="11" t="str">
        <x:v>Điều lệ Đảng (do Đại hội đại biểu toàn quốc lần thứ XI của Đảng thông qua)</x:v>
      </x:c>
      <x:c r="I90" s="30" t="str">
        <x:v>https://tulieuvankien.dangcongsan.vn/ban-chap-hanh-trung-uong-dang/dai-hoi-dang/lan-thu-xi/dieu-le-dang-do-dai-hoi-dai-bieu-toan-quoc-lan-thu-xi-cua-dang-thong-qua-1472</x:v>
      </x:c>
      <x:c r="J90" s="11" t="str">
        <x:v>Chưa xác minh định nghĩa độc lập của nguyên biểu thức/nghĩa chọn trong ngôn ngữ này. Đối chiếu trong hồ sơ cũ;</x:v>
      </x:c>
      <x:c r="K90" s="11" t="str">
        <x:v>2026-10-28</x:v>
      </x:c>
    </x:row>
    <x:row r="91" ht="57" customHeight="1">
      <x:c r="A91" s="11" t="str">
        <x:v>T075</x:v>
      </x:c>
      <x:c r="B91" s="11" t="str">
        <x:v>KO</x:v>
      </x:c>
      <x:c r="C91" s="11" t="str">
        <x:v>서기장</x:v>
      </x:c>
      <x:c r="D91" s="11" t="str">
        <x:v>Có mục từ và đã đọc nghĩa</x:v>
      </x:c>
      <x:c r="E91" s="11" t="str">
        <x:v>Mục từ có nghĩa [KO]</x:v>
      </x:c>
      <x:c r="F91" s="11" t="str">
        <x:v>KO</x:v>
      </x:c>
      <x:c r="G91" s="11" t="str">
        <x:v>S045</x:v>
      </x:c>
      <x:c r="H91" s="11" t="str">
        <x:v>한영 북한인권용어집 (2016), mục 316 서기장; 국가인권위원회</x:v>
      </x:c>
      <x:c r="I91" s="30" t="str">
        <x:v>https://www.humanrights.go.kr/template/resources/file/2016%20%ED%95%9C%EC%98%81%20%EB%B6%81%ED%95%9C%EC%9D%B8%EA%B6%8C%EC%9A%A9%EC%96%B4%EC%A7%91.pdf</x:v>
      </x:c>
      <x:c r="J91" s="11" t="str">
        <x:v>Đã đọc nguồn giải nghĩa bằng ngôn ngữ này; vẫn đối chiếu nghĩa chọn và ghi chú.</x:v>
      </x:c>
      <x:c r="K91" s="11" t="str">
        <x:v>2026-10-28</x:v>
      </x:c>
    </x:row>
    <x:row r="92" ht="57" customHeight="1">
      <x:c r="A92" s="11" t="str">
        <x:v>T075</x:v>
      </x:c>
      <x:c r="B92" s="11" t="str">
        <x:v>Bổ sung</x:v>
      </x:c>
      <x:c r="C92" s="11" t="str">
        <x:v>Tổng Bí thư / 서기장</x:v>
      </x:c>
      <x:c r="D92" s="11" t="str">
        <x:v>Xem dòng VI/KO</x:v>
      </x:c>
      <x:c r="E92" s="11" t="str">
        <x:v>Chứng cứ cách dùng trong ngữ liệu</x:v>
      </x:c>
      <x:c r="F92" s="11" t="str">
        <x:v>KO</x:v>
      </x:c>
      <x:c r="G92" s="11" t="str">
        <x:v>S046</x:v>
      </x:c>
      <x:c r="H92" s="11" t="str">
        <x:v>Nhân Dân tiếng Hàn – dẫn chứng trong hồ sơ gốc</x:v>
      </x:c>
      <x:c r="I92" s="30" t="str">
        <x:v>https://kr.nhandan.vn/article-post3733.html</x:v>
      </x:c>
      <x:c r="J92" s="11" t="str">
        <x:v>Chứng cứ biểu thức trong corpus; không tự là định nghĩa từ điển hoặc xác nhận mọi nét nghĩa.</x:v>
      </x:c>
      <x:c r="K92" s="11" t="str">
        <x:v>2026-10-28</x:v>
      </x:c>
    </x:row>
    <x:row r="93" ht="57" customHeight="1">
      <x:c r="A93" s="11" t="str">
        <x:v>T084</x:v>
      </x:c>
      <x:c r="B93" s="11" t="str">
        <x:v>VI</x:v>
      </x:c>
      <x:c r="C93" s="11" t="str">
        <x:v>Tổng thống</x:v>
      </x:c>
      <x:c r="D93" s="11" t="str">
        <x:v>CẦN TRA — chưa xác minh mục từ</x:v>
      </x:c>
      <x:c r="E93" s="11" t="str">
        <x:v>* Mô tả chính thức</x:v>
      </x:c>
      <x:c r="F93" s="11" t="str">
        <x:v>VI</x:v>
      </x:c>
      <x:c r="G93" s="11" t="str">
        <x:v>S047</x:v>
      </x:c>
      <x:c r="H93" s="11" t="str">
        <x:v>Tổng Bí thư, Chủ tịch nước Tô Lâm hội đàm với Tổng thống Hàn Quốc Lee Jae Myung</x:v>
      </x:c>
      <x:c r="I93" s="30" t="str">
        <x:v>https://baochinhphu.vn/tong-bi-thu-chu-tich-nuoc-to-lam-hoi-dam-voi-tong-thong-han-quoc-lee-jae-myung-102260422203007294.htm</x:v>
      </x:c>
      <x:c r="J93" s="11" t="str">
        <x:v>Chưa xác minh định nghĩa độc lập của nguyên biểu thức/nghĩa chọn trong ngôn ngữ này. Đối chiếu trong hồ sơ cũ; Ngày 22/4/2026; chỉ chứng minh cách gọi chính thức trong tiếng Việt, không mặc nhiên xác nhận mọi cặp dịch KO trong corpus.</x:v>
      </x:c>
      <x:c r="K93" s="11" t="str">
        <x:v>2026-10-28</x:v>
      </x:c>
    </x:row>
    <x:row r="94" ht="57" customHeight="1">
      <x:c r="A94" s="11" t="str">
        <x:v>T084</x:v>
      </x:c>
      <x:c r="B94" s="11" t="str">
        <x:v>KO</x:v>
      </x:c>
      <x:c r="C94" s="11" t="str">
        <x:v>대통령</x:v>
      </x:c>
      <x:c r="D94" s="11" t="str">
        <x:v>Có mục từ và đã đọc nghĩa</x:v>
      </x:c>
      <x:c r="E94" s="11" t="str">
        <x:v>Mục từ có nghĩa [KO]</x:v>
      </x:c>
      <x:c r="F94" s="11" t="str">
        <x:v>KO</x:v>
      </x:c>
      <x:c r="G94" s="11" t="str">
        <x:v>S048</x:v>
      </x:c>
      <x:c r="H94" s="11" t="str">
        <x:v>한국어기초사전 – 대통령; 국립국어원</x:v>
      </x:c>
      <x:c r="I94" s="30" t="str">
        <x:v>https://krdict.korean.go.kr/eng/dicSearch/SearchView?ParaWordNo=55485</x:v>
      </x:c>
      <x:c r="J94" s="11" t="str">
        <x:v>Đã đọc nguồn giải nghĩa bằng ngôn ngữ này; vẫn đối chiếu nghĩa chọn và ghi chú.</x:v>
      </x:c>
      <x:c r="K94" s="11" t="str">
        <x:v>2026-10-28</x:v>
      </x:c>
    </x:row>
    <x:row r="95" ht="57" customHeight="1">
      <x:c r="A95" s="11" t="str">
        <x:v>T084</x:v>
      </x:c>
      <x:c r="B95" s="11" t="str">
        <x:v>Bổ sung</x:v>
      </x:c>
      <x:c r="C95" s="11" t="str">
        <x:v>Tổng thống / 대통령</x:v>
      </x:c>
      <x:c r="D95" s="11" t="str">
        <x:v>Xem dòng VI/KO</x:v>
      </x:c>
      <x:c r="E95" s="11" t="str">
        <x:v>Chứng cứ cách dùng trong ngữ liệu</x:v>
      </x:c>
      <x:c r="F95" s="11" t="str">
        <x:v>KO</x:v>
      </x:c>
      <x:c r="G95" s="11" t="str">
        <x:v>S046</x:v>
      </x:c>
      <x:c r="H95" s="11" t="str">
        <x:v>Nhân Dân tiếng Hàn – dẫn chứng trong hồ sơ gốc</x:v>
      </x:c>
      <x:c r="I95" s="30" t="str">
        <x:v>https://kr.nhandan.vn/article-post3733.html</x:v>
      </x:c>
      <x:c r="J95" s="11" t="str">
        <x:v>Chứng cứ biểu thức trong corpus; không tự là định nghĩa từ điển hoặc xác nhận mọi nét nghĩa.</x:v>
      </x:c>
      <x:c r="K95" s="11" t="str">
        <x:v>2026-10-28</x:v>
      </x:c>
    </x:row>
    <x:row r="96" ht="57" customHeight="1">
      <x:c r="A96" s="11" t="str">
        <x:v>T091</x:v>
      </x:c>
      <x:c r="B96" s="11" t="str">
        <x:v>VI</x:v>
      </x:c>
      <x:c r="C96" s="11" t="str">
        <x:v>Tổng Thư ký</x:v>
      </x:c>
      <x:c r="D96" s="11" t="str">
        <x:v>CẦN TRA — chưa xác minh mục từ</x:v>
      </x:c>
      <x:c r="E96" s="11" t="str">
        <x:v>* Nghĩa làm việc; cần nguồn định nghĩa</x:v>
      </x:c>
      <x:c r="F96" s="11" t="str">
        <x:v>VI</x:v>
      </x:c>
      <x:c r="G96" s="11" t="str">
        <x:v>S049</x:v>
      </x:c>
      <x:c r="H96" s="11" t="str">
        <x:v>Thủ tướng Phạm Minh Chính gặp lãnh đạo các nước và Tổng Thư ký Liên Hợp Quốc</x:v>
      </x:c>
      <x:c r="I96" s="30" t="str">
        <x:v>https://baochinhphu.vn/thu-tuong-pham-minh-chinh-gap-lanh-dao-cac-nuoc-va-tong-thu-ky-lien-hop-quoc-102241024210844823.htm</x:v>
      </x:c>
      <x:c r="J96" s="11" t="str">
        <x:v>Chưa xác minh định nghĩa độc lập của nguyên biểu thức/nghĩa chọn trong ngôn ngữ này. Đối chiếu trong hồ sơ cũ;</x:v>
      </x:c>
      <x:c r="K96" s="11" t="str">
        <x:v>2026-10-28</x:v>
      </x:c>
    </x:row>
    <x:row r="97" ht="57" customHeight="1">
      <x:c r="A97" s="11" t="str">
        <x:v>T091</x:v>
      </x:c>
      <x:c r="B97" s="11" t="str">
        <x:v>KO</x:v>
      </x:c>
      <x:c r="C97" s="11" t="str">
        <x:v>사무총장</x:v>
      </x:c>
      <x:c r="D97" s="11" t="str">
        <x:v>CẦN TRA — chưa xác minh mục từ</x:v>
      </x:c>
      <x:c r="E97" s="11" t="str">
        <x:v>* Nghĩa làm việc; cần nguồn định nghĩa</x:v>
      </x:c>
      <x:c r="F97" s="11" t="str">
        <x:v>VI</x:v>
      </x:c>
      <x:c r="G97" s="11" t="str">
        <x:v>S049</x:v>
      </x:c>
      <x:c r="H97" s="11" t="str">
        <x:v>Thủ tướng Phạm Minh Chính gặp lãnh đạo các nước và Tổng Thư ký Liên Hợp Quốc</x:v>
      </x:c>
      <x:c r="I97" s="30" t="str">
        <x:v>https://baochinhphu.vn/thu-tuong-pham-minh-chinh-gap-lanh-dao-cac-nuoc-va-tong-thu-ky-lien-hop-quoc-102241024210844823.htm</x:v>
      </x:c>
      <x:c r="J97" s="11" t="str">
        <x:v>Chưa xác minh định nghĩa độc lập của nguyên biểu thức/nghĩa chọn trong ngôn ngữ này. Đối chiếu trong hồ sơ cũ;</x:v>
      </x:c>
      <x:c r="K97" s="11" t="str">
        <x:v>2026-10-28</x:v>
      </x:c>
    </x:row>
    <x:row r="98" ht="57" customHeight="1">
      <x:c r="A98" s="11" t="str">
        <x:v>T091</x:v>
      </x:c>
      <x:c r="B98" s="11" t="str">
        <x:v>Bổ sung</x:v>
      </x:c>
      <x:c r="C98" s="11" t="str">
        <x:v>Tổng Thư ký / 사무총장</x:v>
      </x:c>
      <x:c r="D98" s="11" t="str">
        <x:v>Xem dòng VI/KO</x:v>
      </x:c>
      <x:c r="E98" s="11" t="str">
        <x:v>Chứng cứ cách dùng trong ngữ liệu</x:v>
      </x:c>
      <x:c r="F98" s="11" t="str">
        <x:v>KO</x:v>
      </x:c>
      <x:c r="G98" s="11" t="str">
        <x:v>S050</x:v>
      </x:c>
      <x:c r="H98" s="11" t="str">
        <x:v>Nhân Dân tiếng Hàn – dẫn chứng trong hồ sơ gốc</x:v>
      </x:c>
      <x:c r="I98" s="30" t="str">
        <x:v>https://kr.nhandan.vn/article-post3157.html</x:v>
      </x:c>
      <x:c r="J98" s="11" t="str">
        <x:v>Chứng cứ biểu thức trong corpus; không tự là định nghĩa từ điển hoặc xác nhận mọi nét nghĩa.</x:v>
      </x:c>
      <x:c r="K98" s="11" t="str">
        <x:v>2026-10-28</x:v>
      </x:c>
    </x:row>
    <x:row r="99" ht="57" customHeight="1">
      <x:c r="A99" s="11" t="str">
        <x:v>T080</x:v>
      </x:c>
      <x:c r="B99" s="11" t="str">
        <x:v>VI</x:v>
      </x:c>
      <x:c r="C99" s="11" t="str">
        <x:v>Ủy viên Bộ Chính trị</x:v>
      </x:c>
      <x:c r="D99" s="11" t="str">
        <x:v>CẦN TRA — chưa xác minh mục từ</x:v>
      </x:c>
      <x:c r="E99" s="11" t="str">
        <x:v>* Mô tả chính thức</x:v>
      </x:c>
      <x:c r="F99" s="11" t="str">
        <x:v>VI</x:v>
      </x:c>
      <x:c r="G99" s="11" t="str">
        <x:v>S021</x:v>
      </x:c>
      <x:c r="H99" s="11" t="str">
        <x:v>Điều lệ Đảng (do Đại hội đại biểu toàn quốc lần thứ XI của Đảng thông qua)</x:v>
      </x:c>
      <x:c r="I99" s="30" t="str">
        <x:v>https://tulieuvankien.dangcongsan.vn/ban-chap-hanh-trung-uong-dang/dai-hoi-dang/lan-thu-xi/dieu-le-dang-do-dai-hoi-dai-bieu-toan-quoc-lan-thu-xi-cua-dang-thong-qua-1472</x:v>
      </x:c>
      <x:c r="J99" s="11" t="str">
        <x:v>Chưa xác minh định nghĩa độc lập của nguyên biểu thức/nghĩa chọn trong ngôn ngữ này. Đối chiếu trong hồ sơ cũ;</x:v>
      </x:c>
      <x:c r="K99" s="11" t="str">
        <x:v>2026-10-28</x:v>
      </x:c>
    </x:row>
    <x:row r="100" ht="57" customHeight="1">
      <x:c r="A100" s="11" t="str">
        <x:v>T080</x:v>
      </x:c>
      <x:c r="B100" s="11" t="str">
        <x:v>KO</x:v>
      </x:c>
      <x:c r="C100" s="11" t="str">
        <x:v>중앙정치국 위원</x:v>
      </x:c>
      <x:c r="D100" s="11" t="str">
        <x:v>CẦN TRA — chưa xác minh mục từ</x:v>
      </x:c>
      <x:c r="E100" s="11" t="str">
        <x:v>* Diễn giải mô tả VI</x:v>
      </x:c>
      <x:c r="F100" s="11" t="str">
        <x:v>VI</x:v>
      </x:c>
      <x:c r="G100" s="11" t="str">
        <x:v>S021</x:v>
      </x:c>
      <x:c r="H100" s="11" t="str">
        <x:v>Điều lệ Đảng (do Đại hội đại biểu toàn quốc lần thứ XI của Đảng thông qua)</x:v>
      </x:c>
      <x:c r="I100" s="30" t="str">
        <x:v>https://tulieuvankien.dangcongsan.vn/ban-chap-hanh-trung-uong-dang/dai-hoi-dang/lan-thu-xi/dieu-le-dang-do-dai-hoi-dai-bieu-toan-quoc-lan-thu-xi-cua-dang-thong-qua-1472</x:v>
      </x:c>
      <x:c r="J100" s="11" t="str">
        <x:v>Chưa xác minh định nghĩa độc lập của nguyên biểu thức/nghĩa chọn trong ngôn ngữ này. Đối chiếu trong hồ sơ cũ;</x:v>
      </x:c>
      <x:c r="K100" s="11" t="str">
        <x:v>2026-10-28</x:v>
      </x:c>
    </x:row>
    <x:row r="101" ht="57" customHeight="1">
      <x:c r="A101" s="11" t="str">
        <x:v>T080</x:v>
      </x:c>
      <x:c r="B101" s="11" t="str">
        <x:v>Bổ sung</x:v>
      </x:c>
      <x:c r="C101" s="11" t="str">
        <x:v>Ủy viên Bộ Chính trị / 중앙정치국 위원</x:v>
      </x:c>
      <x:c r="D101" s="11" t="str">
        <x:v>Xem dòng VI/KO</x:v>
      </x:c>
      <x:c r="E101" s="11" t="str">
        <x:v>Chứng cứ cách dùng trong ngữ liệu</x:v>
      </x:c>
      <x:c r="F101" s="11" t="str">
        <x:v>KO</x:v>
      </x:c>
      <x:c r="G101" s="11" t="str">
        <x:v>S007</x:v>
      </x:c>
      <x:c r="H101" s="11" t="str">
        <x:v>Nhân Dân tiếng Hàn – dẫn chứng trong hồ sơ gốc</x:v>
      </x:c>
      <x:c r="I101" s="30" t="str">
        <x:v>https://kr.nhandan.vn/article-post4752.html</x:v>
      </x:c>
      <x:c r="J101" s="11" t="str">
        <x:v>Chứng cứ biểu thức trong corpus; không tự là định nghĩa từ điển hoặc xác nhận mọi nét nghĩa.</x:v>
      </x:c>
      <x:c r="K101" s="11" t="str">
        <x:v>2026-10-28</x:v>
      </x:c>
    </x:row>
    <x:row r="102" ht="57" customHeight="1">
      <x:c r="A102" s="11" t="str">
        <x:v>T083</x:v>
      </x:c>
      <x:c r="B102" s="11" t="str">
        <x:v>VI</x:v>
      </x:c>
      <x:c r="C102" s="11" t="str">
        <x:v>Ủy viên Trung ương Đảng</x:v>
      </x:c>
      <x:c r="D102" s="11" t="str">
        <x:v>CẦN TRA — chưa xác minh mục từ</x:v>
      </x:c>
      <x:c r="E102" s="11" t="str">
        <x:v>* Mô tả chính thức</x:v>
      </x:c>
      <x:c r="F102" s="11" t="str">
        <x:v>VI</x:v>
      </x:c>
      <x:c r="G102" s="11" t="str">
        <x:v>S001</x:v>
      </x:c>
      <x:c r="H102" s="11" t="str">
        <x:v>Danh sách Ban Bí thư Trung ương Đảng Cộng sản Việt Nam khóa XIV</x:v>
      </x:c>
      <x:c r="I102" s="30" t="str">
        <x:v>https://xaydungchinhsach.chinhphu.vn/danh-sach-ban-bi-thu-trung-uong-dang-cong-san-viet-nam-khoa-xiv-119260130145320517.htm</x:v>
      </x:c>
      <x:c r="J102"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102" s="11" t="str">
        <x:v>2026-10-28</x:v>
      </x:c>
    </x:row>
    <x:row r="103" ht="57" customHeight="1">
      <x:c r="A103" s="11" t="str">
        <x:v>T083</x:v>
      </x:c>
      <x:c r="B103" s="11" t="str">
        <x:v>KO</x:v>
      </x:c>
      <x:c r="C103" s="11" t="str">
        <x:v>당 중앙위원회 위원</x:v>
      </x:c>
      <x:c r="D103" s="11" t="str">
        <x:v>CẦN TRA — chưa xác minh mục từ</x:v>
      </x:c>
      <x:c r="E103" s="11" t="str">
        <x:v>* Diễn giải mô tả VI</x:v>
      </x:c>
      <x:c r="F103" s="11" t="str">
        <x:v>VI</x:v>
      </x:c>
      <x:c r="G103" s="11" t="str">
        <x:v>S001</x:v>
      </x:c>
      <x:c r="H103" s="11" t="str">
        <x:v>Danh sách Ban Bí thư Trung ương Đảng Cộng sản Việt Nam khóa XIV</x:v>
      </x:c>
      <x:c r="I103" s="30" t="str">
        <x:v>https://xaydungchinhsach.chinhphu.vn/danh-sach-ban-bi-thu-trung-uong-dang-cong-san-viet-nam-khoa-xiv-119260130145320517.htm</x:v>
      </x:c>
      <x:c r="J103"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103" s="11" t="str">
        <x:v>2026-10-28</x:v>
      </x:c>
    </x:row>
    <x:row r="104" ht="57" customHeight="1">
      <x:c r="A104" s="11" t="str">
        <x:v>T083</x:v>
      </x:c>
      <x:c r="B104" s="11" t="str">
        <x:v>Bổ sung</x:v>
      </x:c>
      <x:c r="C104" s="11" t="str">
        <x:v>Ủy viên Trung ương Đảng / 당 중앙위원회 위원</x:v>
      </x:c>
      <x:c r="D104" s="11" t="str">
        <x:v>Xem dòng VI/KO</x:v>
      </x:c>
      <x:c r="E104" s="11" t="str">
        <x:v>Chứng cứ cách dùng trong ngữ liệu</x:v>
      </x:c>
      <x:c r="F104" s="11" t="str">
        <x:v>KO</x:v>
      </x:c>
      <x:c r="G104" s="11" t="str">
        <x:v>S020</x:v>
      </x:c>
      <x:c r="H104" s="11" t="str">
        <x:v>Nhân Dân tiếng Hàn – dẫn chứng trong hồ sơ gốc</x:v>
      </x:c>
      <x:c r="I104" s="30" t="str">
        <x:v>https://kr.nhandan.vn/article-post3123.html</x:v>
      </x:c>
      <x:c r="J104" s="11" t="str">
        <x:v>Chứng cứ biểu thức trong corpus; không tự là định nghĩa từ điển hoặc xác nhận mọi nét nghĩa.</x:v>
      </x:c>
      <x:c r="K104" s="11" t="str">
        <x:v>2026-10-28</x:v>
      </x:c>
    </x:row>
    <x:row r="105" ht="57" customHeight="1">
      <x:c r="A105" s="11" t="str">
        <x:v>CGI003</x:v>
      </x:c>
      <x:c r="B105" s="11" t="str">
        <x:v>VI</x:v>
      </x:c>
      <x:c r="C105" s="11" t="str">
        <x:v>Ban Bí thư</x:v>
      </x:c>
      <x:c r="D105" s="11" t="str">
        <x:v>Tên riêng: có nguồn về đối tượng</x:v>
      </x:c>
      <x:c r="E105" s="11" t="str">
        <x:v>* Mô tả chính thức</x:v>
      </x:c>
      <x:c r="F105" s="11" t="str">
        <x:v>VI</x:v>
      </x:c>
      <x:c r="G105" s="11" t="str">
        <x:v>S021</x:v>
      </x:c>
      <x:c r="H105" s="11" t="str">
        <x:v>Điều lệ Đảng (do Đại hội đại biểu toàn quốc lần thứ XI của Đảng thông qua)</x:v>
      </x:c>
      <x:c r="I105" s="30" t="str">
        <x:v>https://tulieuvankien.dangcongsan.vn/ban-chap-hanh-trung-uong-dang/dai-hoi-dang/lan-thu-xi/dieu-le-dang-do-dai-hoi-dai-bieu-toan-quoc-lan-thu-xi-cua-dang-thong-qua-1472</x:v>
      </x:c>
      <x:c r="J105" s="11" t="str">
        <x:v>Chưa xác minh định nghĩa độc lập của nguyên biểu thức/nghĩa chọn trong ngôn ngữ này. Đối chiếu trong hồ sơ cũ;</x:v>
      </x:c>
      <x:c r="K105" s="11" t="str">
        <x:v>2026-10-28</x:v>
      </x:c>
    </x:row>
    <x:row r="106" ht="57" customHeight="1">
      <x:c r="A106" s="11" t="str">
        <x:v>CGI003</x:v>
      </x:c>
      <x:c r="B106" s="11" t="str">
        <x:v>KO</x:v>
      </x:c>
      <x:c r="C106" s="11" t="str">
        <x:v>서기국</x:v>
      </x:c>
      <x:c r="D106" s="11" t="str">
        <x:v>Tên riêng: có nguồn về đối tượng</x:v>
      </x:c>
      <x:c r="E106" s="11" t="str">
        <x:v>* Diễn giải mô tả VI</x:v>
      </x:c>
      <x:c r="F106" s="11" t="str">
        <x:v>VI</x:v>
      </x:c>
      <x:c r="G106" s="11" t="str">
        <x:v>S021</x:v>
      </x:c>
      <x:c r="H106" s="11" t="str">
        <x:v>Điều lệ Đảng (do Đại hội đại biểu toàn quốc lần thứ XI của Đảng thông qua)</x:v>
      </x:c>
      <x:c r="I106" s="30" t="str">
        <x:v>https://tulieuvankien.dangcongsan.vn/ban-chap-hanh-trung-uong-dang/dai-hoi-dang/lan-thu-xi/dieu-le-dang-do-dai-hoi-dai-bieu-toan-quoc-lan-thu-xi-cua-dang-thong-qua-1472</x:v>
      </x:c>
      <x:c r="J106" s="11" t="str">
        <x:v>Chưa xác minh định nghĩa độc lập của nguyên biểu thức/nghĩa chọn trong ngôn ngữ này. Đối chiếu trong hồ sơ cũ;</x:v>
      </x:c>
      <x:c r="K106" s="11" t="str">
        <x:v>2026-10-28</x:v>
      </x:c>
    </x:row>
    <x:row r="107" ht="57" customHeight="1">
      <x:c r="A107" s="11" t="str">
        <x:v>CGI003</x:v>
      </x:c>
      <x:c r="B107" s="11" t="str">
        <x:v>Bổ sung</x:v>
      </x:c>
      <x:c r="C107" s="11" t="str">
        <x:v>Ban Bí thư / 서기국</x:v>
      </x:c>
      <x:c r="D107" s="11" t="str">
        <x:v>Xem dòng VI/KO</x:v>
      </x:c>
      <x:c r="E107" s="11" t="str">
        <x:v>Chứng cứ cách dùng trong ngữ liệu</x:v>
      </x:c>
      <x:c r="F107" s="11" t="str">
        <x:v>KO</x:v>
      </x:c>
      <x:c r="G107" s="11" t="str">
        <x:v>S051</x:v>
      </x:c>
      <x:c r="H107" s="11" t="str">
        <x:v>Nhân Dân tiếng Hàn – dẫn chứng trong hồ sơ gốc</x:v>
      </x:c>
      <x:c r="I107" s="30" t="str">
        <x:v>https://kr.nhandan.vn/article-post3584.html</x:v>
      </x:c>
      <x:c r="J107" s="11" t="str">
        <x:v>Chứng cứ biểu thức trong corpus; không tự là định nghĩa từ điển hoặc xác nhận mọi nét nghĩa.</x:v>
      </x:c>
      <x:c r="K107" s="11" t="str">
        <x:v>2026-10-28</x:v>
      </x:c>
    </x:row>
    <x:row r="108" ht="57" customHeight="1">
      <x:c r="A108" s="11" t="str">
        <x:v>T113</x:v>
      </x:c>
      <x:c r="B108" s="11" t="str">
        <x:v>VI</x:v>
      </x:c>
      <x:c r="C108" s="11" t="str">
        <x:v>Ban Chấp hành Trung ương Đảng</x:v>
      </x:c>
      <x:c r="D108" s="11" t="str">
        <x:v>Tên riêng: có nguồn về đối tượng</x:v>
      </x:c>
      <x:c r="E108" s="11" t="str">
        <x:v>* Mô tả chính thức</x:v>
      </x:c>
      <x:c r="F108" s="11" t="str">
        <x:v>VI</x:v>
      </x:c>
      <x:c r="G108" s="11" t="str">
        <x:v>S009</x:v>
      </x:c>
      <x:c r="H108" s="11" t="str">
        <x:v>Hệ thống chính trị</x:v>
      </x:c>
      <x:c r="I108" s="30" t="str">
        <x:v>https://vanban.chinhphu.vn/he-thong-chinh-tri-68381</x:v>
      </x:c>
      <x:c r="J108" s="11" t="str">
        <x:v>Chưa xác minh định nghĩa độc lập của nguyên biểu thức/nghĩa chọn trong ngôn ngữ này. Đối chiếu trong hồ sơ cũ; Trang hệ thống chính trị có cập nhật các sửa đổi Hiến pháp năm 2025.</x:v>
      </x:c>
      <x:c r="K108" s="11" t="str">
        <x:v>2026-10-28</x:v>
      </x:c>
    </x:row>
    <x:row r="109" ht="57" customHeight="1">
      <x:c r="A109" s="11" t="str">
        <x:v>T113</x:v>
      </x:c>
      <x:c r="B109" s="11" t="str">
        <x:v>KO</x:v>
      </x:c>
      <x:c r="C109" s="11" t="str">
        <x:v>당 중앙위원회</x:v>
      </x:c>
      <x:c r="D109" s="11" t="str">
        <x:v>Tên riêng: có nguồn về đối tượng</x:v>
      </x:c>
      <x:c r="E109" s="11" t="str">
        <x:v>* Diễn giải mô tả VI</x:v>
      </x:c>
      <x:c r="F109" s="11" t="str">
        <x:v>VI</x:v>
      </x:c>
      <x:c r="G109" s="11" t="str">
        <x:v>S009</x:v>
      </x:c>
      <x:c r="H109" s="11" t="str">
        <x:v>Hệ thống chính trị</x:v>
      </x:c>
      <x:c r="I109" s="30" t="str">
        <x:v>https://vanban.chinhphu.vn/he-thong-chinh-tri-68381</x:v>
      </x:c>
      <x:c r="J109" s="11" t="str">
        <x:v>Chưa xác minh định nghĩa độc lập của nguyên biểu thức/nghĩa chọn trong ngôn ngữ này. Đối chiếu trong hồ sơ cũ; Trang hệ thống chính trị có cập nhật các sửa đổi Hiến pháp năm 2025.</x:v>
      </x:c>
      <x:c r="K109" s="11" t="str">
        <x:v>2026-10-28</x:v>
      </x:c>
    </x:row>
    <x:row r="110" ht="57" customHeight="1">
      <x:c r="A110" s="11" t="str">
        <x:v>T113</x:v>
      </x:c>
      <x:c r="B110" s="11" t="str">
        <x:v>Bổ sung</x:v>
      </x:c>
      <x:c r="C110" s="11" t="str">
        <x:v>Ban Chấp hành Trung ương Đảng / 당 중앙위원회</x:v>
      </x:c>
      <x:c r="D110" s="11" t="str">
        <x:v>Xem dòng VI/KO</x:v>
      </x:c>
      <x:c r="E110" s="11" t="str">
        <x:v>Chứng cứ cách dùng trong ngữ liệu</x:v>
      </x:c>
      <x:c r="F110" s="11" t="str">
        <x:v>KO</x:v>
      </x:c>
      <x:c r="G110" s="11" t="str">
        <x:v>S052</x:v>
      </x:c>
      <x:c r="H110" s="11" t="str">
        <x:v>Nhân Dân tiếng Hàn – dẫn chứng trong hồ sơ gốc</x:v>
      </x:c>
      <x:c r="I110" s="30" t="str">
        <x:v>https://kr.nhandan.vn/article-post5009.html</x:v>
      </x:c>
      <x:c r="J110" s="11" t="str">
        <x:v>Chứng cứ biểu thức trong corpus; không tự là định nghĩa từ điển hoặc xác nhận mọi nét nghĩa.</x:v>
      </x:c>
      <x:c r="K110" s="11" t="str">
        <x:v>2026-10-28</x:v>
      </x:c>
    </x:row>
    <x:row r="111" ht="57" customHeight="1">
      <x:c r="A111" s="11" t="str">
        <x:v>T124</x:v>
      </x:c>
      <x:c r="B111" s="11" t="str">
        <x:v>VI</x:v>
      </x:c>
      <x:c r="C111" s="11" t="str">
        <x:v>Ban Tổ chức Trung ương</x:v>
      </x:c>
      <x:c r="D111" s="11" t="str">
        <x:v>Tên riêng: có nguồn về đối tượng</x:v>
      </x:c>
      <x:c r="E111" s="11" t="str">
        <x:v>* Mô tả chính thức</x:v>
      </x:c>
      <x:c r="F111" s="11" t="str">
        <x:v>VI</x:v>
      </x:c>
      <x:c r="G111" s="11" t="str">
        <x:v>S053</x:v>
      </x:c>
      <x:c r="H111" s="11" t="str">
        <x:v>Bộ Tài chính – thông tin về cơ quan tham mưu, giúp việc của Đảng</x:v>
      </x:c>
      <x:c r="I111" s="30" t="str">
        <x:v>https://www.mof.gov.vn/bo-tai-chinh/dang-bo-bo-tai-chinh/mofucm346466</x:v>
      </x:c>
      <x:c r="J111" s="11" t="str">
        <x:v>Chưa xác minh định nghĩa độc lập của nguyên biểu thức/nghĩa chọn trong ngôn ngữ này. Đề cập Ban Tổ chức Trung ương hướng dẫn, kiểm tra, quản lý tổ chức bộ máy và biên chế.</x:v>
      </x:c>
      <x:c r="K111" s="11" t="str">
        <x:v>2026-10-28</x:v>
      </x:c>
    </x:row>
    <x:row r="112" ht="57" customHeight="1">
      <x:c r="A112" s="11" t="str">
        <x:v>T124</x:v>
      </x:c>
      <x:c r="B112" s="11" t="str">
        <x:v>KO</x:v>
      </x:c>
      <x:c r="C112" s="11" t="str">
        <x:v>중앙조직위원회</x:v>
      </x:c>
      <x:c r="D112" s="11" t="str">
        <x:v>Tên riêng: có nguồn về đối tượng</x:v>
      </x:c>
      <x:c r="E112" s="11" t="str">
        <x:v>* Diễn giải mô tả VI</x:v>
      </x:c>
      <x:c r="F112" s="11" t="str">
        <x:v>VI</x:v>
      </x:c>
      <x:c r="G112" s="11" t="str">
        <x:v>S053</x:v>
      </x:c>
      <x:c r="H112" s="11" t="str">
        <x:v>Bộ Tài chính – thông tin về cơ quan tham mưu, giúp việc của Đảng</x:v>
      </x:c>
      <x:c r="I112" s="30" t="str">
        <x:v>https://www.mof.gov.vn/bo-tai-chinh/dang-bo-bo-tai-chinh/mofucm346466</x:v>
      </x:c>
      <x:c r="J112" s="11" t="str">
        <x:v>Chưa xác minh định nghĩa độc lập của nguyên biểu thức/nghĩa chọn trong ngôn ngữ này. Đề cập Ban Tổ chức Trung ương hướng dẫn, kiểm tra, quản lý tổ chức bộ máy và biên chế.</x:v>
      </x:c>
      <x:c r="K112" s="11" t="str">
        <x:v>2026-10-28</x:v>
      </x:c>
    </x:row>
    <x:row r="113" ht="57" customHeight="1">
      <x:c r="A113" s="11" t="str">
        <x:v>T124</x:v>
      </x:c>
      <x:c r="B113" s="11" t="str">
        <x:v>Bổ sung</x:v>
      </x:c>
      <x:c r="C113" s="11" t="str">
        <x:v>Ban Tổ chức Trung ương / 중앙조직위원회</x:v>
      </x:c>
      <x:c r="D113" s="11" t="str">
        <x:v>Xem dòng VI/KO</x:v>
      </x:c>
      <x:c r="E113" s="11" t="str">
        <x:v>Chứng cứ cách dùng trong ngữ liệu</x:v>
      </x:c>
      <x:c r="F113" s="11" t="str">
        <x:v>KO</x:v>
      </x:c>
      <x:c r="G113" s="11" t="str">
        <x:v>S054</x:v>
      </x:c>
      <x:c r="H113" s="11" t="str">
        <x:v>Nhân Dân tiếng Hàn – dẫn chứng trong hồ sơ gốc</x:v>
      </x:c>
      <x:c r="I113" s="30" t="str">
        <x:v>https://kr.nhandan.vn/article-post4982.html</x:v>
      </x:c>
      <x:c r="J113" s="11" t="str">
        <x:v>Chứng cứ biểu thức trong corpus; không tự là định nghĩa từ điển hoặc xác nhận mọi nét nghĩa.</x:v>
      </x:c>
      <x:c r="K113" s="11" t="str">
        <x:v>2026-10-28</x:v>
      </x:c>
    </x:row>
    <x:row r="114" ht="57" customHeight="1">
      <x:c r="A114" s="11" t="str">
        <x:v>T123</x:v>
      </x:c>
      <x:c r="B114" s="11" t="str">
        <x:v>VI</x:v>
      </x:c>
      <x:c r="C114" s="11" t="str">
        <x:v>Ban Tuyên giáo và Dân vận Trung ương</x:v>
      </x:c>
      <x:c r="D114" s="11" t="str">
        <x:v>Tên riêng: có nguồn về đối tượng</x:v>
      </x:c>
      <x:c r="E114" s="11" t="str">
        <x:v>* Mô tả chính thức</x:v>
      </x:c>
      <x:c r="F114" s="11" t="str">
        <x:v>VI</x:v>
      </x:c>
      <x:c r="G114" s="11" t="str">
        <x:v>S001</x:v>
      </x:c>
      <x:c r="H114" s="11" t="str">
        <x:v>Danh sách Ban Bí thư Trung ương Đảng Cộng sản Việt Nam khóa XIV</x:v>
      </x:c>
      <x:c r="I114" s="30" t="str">
        <x:v>https://xaydungchinhsach.chinhphu.vn/danh-sach-ban-bi-thu-trung-uong-dang-cong-san-viet-nam-khoa-xiv-119260130145320517.htm</x:v>
      </x:c>
      <x:c r="J114"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114" s="11" t="str">
        <x:v>2026-10-28</x:v>
      </x:c>
    </x:row>
    <x:row r="115" ht="57" customHeight="1">
      <x:c r="A115" s="11" t="str">
        <x:v>T123</x:v>
      </x:c>
      <x:c r="B115" s="11" t="str">
        <x:v>KO</x:v>
      </x:c>
      <x:c r="C115" s="11" t="str">
        <x:v>당 중앙위 선전교육대중동원위원회</x:v>
      </x:c>
      <x:c r="D115" s="11" t="str">
        <x:v>Tên riêng: có nguồn về đối tượng</x:v>
      </x:c>
      <x:c r="E115" s="11" t="str">
        <x:v>* Diễn giải mô tả VI</x:v>
      </x:c>
      <x:c r="F115" s="11" t="str">
        <x:v>VI</x:v>
      </x:c>
      <x:c r="G115" s="11" t="str">
        <x:v>S001</x:v>
      </x:c>
      <x:c r="H115" s="11" t="str">
        <x:v>Danh sách Ban Bí thư Trung ương Đảng Cộng sản Việt Nam khóa XIV</x:v>
      </x:c>
      <x:c r="I115" s="30" t="str">
        <x:v>https://xaydungchinhsach.chinhphu.vn/danh-sach-ban-bi-thu-trung-uong-dang-cong-san-viet-nam-khoa-xiv-119260130145320517.htm</x:v>
      </x:c>
      <x:c r="J115"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115" s="11" t="str">
        <x:v>2026-10-28</x:v>
      </x:c>
    </x:row>
    <x:row r="116" ht="57" customHeight="1">
      <x:c r="A116" s="11" t="str">
        <x:v>T123</x:v>
      </x:c>
      <x:c r="B116" s="11" t="str">
        <x:v>Bổ sung</x:v>
      </x:c>
      <x:c r="C116" s="11" t="str">
        <x:v>Ban Tuyên giáo và Dân vận Trung ương / 당 중앙위 선전교육대중동원위원회</x:v>
      </x:c>
      <x:c r="D116" s="11" t="str">
        <x:v>Xem dòng VI/KO</x:v>
      </x:c>
      <x:c r="E116" s="11" t="str">
        <x:v>Chứng cứ cách dùng trong ngữ liệu</x:v>
      </x:c>
      <x:c r="F116" s="11" t="str">
        <x:v>KO</x:v>
      </x:c>
      <x:c r="G116" s="11" t="str">
        <x:v>S020</x:v>
      </x:c>
      <x:c r="H116" s="11" t="str">
        <x:v>Nhân Dân tiếng Hàn – dẫn chứng trong hồ sơ gốc</x:v>
      </x:c>
      <x:c r="I116" s="30" t="str">
        <x:v>https://kr.nhandan.vn/article-post3123.html</x:v>
      </x:c>
      <x:c r="J116" s="11" t="str">
        <x:v>Chứng cứ biểu thức trong corpus; không tự là định nghĩa từ điển hoặc xác nhận mọi nét nghĩa.</x:v>
      </x:c>
      <x:c r="K116" s="11" t="str">
        <x:v>2026-10-28</x:v>
      </x:c>
    </x:row>
    <x:row r="117" ht="57" customHeight="1">
      <x:c r="A117" s="11" t="str">
        <x:v>T123</x:v>
      </x:c>
      <x:c r="B117" s="11" t="str">
        <x:v>Bổ sung</x:v>
      </x:c>
      <x:c r="C117" s="11" t="str">
        <x:v>Ban Tuyên giáo và Dân vận Trung ương / 당 중앙위 선전교육대중동원위원회</x:v>
      </x:c>
      <x:c r="D117" s="11" t="str">
        <x:v>Xem dòng VI/KO</x:v>
      </x:c>
      <x:c r="E117" s="11" t="str">
        <x:v>Mô tả chính thức</x:v>
      </x:c>
      <x:c r="F117" s="11" t="str">
        <x:v>VI</x:v>
      </x:c>
      <x:c r="G117" s="11" t="str">
        <x:v>S034</x:v>
      </x:c>
      <x:c r="H117" s="11" t="str">
        <x:v>Quyết định 209-QĐ/TW: đổi tên Ban Tuyên giáo và Dân vận Trung ương</x:v>
      </x:c>
      <x:c r="I117" s="30" t="str">
        <x:v>https://xaydungchinhsach.chinhphu.vn/quyet-dinh-so-209-qd-tw-doi-ten-ban-tuyen-giao-va-dan-van-trung-uong-thanh-ban-tuyen-giao-trung-uong-119260801121222733.htm</x:v>
      </x:c>
      <x:c r="J117" s="11" t="str">
        <x:v>Ghi nhận đổi tên từ 01/8/2026; dùng cờ thời điểm cho tên trong corpus, không thay tên gốc.</x:v>
      </x:c>
      <x:c r="K117" s="11" t="str">
        <x:v>2026-10-28</x:v>
      </x:c>
    </x:row>
    <x:row r="118" ht="57" customHeight="1">
      <x:c r="A118" s="11" t="str">
        <x:v>T107</x:v>
      </x:c>
      <x:c r="B118" s="11" t="str">
        <x:v>VI</x:v>
      </x:c>
      <x:c r="C118" s="11" t="str">
        <x:v>Bộ Chính trị</x:v>
      </x:c>
      <x:c r="D118" s="11" t="str">
        <x:v>Tên riêng: có nguồn về đối tượng</x:v>
      </x:c>
      <x:c r="E118" s="11" t="str">
        <x:v>* Mô tả chính thức</x:v>
      </x:c>
      <x:c r="F118" s="11" t="str">
        <x:v>VI</x:v>
      </x:c>
      <x:c r="G118" s="11" t="str">
        <x:v>S021</x:v>
      </x:c>
      <x:c r="H118" s="11" t="str">
        <x:v>Điều lệ Đảng (do Đại hội đại biểu toàn quốc lần thứ XI của Đảng thông qua)</x:v>
      </x:c>
      <x:c r="I118" s="30" t="str">
        <x:v>https://tulieuvankien.dangcongsan.vn/ban-chap-hanh-trung-uong-dang/dai-hoi-dang/lan-thu-xi/dieu-le-dang-do-dai-hoi-dai-bieu-toan-quoc-lan-thu-xi-cua-dang-thong-qua-1472</x:v>
      </x:c>
      <x:c r="J118" s="11" t="str">
        <x:v>Chưa xác minh định nghĩa độc lập của nguyên biểu thức/nghĩa chọn trong ngôn ngữ này. Đối chiếu trong hồ sơ cũ;</x:v>
      </x:c>
      <x:c r="K118" s="11" t="str">
        <x:v>2026-10-28</x:v>
      </x:c>
    </x:row>
    <x:row r="119" ht="57" customHeight="1">
      <x:c r="A119" s="11" t="str">
        <x:v>T107</x:v>
      </x:c>
      <x:c r="B119" s="11" t="str">
        <x:v>KO</x:v>
      </x:c>
      <x:c r="C119" s="11" t="str">
        <x:v>중앙정치국</x:v>
      </x:c>
      <x:c r="D119" s="11" t="str">
        <x:v>Tên riêng: có nguồn về đối tượng</x:v>
      </x:c>
      <x:c r="E119" s="11" t="str">
        <x:v>* Diễn giải mô tả VI</x:v>
      </x:c>
      <x:c r="F119" s="11" t="str">
        <x:v>VI</x:v>
      </x:c>
      <x:c r="G119" s="11" t="str">
        <x:v>S021</x:v>
      </x:c>
      <x:c r="H119" s="11" t="str">
        <x:v>Điều lệ Đảng (do Đại hội đại biểu toàn quốc lần thứ XI của Đảng thông qua)</x:v>
      </x:c>
      <x:c r="I119" s="30" t="str">
        <x:v>https://tulieuvankien.dangcongsan.vn/ban-chap-hanh-trung-uong-dang/dai-hoi-dang/lan-thu-xi/dieu-le-dang-do-dai-hoi-dai-bieu-toan-quoc-lan-thu-xi-cua-dang-thong-qua-1472</x:v>
      </x:c>
      <x:c r="J119" s="11" t="str">
        <x:v>Chưa xác minh định nghĩa độc lập của nguyên biểu thức/nghĩa chọn trong ngôn ngữ này. Đối chiếu trong hồ sơ cũ;</x:v>
      </x:c>
      <x:c r="K119" s="11" t="str">
        <x:v>2026-10-28</x:v>
      </x:c>
    </x:row>
    <x:row r="120" ht="57" customHeight="1">
      <x:c r="A120" s="11" t="str">
        <x:v>T107</x:v>
      </x:c>
      <x:c r="B120" s="11" t="str">
        <x:v>Bổ sung</x:v>
      </x:c>
      <x:c r="C120" s="11" t="str">
        <x:v>Bộ Chính trị / 중앙정치국</x:v>
      </x:c>
      <x:c r="D120" s="11" t="str">
        <x:v>Xem dòng VI/KO</x:v>
      </x:c>
      <x:c r="E120" s="11" t="str">
        <x:v>Chứng cứ cách dùng trong ngữ liệu</x:v>
      </x:c>
      <x:c r="F120" s="11" t="str">
        <x:v>KO</x:v>
      </x:c>
      <x:c r="G120" s="11" t="str">
        <x:v>S032</x:v>
      </x:c>
      <x:c r="H120" s="11" t="str">
        <x:v>Nhân Dân tiếng Hàn – dẫn chứng trong hồ sơ gốc</x:v>
      </x:c>
      <x:c r="I120" s="30" t="str">
        <x:v>https://kr.nhandan.vn/article-post5890.html</x:v>
      </x:c>
      <x:c r="J120" s="11" t="str">
        <x:v>Chứng cứ biểu thức trong corpus; không tự là định nghĩa từ điển hoặc xác nhận mọi nét nghĩa.</x:v>
      </x:c>
      <x:c r="K120" s="11" t="str">
        <x:v>2026-10-28</x:v>
      </x:c>
    </x:row>
    <x:row r="121" ht="57" customHeight="1">
      <x:c r="A121" s="11" t="str">
        <x:v>T119</x:v>
      </x:c>
      <x:c r="B121" s="11" t="str">
        <x:v>VI</x:v>
      </x:c>
      <x:c r="C121" s="11" t="str">
        <x:v>Bộ Công an</x:v>
      </x:c>
      <x:c r="D121" s="11" t="str">
        <x:v>Tên riêng: có nguồn về đối tượng</x:v>
      </x:c>
      <x:c r="E121" s="11" t="str">
        <x:v>* Nghĩa làm việc; cần nguồn định nghĩa</x:v>
      </x:c>
      <x:c r="F121" s="11" t="str">
        <x:v>VI</x:v>
      </x:c>
      <x:c r="G121" s="11" t="str">
        <x:v>S005</x:v>
      </x:c>
      <x:c r="H121" s="11" t="str">
        <x:v>Quốc hội phê chuẩn bổ nhiệm 6 Phó Thủ tướng, Bộ trưởng và các thành viên Chính phủ</x:v>
      </x:c>
      <x:c r="I121" s="30" t="str">
        <x:v>https://baochinhphu.vn/quoc-hoi-phe-chuan-bo-nhiem-6-pho-thu-tuong-cac-bo-truong-va-thanh-vien-chinh-phu-102260408130112084.htm</x:v>
      </x:c>
      <x:c r="J121" s="11" t="str">
        <x:v>Chưa xác minh định nghĩa độc lập của nguyên biểu thức/nghĩa chọn trong ngôn ngữ này. Đối chiếu trong hồ sơ cũ;</x:v>
      </x:c>
      <x:c r="K121" s="11" t="str">
        <x:v>2026-10-28</x:v>
      </x:c>
    </x:row>
    <x:row r="122" ht="57" customHeight="1">
      <x:c r="A122" s="11" t="str">
        <x:v>T119</x:v>
      </x:c>
      <x:c r="B122" s="11" t="str">
        <x:v>KO</x:v>
      </x:c>
      <x:c r="C122" s="11" t="str">
        <x:v>공안부</x:v>
      </x:c>
      <x:c r="D122" s="11" t="str">
        <x:v>Tên riêng: có nguồn về đối tượng</x:v>
      </x:c>
      <x:c r="E122" s="11" t="str">
        <x:v>* Nghĩa làm việc; cần nguồn định nghĩa</x:v>
      </x:c>
      <x:c r="F122" s="11" t="str">
        <x:v>VI</x:v>
      </x:c>
      <x:c r="G122" s="11" t="str">
        <x:v>S005</x:v>
      </x:c>
      <x:c r="H122" s="11" t="str">
        <x:v>Quốc hội phê chuẩn bổ nhiệm 6 Phó Thủ tướng, Bộ trưởng và các thành viên Chính phủ</x:v>
      </x:c>
      <x:c r="I122" s="30" t="str">
        <x:v>https://baochinhphu.vn/quoc-hoi-phe-chuan-bo-nhiem-6-pho-thu-tuong-cac-bo-truong-va-thanh-vien-chinh-phu-102260408130112084.htm</x:v>
      </x:c>
      <x:c r="J122" s="11" t="str">
        <x:v>Chưa xác minh định nghĩa độc lập của nguyên biểu thức/nghĩa chọn trong ngôn ngữ này. Đối chiếu trong hồ sơ cũ;</x:v>
      </x:c>
      <x:c r="K122" s="11" t="str">
        <x:v>2026-10-28</x:v>
      </x:c>
    </x:row>
    <x:row r="123" ht="57" customHeight="1">
      <x:c r="A123" s="11" t="str">
        <x:v>T119</x:v>
      </x:c>
      <x:c r="B123" s="11" t="str">
        <x:v>Bổ sung</x:v>
      </x:c>
      <x:c r="C123" s="11" t="str">
        <x:v>Bộ Công an / 공안부</x:v>
      </x:c>
      <x:c r="D123" s="11" t="str">
        <x:v>Xem dòng VI/KO</x:v>
      </x:c>
      <x:c r="E123" s="11" t="str">
        <x:v>Chứng cứ cách dùng trong ngữ liệu</x:v>
      </x:c>
      <x:c r="F123" s="11" t="str">
        <x:v>KO</x:v>
      </x:c>
      <x:c r="G123" s="11" t="str">
        <x:v>S055</x:v>
      </x:c>
      <x:c r="H123" s="11" t="str">
        <x:v>Nhân Dân tiếng Hàn – dẫn chứng trong hồ sơ gốc</x:v>
      </x:c>
      <x:c r="I123" s="30" t="str">
        <x:v>https://kr.nhandan.vn/article-post5121.html</x:v>
      </x:c>
      <x:c r="J123" s="11" t="str">
        <x:v>Chứng cứ biểu thức trong corpus; không tự là định nghĩa từ điển hoặc xác nhận mọi nét nghĩa.</x:v>
      </x:c>
      <x:c r="K123" s="11" t="str">
        <x:v>2026-10-28</x:v>
      </x:c>
    </x:row>
    <x:row r="124" ht="57" customHeight="1">
      <x:c r="A124" s="11" t="str">
        <x:v>M025</x:v>
      </x:c>
      <x:c r="B124" s="11" t="str">
        <x:v>VI</x:v>
      </x:c>
      <x:c r="C124" s="11" t="str">
        <x:v>Bộ Công Thương</x:v>
      </x:c>
      <x:c r="D124" s="11" t="str">
        <x:v>Tên riêng: có nguồn về đối tượng</x:v>
      </x:c>
      <x:c r="E124" s="11" t="str">
        <x:v>Định nghĩa chuyên ngành [VI]</x:v>
      </x:c>
      <x:c r="F124" s="11" t="str">
        <x:v>VI</x:v>
      </x:c>
      <x:c r="G124" s="11" t="str">
        <x:v>S056</x:v>
      </x:c>
      <x:c r="H124" s="11" t="str">
        <x:v>Chức năng, nhiệm vụ và quyền hạn Bộ Công Thương – cổng Bộ</x:v>
      </x:c>
      <x:c r="I124" s="30" t="str">
        <x:v>https://moit.gov.vn/gioi-thieu</x:v>
      </x:c>
      <x:c r="J124" s="11" t="str">
        <x:v>Đã đọc nguồn giải nghĩa bằng ngôn ngữ này; vẫn đối chiếu nghĩa chọn và ghi chú.</x:v>
      </x:c>
      <x:c r="K124" s="11" t="str">
        <x:v>2026-10-28</x:v>
      </x:c>
    </x:row>
    <x:row r="125" ht="57" customHeight="1">
      <x:c r="A125" s="11" t="str">
        <x:v>M025</x:v>
      </x:c>
      <x:c r="B125" s="11" t="str">
        <x:v>KO</x:v>
      </x:c>
      <x:c r="C125" s="11" t="str">
        <x:v>베트남 산업통상부</x:v>
      </x:c>
      <x:c r="D125" s="11" t="str">
        <x:v>Tên riêng: có nguồn về đối tượng</x:v>
      </x:c>
      <x:c r="E125" s="11" t="str">
        <x:v>* Diễn giải mô tả VI</x:v>
      </x:c>
      <x:c r="F125" s="11" t="str">
        <x:v>VI</x:v>
      </x:c>
      <x:c r="G125" s="11" t="str">
        <x:v>S056</x:v>
      </x:c>
      <x:c r="H125" s="11" t="str">
        <x:v>Chức năng, nhiệm vụ và quyền hạn Bộ Công Thương – cổng Bộ</x:v>
      </x:c>
      <x:c r="I125" s="30" t="str">
        <x:v>https://moit.gov.vn/gioi-thieu</x:v>
      </x:c>
      <x:c r="J125" s="11" t="str">
        <x:v>Chưa xác minh định nghĩa độc lập của nguyên biểu thức/nghĩa chọn trong ngôn ngữ này. Xác định cơ quan Chính phủ quản lý công nghiệp và thương mại; chỉ lấy lõi chức năng.</x:v>
      </x:c>
      <x:c r="K125" s="11" t="str">
        <x:v>2026-10-28</x:v>
      </x:c>
    </x:row>
    <x:row r="126" ht="57" customHeight="1">
      <x:c r="A126" s="11" t="str">
        <x:v>M025</x:v>
      </x:c>
      <x:c r="B126" s="11" t="str">
        <x:v>Bổ sung</x:v>
      </x:c>
      <x:c r="C126" s="11" t="str">
        <x:v>Bộ Công Thương / 베트남 산업통상부</x:v>
      </x:c>
      <x:c r="D126" s="11" t="str">
        <x:v>Xem dòng VI/KO</x:v>
      </x:c>
      <x:c r="E126" s="11" t="str">
        <x:v>Chứng cứ cách dùng trong ngữ liệu</x:v>
      </x:c>
      <x:c r="F126" s="11" t="str">
        <x:v>KO</x:v>
      </x:c>
      <x:c r="G126" s="11" t="str">
        <x:v>S055</x:v>
      </x:c>
      <x:c r="H126" s="11" t="str">
        <x:v>Nhân Dân tiếng Hàn – dẫn chứng trong hồ sơ gốc</x:v>
      </x:c>
      <x:c r="I126" s="30" t="str">
        <x:v>https://kr.nhandan.vn/article-post5121.html</x:v>
      </x:c>
      <x:c r="J126" s="11" t="str">
        <x:v>Chứng cứ biểu thức trong corpus; không tự là định nghĩa từ điển hoặc xác nhận mọi nét nghĩa.</x:v>
      </x:c>
      <x:c r="K126" s="11" t="str">
        <x:v>2026-10-28</x:v>
      </x:c>
    </x:row>
    <x:row r="127" ht="57" customHeight="1">
      <x:c r="A127" s="11" t="str">
        <x:v>M023</x:v>
      </x:c>
      <x:c r="B127" s="11" t="str">
        <x:v>VI</x:v>
      </x:c>
      <x:c r="C127" s="11" t="str">
        <x:v>Bộ Khoa học và Công nghệ</x:v>
      </x:c>
      <x:c r="D127" s="11" t="str">
        <x:v>Tên riêng: có nguồn về đối tượng</x:v>
      </x:c>
      <x:c r="E127" s="11" t="str">
        <x:v>Định nghĩa chuyên ngành [VI]</x:v>
      </x:c>
      <x:c r="F127" s="11" t="str">
        <x:v>VI</x:v>
      </x:c>
      <x:c r="G127" s="11" t="str">
        <x:v>S057</x:v>
      </x:c>
      <x:c r="H127" s="11" t="str">
        <x:v>Nghị định55/2025/NĐ-CP – bản chính trên cổng Tiêu chuẩn Đo lường Chất lượng</x:v>
      </x:c>
      <x:c r="I127" s="30" t="str">
        <x:v>https://tcvn.gov.vn/wp-content/uploads/2025/03/55_2025_ND-CP_02032025-signed_bba16330-f9be-479d-b_250303_144003-compressed.pdf</x:v>
      </x:c>
      <x:c r="J127" s="11" t="str">
        <x:v>Đã đọc nguồn giải nghĩa bằng ngôn ngữ này; vẫn đối chiếu nghĩa chọn và ghi chú.</x:v>
      </x:c>
      <x:c r="K127" s="11" t="str">
        <x:v>2026-10-28</x:v>
      </x:c>
    </x:row>
    <x:row r="128" ht="72" customHeight="1">
      <x:c r="A128" s="11" t="str">
        <x:v>M023</x:v>
      </x:c>
      <x:c r="B128" s="11" t="str">
        <x:v>KO</x:v>
      </x:c>
      <x:c r="C128" s="11" t="str">
        <x:v>과학기술부</x:v>
      </x:c>
      <x:c r="D128" s="11" t="str">
        <x:v>Tên riêng: có nguồn về đối tượng</x:v>
      </x:c>
      <x:c r="E128" s="11" t="str">
        <x:v>* Diễn giải mô tả VI</x:v>
      </x:c>
      <x:c r="F128" s="11" t="str">
        <x:v>VI</x:v>
      </x:c>
      <x:c r="G128" s="11" t="str">
        <x:v>S057</x:v>
      </x:c>
      <x:c r="H128" s="11" t="str">
        <x:v>Nghị định55/2025/NĐ-CP – bản chính trên cổng Tiêu chuẩn Đo lường Chất lượng</x:v>
      </x:c>
      <x:c r="I128" s="30" t="str">
        <x:v>https://tcvn.gov.vn/wp-content/uploads/2025/03/55_2025_ND-CP_02032025-signed_bba16330-f9be-479d-b_250303_144003-compressed.pdf</x:v>
      </x:c>
      <x:c r="J128" s="11" t="str">
        <x:v>Chưa xác minh định nghĩa độc lập của nguyên biểu thức/nghĩa chọn trong ngôn ngữ này. Điều1 xác định quản lý nghiên cứu khoa học, công nghệ và lĩnh vực liên quan. Dùng nghĩa tại văn bản2025, không khẳng định danh mục nhiệm vụ hiện hành không đổi.</x:v>
      </x:c>
      <x:c r="K128" s="11" t="str">
        <x:v>2026-10-28</x:v>
      </x:c>
    </x:row>
    <x:row r="129" ht="57" customHeight="1">
      <x:c r="A129" s="11" t="str">
        <x:v>M023</x:v>
      </x:c>
      <x:c r="B129" s="11" t="str">
        <x:v>Bổ sung</x:v>
      </x:c>
      <x:c r="C129" s="11" t="str">
        <x:v>Bộ Khoa học và Công nghệ / 과학기술부</x:v>
      </x:c>
      <x:c r="D129" s="11" t="str">
        <x:v>Xem dòng VI/KO</x:v>
      </x:c>
      <x:c r="E129" s="11" t="str">
        <x:v>Chứng cứ cách dùng trong ngữ liệu</x:v>
      </x:c>
      <x:c r="F129" s="11" t="str">
        <x:v>KO</x:v>
      </x:c>
      <x:c r="G129" s="11" t="str">
        <x:v>S055</x:v>
      </x:c>
      <x:c r="H129" s="11" t="str">
        <x:v>Nhân Dân tiếng Hàn – dẫn chứng trong hồ sơ gốc</x:v>
      </x:c>
      <x:c r="I129" s="30" t="str">
        <x:v>https://kr.nhandan.vn/article-post5121.html</x:v>
      </x:c>
      <x:c r="J129" s="11" t="str">
        <x:v>Chứng cứ biểu thức trong corpus; không tự là định nghĩa từ điển hoặc xác nhận mọi nét nghĩa.</x:v>
      </x:c>
      <x:c r="K129" s="11" t="str">
        <x:v>2026-10-28</x:v>
      </x:c>
    </x:row>
    <x:row r="130" ht="57" customHeight="1">
      <x:c r="A130" s="11" t="str">
        <x:v>T130</x:v>
      </x:c>
      <x:c r="B130" s="11" t="str">
        <x:v>VI</x:v>
      </x:c>
      <x:c r="C130" s="11" t="str">
        <x:v>bộ máy nhà nước</x:v>
      </x:c>
      <x:c r="D130" s="11" t="str">
        <x:v>CẦN TRA — chưa xác minh mục từ</x:v>
      </x:c>
      <x:c r="E130" s="11" t="str">
        <x:v>* Nghĩa làm việc; cần nguồn định nghĩa</x:v>
      </x:c>
      <x:c r="F130" s="11" t="str">
        <x:v>VI</x:v>
      </x:c>
      <x:c r="G130" s="11" t="str">
        <x:v>S003</x:v>
      </x:c>
      <x:c r="H130" s="11" t="str">
        <x:v>Hiến pháp năm 2013 – Chương VII: Chính phủ</x:v>
      </x:c>
      <x:c r="I130" s="30" t="str">
        <x:v>https://chinhphu.vn/hien-phap-nam-2013/chuong-vii-chinh-phu-10052988</x:v>
      </x:c>
      <x:c r="J130"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130" s="11" t="str">
        <x:v>2026-10-28</x:v>
      </x:c>
    </x:row>
    <x:row r="131" ht="57" customHeight="1">
      <x:c r="A131" s="11" t="str">
        <x:v>T130</x:v>
      </x:c>
      <x:c r="B131" s="11" t="str">
        <x:v>KO</x:v>
      </x:c>
      <x:c r="C131" s="11" t="str">
        <x:v>국가기구</x:v>
      </x:c>
      <x:c r="D131" s="11" t="str">
        <x:v>CẦN TRA — chưa xác minh mục từ</x:v>
      </x:c>
      <x:c r="E131" s="11" t="str">
        <x:v>* Nghĩa làm việc; cần nguồn định nghĩa</x:v>
      </x:c>
      <x:c r="F131" s="11" t="str">
        <x:v>VI</x:v>
      </x:c>
      <x:c r="G131" s="11" t="str">
        <x:v>S003</x:v>
      </x:c>
      <x:c r="H131" s="11" t="str">
        <x:v>Hiến pháp năm 2013 – Chương VII: Chính phủ</x:v>
      </x:c>
      <x:c r="I131" s="30" t="str">
        <x:v>https://chinhphu.vn/hien-phap-nam-2013/chuong-vii-chinh-phu-10052988</x:v>
      </x:c>
      <x:c r="J131"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131" s="11" t="str">
        <x:v>2026-10-28</x:v>
      </x:c>
    </x:row>
    <x:row r="132" ht="57" customHeight="1">
      <x:c r="A132" s="11" t="str">
        <x:v>T130</x:v>
      </x:c>
      <x:c r="B132" s="11" t="str">
        <x:v>Bổ sung</x:v>
      </x:c>
      <x:c r="C132" s="11" t="str">
        <x:v>bộ máy nhà nước / 국가기구</x:v>
      </x:c>
      <x:c r="D132" s="11" t="str">
        <x:v>Xem dòng VI/KO</x:v>
      </x:c>
      <x:c r="E132" s="11" t="str">
        <x:v>Chứng cứ cách dùng trong ngữ liệu</x:v>
      </x:c>
      <x:c r="F132" s="11" t="str">
        <x:v>KO</x:v>
      </x:c>
      <x:c r="G132" s="11" t="str">
        <x:v>S058</x:v>
      </x:c>
      <x:c r="H132" s="11" t="str">
        <x:v>Nhân Dân tiếng Hàn – dẫn chứng trong hồ sơ gốc</x:v>
      </x:c>
      <x:c r="I132" s="30" t="str">
        <x:v>https://kr.nhandan.vn/article-post4578.html</x:v>
      </x:c>
      <x:c r="J132" s="11" t="str">
        <x:v>Chứng cứ biểu thức trong corpus; không tự là định nghĩa từ điển hoặc xác nhận mọi nét nghĩa.</x:v>
      </x:c>
      <x:c r="K132" s="11" t="str">
        <x:v>2026-10-28</x:v>
      </x:c>
    </x:row>
    <x:row r="133" ht="57" customHeight="1">
      <x:c r="A133" s="11" t="str">
        <x:v>T120</x:v>
      </x:c>
      <x:c r="B133" s="11" t="str">
        <x:v>VI</x:v>
      </x:c>
      <x:c r="C133" s="11" t="str">
        <x:v>Bộ Ngoại giao</x:v>
      </x:c>
      <x:c r="D133" s="11" t="str">
        <x:v>Tên riêng: có nguồn về đối tượng</x:v>
      </x:c>
      <x:c r="E133" s="11" t="str">
        <x:v>Định nghĩa chuyên ngành [VI]</x:v>
      </x:c>
      <x:c r="F133" s="11" t="str">
        <x:v>VI</x:v>
      </x:c>
      <x:c r="G133" s="11" t="str">
        <x:v>S059</x:v>
      </x:c>
      <x:c r="H133" s="11" t="str">
        <x:v>Nghị định 28/2025/NĐ-CP: chức năng, nhiệm vụ Bộ Ngoại giao</x:v>
      </x:c>
      <x:c r="I133" s="30" t="str">
        <x:v>https://xaydungchinhsach.chinhphu.vn/nghi-dinh-so-28-2025-nd-cp-quy-dinh-chuc-nang-nhiem-vu-quyen-han-va-co-cau-to-chuc-cua-bo-ngoai-giao-119250225064733032.htm</x:v>
      </x:c>
      <x:c r="J133" s="11" t="str">
        <x:v>Đã đọc nguồn giải nghĩa bằng ngôn ngữ này; vẫn đối chiếu nghĩa chọn và ghi chú.</x:v>
      </x:c>
      <x:c r="K133" s="11" t="str">
        <x:v>2026-10-28</x:v>
      </x:c>
    </x:row>
    <x:row r="134" ht="57" customHeight="1">
      <x:c r="A134" s="11" t="str">
        <x:v>T120</x:v>
      </x:c>
      <x:c r="B134" s="11" t="str">
        <x:v>KO</x:v>
      </x:c>
      <x:c r="C134" s="11" t="str">
        <x:v>외교부</x:v>
      </x:c>
      <x:c r="D134" s="11" t="str">
        <x:v>Tên riêng: có nguồn về đối tượng</x:v>
      </x:c>
      <x:c r="E134" s="11" t="str">
        <x:v>* Diễn giải mô tả VI</x:v>
      </x:c>
      <x:c r="F134" s="11" t="str">
        <x:v>VI</x:v>
      </x:c>
      <x:c r="G134" s="11" t="str">
        <x:v>S059</x:v>
      </x:c>
      <x:c r="H134" s="11" t="str">
        <x:v>Nghị định 28/2025/NĐ-CP: chức năng, nhiệm vụ Bộ Ngoại giao</x:v>
      </x:c>
      <x:c r="I134" s="30" t="str">
        <x:v>https://xaydungchinhsach.chinhphu.vn/nghi-dinh-so-28-2025-nd-cp-quy-dinh-chuc-nang-nhiem-vu-quyen-han-va-co-cau-to-chuc-cua-bo-ngoai-giao-119250225064733032.htm</x:v>
      </x:c>
      <x:c r="J134" s="11" t="str">
        <x:v>Chưa xác minh định nghĩa độc lập của nguyên biểu thức/nghĩa chọn trong ngôn ngữ này. Nêu cơ quan Chính phủ quản lý nhà nước về đối ngoại; dùng phạm vi văn bản2025.</x:v>
      </x:c>
      <x:c r="K134" s="11" t="str">
        <x:v>2026-10-28</x:v>
      </x:c>
    </x:row>
    <x:row r="135" ht="57" customHeight="1">
      <x:c r="A135" s="11" t="str">
        <x:v>T120</x:v>
      </x:c>
      <x:c r="B135" s="11" t="str">
        <x:v>Bổ sung</x:v>
      </x:c>
      <x:c r="C135" s="11" t="str">
        <x:v>Bộ Ngoại giao / 외교부</x:v>
      </x:c>
      <x:c r="D135" s="11" t="str">
        <x:v>Xem dòng VI/KO</x:v>
      </x:c>
      <x:c r="E135" s="11" t="str">
        <x:v>Chứng cứ cách dùng trong ngữ liệu</x:v>
      </x:c>
      <x:c r="F135" s="11" t="str">
        <x:v>KO</x:v>
      </x:c>
      <x:c r="G135" s="11" t="str">
        <x:v>S052</x:v>
      </x:c>
      <x:c r="H135" s="11" t="str">
        <x:v>Nhân Dân tiếng Hàn – dẫn chứng trong hồ sơ gốc</x:v>
      </x:c>
      <x:c r="I135" s="30" t="str">
        <x:v>https://kr.nhandan.vn/article-post5009.html</x:v>
      </x:c>
      <x:c r="J135" s="11" t="str">
        <x:v>Chứng cứ biểu thức trong corpus; không tự là định nghĩa từ điển hoặc xác nhận mọi nét nghĩa.</x:v>
      </x:c>
      <x:c r="K135" s="11" t="str">
        <x:v>2026-10-28</x:v>
      </x:c>
    </x:row>
    <x:row r="136" ht="57" customHeight="1">
      <x:c r="A136" s="11" t="str">
        <x:v>T114</x:v>
      </x:c>
      <x:c r="B136" s="11" t="str">
        <x:v>VI</x:v>
      </x:c>
      <x:c r="C136" s="11" t="str">
        <x:v>Bộ Quốc phòng</x:v>
      </x:c>
      <x:c r="D136" s="11" t="str">
        <x:v>Tên riêng: có nguồn về đối tượng</x:v>
      </x:c>
      <x:c r="E136" s="11" t="str">
        <x:v>* Mô tả chính thức</x:v>
      </x:c>
      <x:c r="F136" s="11" t="str">
        <x:v>VI</x:v>
      </x:c>
      <x:c r="G136" s="11" t="str">
        <x:v>S008</x:v>
      </x:c>
      <x:c r="H136" s="11" t="str">
        <x:v>Bộ Quốc phòng nước CHXHCN Việt Nam – cổng Bộ Quốc phòng</x:v>
      </x:c>
      <x:c r="I136" s="30" t="str">
        <x:v>https://mod.gov.vn/home/intro/detail?1dmy=&amp;current=true&amp;urile=wcm%3Apath%3A%2Fmod%2Fsa-mod-site%2Fsa-qpvn%2Fsa-qpvn-bqp-root%2Fsa-qpvn-gt%2Fbo-quoc-phong-nuoc-cong-hoa-xa-hoi-chu-nghia-viet-nam</x:v>
      </x:c>
      <x:c r="J136" s="11" t="str">
        <x:v>Chưa xác minh định nghĩa độc lập của nguyên biểu thức/nghĩa chọn trong ngôn ngữ này. Cơ quan tự giới thiệu chức năng quốc phòng và vị trí Bộ trưởng đứng đầu.</x:v>
      </x:c>
      <x:c r="K136" s="11" t="str">
        <x:v>2026-10-28</x:v>
      </x:c>
    </x:row>
    <x:row r="137" ht="57" customHeight="1">
      <x:c r="A137" s="11" t="str">
        <x:v>T114</x:v>
      </x:c>
      <x:c r="B137" s="11" t="str">
        <x:v>KO</x:v>
      </x:c>
      <x:c r="C137" s="11" t="str">
        <x:v>국방부</x:v>
      </x:c>
      <x:c r="D137" s="11" t="str">
        <x:v>Tên riêng: có nguồn về đối tượng</x:v>
      </x:c>
      <x:c r="E137" s="11" t="str">
        <x:v>* Diễn giải mô tả VI</x:v>
      </x:c>
      <x:c r="F137" s="11" t="str">
        <x:v>VI</x:v>
      </x:c>
      <x:c r="G137" s="11" t="str">
        <x:v>S008</x:v>
      </x:c>
      <x:c r="H137" s="11" t="str">
        <x:v>Bộ Quốc phòng nước CHXHCN Việt Nam – cổng Bộ Quốc phòng</x:v>
      </x:c>
      <x:c r="I137" s="30" t="str">
        <x:v>https://mod.gov.vn/home/intro/detail?1dmy=&amp;current=true&amp;urile=wcm%3Apath%3A%2Fmod%2Fsa-mod-site%2Fsa-qpvn%2Fsa-qpvn-bqp-root%2Fsa-qpvn-gt%2Fbo-quoc-phong-nuoc-cong-hoa-xa-hoi-chu-nghia-viet-nam</x:v>
      </x:c>
      <x:c r="J137" s="11" t="str">
        <x:v>Chưa xác minh định nghĩa độc lập của nguyên biểu thức/nghĩa chọn trong ngôn ngữ này. Cơ quan tự giới thiệu chức năng quốc phòng và vị trí Bộ trưởng đứng đầu.</x:v>
      </x:c>
      <x:c r="K137" s="11" t="str">
        <x:v>2026-10-28</x:v>
      </x:c>
    </x:row>
    <x:row r="138" ht="57" customHeight="1">
      <x:c r="A138" s="11" t="str">
        <x:v>T114</x:v>
      </x:c>
      <x:c r="B138" s="11" t="str">
        <x:v>Bổ sung</x:v>
      </x:c>
      <x:c r="C138" s="11" t="str">
        <x:v>Bộ Quốc phòng / 국방부</x:v>
      </x:c>
      <x:c r="D138" s="11" t="str">
        <x:v>Xem dòng VI/KO</x:v>
      </x:c>
      <x:c r="E138" s="11" t="str">
        <x:v>Chứng cứ cách dùng trong ngữ liệu</x:v>
      </x:c>
      <x:c r="F138" s="11" t="str">
        <x:v>KO</x:v>
      </x:c>
      <x:c r="G138" s="11" t="str">
        <x:v>S060</x:v>
      </x:c>
      <x:c r="H138" s="11" t="str">
        <x:v>Nhân Dân tiếng Hàn – dẫn chứng trong hồ sơ gốc</x:v>
      </x:c>
      <x:c r="I138" s="30" t="str">
        <x:v>https://kr.nhandan.vn/article-post5088.html</x:v>
      </x:c>
      <x:c r="J138" s="11" t="str">
        <x:v>Chứng cứ biểu thức trong corpus; không tự là định nghĩa từ điển hoặc xác nhận mọi nét nghĩa.</x:v>
      </x:c>
      <x:c r="K138" s="11" t="str">
        <x:v>2026-10-28</x:v>
      </x:c>
    </x:row>
    <x:row r="139" ht="57" customHeight="1">
      <x:c r="A139" s="11" t="str">
        <x:v>M029</x:v>
      </x:c>
      <x:c r="B139" s="11" t="str">
        <x:v>VI</x:v>
      </x:c>
      <x:c r="C139" s="11" t="str">
        <x:v>Bộ Y tế</x:v>
      </x:c>
      <x:c r="D139" s="11" t="str">
        <x:v>Tên riêng: có nguồn về đối tượng</x:v>
      </x:c>
      <x:c r="E139" s="11" t="str">
        <x:v>* Nghĩa làm việc; cần nguồn định nghĩa</x:v>
      </x:c>
      <x:c r="F139" s="11" t="str">
        <x:v>VI</x:v>
      </x:c>
      <x:c r="G139" s="11" t="str">
        <x:v>S047</x:v>
      </x:c>
      <x:c r="H139" s="11" t="str">
        <x:v>Tổng Bí thư, Chủ tịch nước Tô Lâm hội đàm với Tổng thống Hàn Quốc Lee Jae Myung</x:v>
      </x:c>
      <x:c r="I139" s="30" t="str">
        <x:v>https://baochinhphu.vn/tong-bi-thu-chu-tich-nuoc-to-lam-hoi-dam-voi-tong-thong-han-quoc-lee-jae-myung-102260422203007294.htm</x:v>
      </x:c>
      <x:c r="J139" s="11" t="str">
        <x:v>Chưa xác minh định nghĩa độc lập của nguyên biểu thức/nghĩa chọn trong ngôn ngữ này. Đối chiếu trong hồ sơ cũ; Ngày 22/4/2026; chỉ chứng minh cách gọi chính thức trong tiếng Việt, không mặc nhiên xác nhận mọi cặp dịch KO trong corpus.</x:v>
      </x:c>
      <x:c r="K139" s="11" t="str">
        <x:v>2026-10-28</x:v>
      </x:c>
    </x:row>
    <x:row r="140" ht="57" customHeight="1">
      <x:c r="A140" s="11" t="str">
        <x:v>M029</x:v>
      </x:c>
      <x:c r="B140" s="11" t="str">
        <x:v>KO</x:v>
      </x:c>
      <x:c r="C140" s="11" t="str">
        <x:v>베트남 보건부</x:v>
      </x:c>
      <x:c r="D140" s="11" t="str">
        <x:v>Tên riêng: có nguồn về đối tượng</x:v>
      </x:c>
      <x:c r="E140" s="11" t="str">
        <x:v>* Nghĩa làm việc; cần nguồn định nghĩa</x:v>
      </x:c>
      <x:c r="F140" s="11" t="str">
        <x:v>VI</x:v>
      </x:c>
      <x:c r="G140" s="11" t="str">
        <x:v>S047</x:v>
      </x:c>
      <x:c r="H140" s="11" t="str">
        <x:v>Tổng Bí thư, Chủ tịch nước Tô Lâm hội đàm với Tổng thống Hàn Quốc Lee Jae Myung</x:v>
      </x:c>
      <x:c r="I140" s="30" t="str">
        <x:v>https://baochinhphu.vn/tong-bi-thu-chu-tich-nuoc-to-lam-hoi-dam-voi-tong-thong-han-quoc-lee-jae-myung-102260422203007294.htm</x:v>
      </x:c>
      <x:c r="J140" s="11" t="str">
        <x:v>Chưa xác minh định nghĩa độc lập của nguyên biểu thức/nghĩa chọn trong ngôn ngữ này. Đối chiếu trong hồ sơ cũ; Ngày 22/4/2026; chỉ chứng minh cách gọi chính thức trong tiếng Việt, không mặc nhiên xác nhận mọi cặp dịch KO trong corpus.</x:v>
      </x:c>
      <x:c r="K140" s="11" t="str">
        <x:v>2026-10-28</x:v>
      </x:c>
    </x:row>
    <x:row r="141" ht="57" customHeight="1">
      <x:c r="A141" s="11" t="str">
        <x:v>M029</x:v>
      </x:c>
      <x:c r="B141" s="11" t="str">
        <x:v>Bổ sung</x:v>
      </x:c>
      <x:c r="C141" s="11" t="str">
        <x:v>Bộ Y tế / 베트남 보건부</x:v>
      </x:c>
      <x:c r="D141" s="11" t="str">
        <x:v>Xem dòng VI/KO</x:v>
      </x:c>
      <x:c r="E141" s="11" t="str">
        <x:v>Chứng cứ cách dùng trong ngữ liệu</x:v>
      </x:c>
      <x:c r="F141" s="11" t="str">
        <x:v>KO</x:v>
      </x:c>
      <x:c r="G141" s="11" t="str">
        <x:v>S055</x:v>
      </x:c>
      <x:c r="H141" s="11" t="str">
        <x:v>Nhân Dân tiếng Hàn – dẫn chứng trong hồ sơ gốc</x:v>
      </x:c>
      <x:c r="I141" s="30" t="str">
        <x:v>https://kr.nhandan.vn/article-post5121.html</x:v>
      </x:c>
      <x:c r="J141" s="11" t="str">
        <x:v>Chứng cứ biểu thức trong corpus; không tự là định nghĩa từ điển hoặc xác nhận mọi nét nghĩa.</x:v>
      </x:c>
      <x:c r="K141" s="11" t="str">
        <x:v>2026-10-28</x:v>
      </x:c>
    </x:row>
    <x:row r="142" ht="57" customHeight="1">
      <x:c r="A142" s="11" t="str">
        <x:v>M039</x:v>
      </x:c>
      <x:c r="B142" s="11" t="str">
        <x:v>VI</x:v>
      </x:c>
      <x:c r="C142" s="11" t="str">
        <x:v>Cảnh sát biển Việt Nam</x:v>
      </x:c>
      <x:c r="D142" s="11" t="str">
        <x:v>Tên riêng: có nguồn về đối tượng</x:v>
      </x:c>
      <x:c r="E142" s="11" t="str">
        <x:v>* Mô tả chính thức</x:v>
      </x:c>
      <x:c r="F142" s="11" t="str">
        <x:v>VI</x:v>
      </x:c>
      <x:c r="G142" s="11" t="str">
        <x:v>S061</x:v>
      </x:c>
      <x:c r="H142" s="11" t="str">
        <x:v>Cảnh sát biển là nòng cốt thực thi pháp luật trên biển</x:v>
      </x:c>
      <x:c r="I142" s="30" t="str">
        <x:v>https://baochinhphu.vn/canh-sat-bien-la-nong-cot-thuc-thi-phap-luat-tren-bien-102248070.htm</x:v>
      </x:c>
      <x:c r="J142" s="11" t="str">
        <x:v>Chưa xác minh định nghĩa độc lập của nguyên biểu thức/nghĩa chọn trong ngôn ngữ này. Đối chiếu trong hồ sơ cũ;</x:v>
      </x:c>
      <x:c r="K142" s="11" t="str">
        <x:v>2026-10-28</x:v>
      </x:c>
    </x:row>
    <x:row r="143" ht="57" customHeight="1">
      <x:c r="A143" s="11" t="str">
        <x:v>M039</x:v>
      </x:c>
      <x:c r="B143" s="11" t="str">
        <x:v>KO</x:v>
      </x:c>
      <x:c r="C143" s="11" t="str">
        <x:v>베트남 해경</x:v>
      </x:c>
      <x:c r="D143" s="11" t="str">
        <x:v>Tên riêng: có nguồn về đối tượng</x:v>
      </x:c>
      <x:c r="E143" s="11" t="str">
        <x:v>* Diễn giải mô tả VI</x:v>
      </x:c>
      <x:c r="F143" s="11" t="str">
        <x:v>VI</x:v>
      </x:c>
      <x:c r="G143" s="11" t="str">
        <x:v>S061</x:v>
      </x:c>
      <x:c r="H143" s="11" t="str">
        <x:v>Cảnh sát biển là nòng cốt thực thi pháp luật trên biển</x:v>
      </x:c>
      <x:c r="I143" s="30" t="str">
        <x:v>https://baochinhphu.vn/canh-sat-bien-la-nong-cot-thuc-thi-phap-luat-tren-bien-102248070.htm</x:v>
      </x:c>
      <x:c r="J143" s="11" t="str">
        <x:v>Chưa xác minh định nghĩa độc lập của nguyên biểu thức/nghĩa chọn trong ngôn ngữ này. Đối chiếu trong hồ sơ cũ;</x:v>
      </x:c>
      <x:c r="K143" s="11" t="str">
        <x:v>2026-10-28</x:v>
      </x:c>
    </x:row>
    <x:row r="144" ht="57" customHeight="1">
      <x:c r="A144" s="11" t="str">
        <x:v>M039</x:v>
      </x:c>
      <x:c r="B144" s="11" t="str">
        <x:v>Bổ sung</x:v>
      </x:c>
      <x:c r="C144" s="11" t="str">
        <x:v>Cảnh sát biển Việt Nam / 베트남 해경</x:v>
      </x:c>
      <x:c r="D144" s="11" t="str">
        <x:v>Xem dòng VI/KO</x:v>
      </x:c>
      <x:c r="E144" s="11" t="str">
        <x:v>Chứng cứ cách dùng trong ngữ liệu</x:v>
      </x:c>
      <x:c r="F144" s="11" t="str">
        <x:v>KO</x:v>
      </x:c>
      <x:c r="G144" s="11" t="str">
        <x:v>S062</x:v>
      </x:c>
      <x:c r="H144" s="11" t="str">
        <x:v>Nhân Dân tiếng Hàn – dẫn chứng trong hồ sơ gốc</x:v>
      </x:c>
      <x:c r="I144" s="30" t="str">
        <x:v>https://kr.nhandan.vn/article-post5977.html</x:v>
      </x:c>
      <x:c r="J144" s="11" t="str">
        <x:v>Chứng cứ biểu thức trong corpus; không tự là định nghĩa từ điển hoặc xác nhận mọi nét nghĩa.</x:v>
      </x:c>
      <x:c r="K144" s="11" t="str">
        <x:v>2026-10-28</x:v>
      </x:c>
    </x:row>
    <x:row r="145" ht="57" customHeight="1">
      <x:c r="A145" s="11" t="str">
        <x:v>T105</x:v>
      </x:c>
      <x:c r="B145" s="11" t="str">
        <x:v>VI</x:v>
      </x:c>
      <x:c r="C145" s="11" t="str">
        <x:v>Chính phủ</x:v>
      </x:c>
      <x:c r="D145" s="11" t="str">
        <x:v>CẦN TRA — chưa xác minh mục từ</x:v>
      </x:c>
      <x:c r="E145" s="11" t="str">
        <x:v>Định nghĩa chuyên ngành [VI]</x:v>
      </x:c>
      <x:c r="F145" s="11" t="str">
        <x:v>VI</x:v>
      </x:c>
      <x:c r="G145" s="11" t="str">
        <x:v>S003</x:v>
      </x:c>
      <x:c r="H145" s="11" t="str">
        <x:v>Hiến pháp năm 2013 – Chương VII: Chính phủ</x:v>
      </x:c>
      <x:c r="I145" s="30" t="str">
        <x:v>https://chinhphu.vn/hien-phap-nam-2013/chuong-vii-chinh-phu-10052988</x:v>
      </x:c>
      <x:c r="J145" s="11" t="str">
        <x:v>Đã đọc nguồn giải nghĩa bằng ngôn ngữ này; vẫn đối chiếu nghĩa chọn và ghi chú.</x:v>
      </x:c>
      <x:c r="K145" s="11" t="str">
        <x:v>2026-10-28</x:v>
      </x:c>
    </x:row>
    <x:row r="146" ht="57" customHeight="1">
      <x:c r="A146" s="11" t="str">
        <x:v>T105</x:v>
      </x:c>
      <x:c r="B146" s="11" t="str">
        <x:v>KO</x:v>
      </x:c>
      <x:c r="C146" s="11" t="str">
        <x:v>정부</x:v>
      </x:c>
      <x:c r="D146" s="11" t="str">
        <x:v>CẦN TRA — chưa xác minh mục từ</x:v>
      </x:c>
      <x:c r="E146" s="11" t="str">
        <x:v>* Diễn giải mô tả VI</x:v>
      </x:c>
      <x:c r="F146" s="11" t="str">
        <x:v>VI</x:v>
      </x:c>
      <x:c r="G146" s="11" t="str">
        <x:v>S003</x:v>
      </x:c>
      <x:c r="H146" s="11" t="str">
        <x:v>Hiến pháp năm 2013 – Chương VII: Chính phủ</x:v>
      </x:c>
      <x:c r="I146" s="30" t="str">
        <x:v>https://chinhphu.vn/hien-phap-nam-2013/chuong-vii-chinh-phu-10052988</x:v>
      </x:c>
      <x:c r="J146" s="11" t="str">
        <x:v>Chưa xác minh định nghĩa độc lập của nguyên biểu thức/nghĩa chọn trong ngôn ngữ này. Đối chiếu trong hồ sơ cũ; Văn bản hiến pháp; dùng xác nhận khái niệm/chức danh, không kết luận mọi điều khoản chưa được sửa đổi.</x:v>
      </x:c>
      <x:c r="K146" s="11" t="str">
        <x:v>2026-10-28</x:v>
      </x:c>
    </x:row>
    <x:row r="147" ht="57" customHeight="1">
      <x:c r="A147" s="11" t="str">
        <x:v>T105</x:v>
      </x:c>
      <x:c r="B147" s="11" t="str">
        <x:v>Bổ sung</x:v>
      </x:c>
      <x:c r="C147" s="11" t="str">
        <x:v>Chính phủ / 정부</x:v>
      </x:c>
      <x:c r="D147" s="11" t="str">
        <x:v>Xem dòng VI/KO</x:v>
      </x:c>
      <x:c r="E147" s="11" t="str">
        <x:v>Chứng cứ cách dùng trong ngữ liệu</x:v>
      </x:c>
      <x:c r="F147" s="11" t="str">
        <x:v>KO</x:v>
      </x:c>
      <x:c r="G147" s="11" t="str">
        <x:v>S063</x:v>
      </x:c>
      <x:c r="H147" s="11" t="str">
        <x:v>Nhân Dân tiếng Hàn – dẫn chứng trong hồ sơ gốc</x:v>
      </x:c>
      <x:c r="I147" s="30" t="str">
        <x:v>https://kr.nhandan.vn/article-post5118.html</x:v>
      </x:c>
      <x:c r="J147" s="11" t="str">
        <x:v>Chứng cứ biểu thức trong corpus; không tự là định nghĩa từ điển hoặc xác nhận mọi nét nghĩa.</x:v>
      </x:c>
      <x:c r="K147" s="11" t="str">
        <x:v>2026-10-28</x:v>
      </x:c>
    </x:row>
    <x:row r="148" ht="57" customHeight="1">
      <x:c r="A148" s="11" t="str">
        <x:v>M051</x:v>
      </x:c>
      <x:c r="B148" s="11" t="str">
        <x:v>VI</x:v>
      </x:c>
      <x:c r="C148" s="11" t="str">
        <x:v>cơ quan ngôn luận của Đảng</x:v>
      </x:c>
      <x:c r="D148" s="11" t="str">
        <x:v>CẦN TRA — chưa xác minh mục từ</x:v>
      </x:c>
      <x:c r="E148" s="11" t="str">
        <x:v>* Nghĩa làm việc; cần nguồn định nghĩa</x:v>
      </x:c>
      <x:c r="F148" s="11" t="str">
        <x:v>VI</x:v>
      </x:c>
      <x:c r="G148" s="11" t="str">
        <x:v>S064</x:v>
      </x:c>
      <x:c r="H148" s="11" t="str">
        <x:v>Mỗi sản phẩm báo chí phải đặt lợi ích quốc gia, dân tộc và lợi ích của nhân dân lên trên hết</x:v>
      </x:c>
      <x:c r="I148" s="30" t="str">
        <x:v>https://baochinhphu.vn/moi-san-pham-bao-chi-phai-dat-loi-ich-quoc-gia-dan-toc-va-loi-ich-cua-nhan-dan-len-tren-het-102260730193402741.htm</x:v>
      </x:c>
      <x:c r="J148" s="11" t="str">
        <x:v>Chưa xác minh định nghĩa độc lập của nguyên biểu thức/nghĩa chọn trong ngôn ngữ này. Đối chiếu trong hồ sơ cũ;</x:v>
      </x:c>
      <x:c r="K148" s="11" t="str">
        <x:v>2026-10-28</x:v>
      </x:c>
    </x:row>
    <x:row r="149" ht="57" customHeight="1">
      <x:c r="A149" s="11" t="str">
        <x:v>M051</x:v>
      </x:c>
      <x:c r="B149" s="11" t="str">
        <x:v>KO</x:v>
      </x:c>
      <x:c r="C149" s="11" t="str">
        <x:v>당 기관지</x:v>
      </x:c>
      <x:c r="D149" s="11" t="str">
        <x:v>CẦN TRA — chưa xác minh mục từ</x:v>
      </x:c>
      <x:c r="E149" s="11" t="str">
        <x:v>* Nghĩa làm việc; cần nguồn định nghĩa</x:v>
      </x:c>
      <x:c r="F149" s="11" t="str">
        <x:v>KO</x:v>
      </x:c>
      <x:c r="G149" s="11" t="str">
        <x:v>S065</x:v>
      </x:c>
      <x:c r="H149" s="11" t="str">
        <x:v>우리말샘 – 기관지; 국립국어원, cung cấp qua 디지털집현전</x:v>
      </x:c>
      <x:c r="I149" s="30" t="str">
        <x:v>https://k-knowledge.kr/srch/read.jsp?id=268703247</x:v>
      </x:c>
      <x:c r="J149" s="11" t="str">
        <x:v>Chưa xác minh định nghĩa độc lập của nguyên biểu thức/nghĩa chọn trong ngôn ngữ này. Mục thành tố 기관지 (機關紙) gọi ấn phẩm báo của tổ chức. Không phải mục đầy đủ 당 기관지 và không phải 기관지 (氣管支).</x:v>
      </x:c>
      <x:c r="K149" s="11" t="str">
        <x:v>2026-10-28</x:v>
      </x:c>
    </x:row>
    <x:row r="150" ht="57" customHeight="1">
      <x:c r="A150" s="11" t="str">
        <x:v>M051</x:v>
      </x:c>
      <x:c r="B150" s="11" t="str">
        <x:v>Bổ sung</x:v>
      </x:c>
      <x:c r="C150" s="11" t="str">
        <x:v>cơ quan ngôn luận của Đảng / 당 기관지</x:v>
      </x:c>
      <x:c r="D150" s="11" t="str">
        <x:v>Xem dòng VI/KO</x:v>
      </x:c>
      <x:c r="E150" s="11" t="str">
        <x:v>Chứng cứ cách dùng trong ngữ liệu</x:v>
      </x:c>
      <x:c r="F150" s="11" t="str">
        <x:v>KO</x:v>
      </x:c>
      <x:c r="G150" s="11" t="str">
        <x:v>S066</x:v>
      </x:c>
      <x:c r="H150" s="11" t="str">
        <x:v>Nhân Dân tiếng Hàn – dẫn chứng trong hồ sơ gốc</x:v>
      </x:c>
      <x:c r="I150" s="30" t="str">
        <x:v>https://kr.nhandan.vn/article-post3118.html</x:v>
      </x:c>
      <x:c r="J150" s="11" t="str">
        <x:v>Chứng cứ biểu thức trong corpus; không tự là định nghĩa từ điển hoặc xác nhận mọi nét nghĩa.</x:v>
      </x:c>
      <x:c r="K150" s="11" t="str">
        <x:v>2026-10-28</x:v>
      </x:c>
    </x:row>
    <x:row r="151" ht="72" customHeight="1">
      <x:c r="A151" s="11" t="str">
        <x:v>T171</x:v>
      </x:c>
      <x:c r="B151" s="11" t="str">
        <x:v>VI</x:v>
      </x:c>
      <x:c r="C151" s="11" t="str">
        <x:v>Đại hội đồng Liên hợp quốc</x:v>
      </x:c>
      <x:c r="D151" s="11" t="str">
        <x:v>Tên riêng: có nguồn về đối tượng</x:v>
      </x:c>
      <x:c r="E151" s="11" t="str">
        <x:v>* Diễn giải mô tả EN</x:v>
      </x:c>
      <x:c r="F151" s="11" t="str">
        <x:v>EN</x:v>
      </x:c>
      <x:c r="G151" s="11" t="str">
        <x:v>S067</x:v>
      </x:c>
      <x:c r="H151" s="11" t="str">
        <x:v>Main Bodies – United Nations</x:v>
      </x:c>
      <x:c r="I151" s="30" t="str">
        <x:v>https://www.un.org/about-us/main-bodies</x:v>
      </x:c>
      <x:c r="J151"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151" s="11" t="str">
        <x:v>2026-10-28</x:v>
      </x:c>
    </x:row>
    <x:row r="152" ht="72" customHeight="1">
      <x:c r="A152" s="11" t="str">
        <x:v>T171</x:v>
      </x:c>
      <x:c r="B152" s="11" t="str">
        <x:v>KO</x:v>
      </x:c>
      <x:c r="C152" s="11" t="str">
        <x:v>유엔 총회</x:v>
      </x:c>
      <x:c r="D152" s="11" t="str">
        <x:v>Tên riêng: có nguồn về đối tượng</x:v>
      </x:c>
      <x:c r="E152" s="11" t="str">
        <x:v>* Diễn giải mô tả EN</x:v>
      </x:c>
      <x:c r="F152" s="11" t="str">
        <x:v>EN</x:v>
      </x:c>
      <x:c r="G152" s="11" t="str">
        <x:v>S067</x:v>
      </x:c>
      <x:c r="H152" s="11" t="str">
        <x:v>Main Bodies – United Nations</x:v>
      </x:c>
      <x:c r="I152" s="30" t="str">
        <x:v>https://www.un.org/about-us/main-bodies</x:v>
      </x:c>
      <x:c r="J152"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152" s="11" t="str">
        <x:v>2026-10-28</x:v>
      </x:c>
    </x:row>
    <x:row r="153" ht="57" customHeight="1">
      <x:c r="A153" s="11" t="str">
        <x:v>T171</x:v>
      </x:c>
      <x:c r="B153" s="11" t="str">
        <x:v>Bổ sung</x:v>
      </x:c>
      <x:c r="C153" s="11" t="str">
        <x:v>Đại hội đồng Liên hợp quốc / 유엔 총회</x:v>
      </x:c>
      <x:c r="D153" s="11" t="str">
        <x:v>Xem dòng VI/KO</x:v>
      </x:c>
      <x:c r="E153" s="11" t="str">
        <x:v>Chứng cứ cách dùng trong ngữ liệu</x:v>
      </x:c>
      <x:c r="F153" s="11" t="str">
        <x:v>KO</x:v>
      </x:c>
      <x:c r="G153" s="11" t="str">
        <x:v>S068</x:v>
      </x:c>
      <x:c r="H153" s="11" t="str">
        <x:v>Nhân Dân tiếng Hàn – dẫn chứng trong hồ sơ gốc</x:v>
      </x:c>
      <x:c r="I153" s="30" t="str">
        <x:v>https://kr.nhandan.vn/article-post3776.html</x:v>
      </x:c>
      <x:c r="J153" s="11" t="str">
        <x:v>Chứng cứ biểu thức trong corpus; không tự là định nghĩa từ điển hoặc xác nhận mọi nét nghĩa.</x:v>
      </x:c>
      <x:c r="K153" s="11" t="str">
        <x:v>2026-10-28</x:v>
      </x:c>
    </x:row>
    <x:row r="154" ht="57" customHeight="1">
      <x:c r="A154" s="11" t="str">
        <x:v>M037</x:v>
      </x:c>
      <x:c r="B154" s="11" t="str">
        <x:v>VI</x:v>
      </x:c>
      <x:c r="C154" s="11" t="str">
        <x:v>đại sứ quán</x:v>
      </x:c>
      <x:c r="D154" s="11" t="str">
        <x:v>CẦN TRA — chưa xác minh mục từ</x:v>
      </x:c>
      <x:c r="E154" s="11" t="str">
        <x:v>* Mô tả chính thức</x:v>
      </x:c>
      <x:c r="F154" s="11" t="str">
        <x:v>VI</x:v>
      </x:c>
      <x:c r="G154" s="11" t="str">
        <x:v>S019</x:v>
      </x:c>
      <x:c r="H154" s="11" t="str">
        <x:v>Luật số 33/2009/QH12: Luật Cơ quan đại diện nước CHXHCN Việt Nam ở nước ngoài</x:v>
      </x:c>
      <x:c r="I154" s="30" t="str">
        <x:v>https://chinhphu.vn/default.aspx?docid=91023&amp;pageid=27160</x:v>
      </x:c>
      <x:c r="J154" s="11" t="str">
        <x:v>Chưa xác minh định nghĩa độc lập của nguyên biểu thức/nghĩa chọn trong ngôn ngữ này. Đối chiếu trong hồ sơ cũ; Dùng định danh và cấu trúc thuật ngữ ở Điều 2,18–19; không khẳng định toàn văn chưa sửa đổi.</x:v>
      </x:c>
      <x:c r="K154" s="11" t="str">
        <x:v>2026-10-28</x:v>
      </x:c>
    </x:row>
    <x:row r="155" ht="57" customHeight="1">
      <x:c r="A155" s="11" t="str">
        <x:v>M037</x:v>
      </x:c>
      <x:c r="B155" s="11" t="str">
        <x:v>KO</x:v>
      </x:c>
      <x:c r="C155" s="11" t="str">
        <x:v>대사관</x:v>
      </x:c>
      <x:c r="D155" s="11" t="str">
        <x:v>Có mục từ và đã đọc nghĩa</x:v>
      </x:c>
      <x:c r="E155" s="11" t="str">
        <x:v>Mục từ có nghĩa [KO]</x:v>
      </x:c>
      <x:c r="F155" s="11" t="str">
        <x:v>KO</x:v>
      </x:c>
      <x:c r="G155" s="11" t="str">
        <x:v>S069</x:v>
      </x:c>
      <x:c r="H155" s="11" t="str">
        <x:v>한국어기초사전 – mục 대사관 trong kết quả tra cứu; 국립국어원</x:v>
      </x:c>
      <x:c r="I155" s="30" t="str">
        <x:v>https://krdict.korean.go.kr/m/eng/searchResult?ParaWordNo=14274&amp;currentPage=3&amp;exaType=&amp;font_size=12&amp;mainSearchWord=%EB%8C%80&amp;nation=eng&amp;nationCode=6&amp;proverbType=&amp;searchType=W&amp;sort=W&amp;viewType=A&amp;wordMatchFlag=N</x:v>
      </x:c>
      <x:c r="J155" s="11" t="str">
        <x:v>Đã đọc nguồn giải nghĩa bằng ngôn ngữ này; vẫn đối chiếu nghĩa chọn và ghi chú.</x:v>
      </x:c>
      <x:c r="K155" s="11" t="str">
        <x:v>2026-10-28</x:v>
      </x:c>
    </x:row>
    <x:row r="156" ht="57" customHeight="1">
      <x:c r="A156" s="11" t="str">
        <x:v>M037</x:v>
      </x:c>
      <x:c r="B156" s="11" t="str">
        <x:v>Bổ sung</x:v>
      </x:c>
      <x:c r="C156" s="11" t="str">
        <x:v>đại sứ quán / 대사관</x:v>
      </x:c>
      <x:c r="D156" s="11" t="str">
        <x:v>Xem dòng VI/KO</x:v>
      </x:c>
      <x:c r="E156" s="11" t="str">
        <x:v>Chứng cứ cách dùng trong ngữ liệu</x:v>
      </x:c>
      <x:c r="F156" s="11" t="str">
        <x:v>KO</x:v>
      </x:c>
      <x:c r="G156" s="11" t="str">
        <x:v>S013</x:v>
      </x:c>
      <x:c r="H156" s="11" t="str">
        <x:v>Nhân Dân tiếng Hàn – dẫn chứng trong hồ sơ gốc</x:v>
      </x:c>
      <x:c r="I156" s="30" t="str">
        <x:v>https://kr.nhandan.vn/article-post5907.html</x:v>
      </x:c>
      <x:c r="J156" s="11" t="str">
        <x:v>Chứng cứ biểu thức trong corpus; không tự là định nghĩa từ điển hoặc xác nhận mọi nét nghĩa.</x:v>
      </x:c>
      <x:c r="K156" s="11" t="str">
        <x:v>2026-10-28</x:v>
      </x:c>
    </x:row>
    <x:row r="157" ht="57" customHeight="1">
      <x:c r="A157" s="11" t="str">
        <x:v>T110</x:v>
      </x:c>
      <x:c r="B157" s="11" t="str">
        <x:v>VI</x:v>
      </x:c>
      <x:c r="C157" s="11" t="str">
        <x:v>đảng bộ</x:v>
      </x:c>
      <x:c r="D157" s="11" t="str">
        <x:v>CẦN TRA — chưa xác minh mục từ</x:v>
      </x:c>
      <x:c r="E157" s="11" t="str">
        <x:v>* Nghĩa làm việc; cần nguồn định nghĩa</x:v>
      </x:c>
      <x:c r="F157" s="11" t="str">
        <x:v>VI</x:v>
      </x:c>
      <x:c r="G157" s="11" t="str">
        <x:v>S021</x:v>
      </x:c>
      <x:c r="H157" s="11" t="str">
        <x:v>Điều lệ Đảng (do Đại hội đại biểu toàn quốc lần thứ XI của Đảng thông qua)</x:v>
      </x:c>
      <x:c r="I157" s="30" t="str">
        <x:v>https://tulieuvankien.dangcongsan.vn/ban-chap-hanh-trung-uong-dang/dai-hoi-dang/lan-thu-xi/dieu-le-dang-do-dai-hoi-dai-bieu-toan-quoc-lan-thu-xi-cua-dang-thong-qua-1472</x:v>
      </x:c>
      <x:c r="J157" s="11" t="str">
        <x:v>Chưa xác minh định nghĩa độc lập của nguyên biểu thức/nghĩa chọn trong ngôn ngữ này. Đối chiếu trong hồ sơ cũ;</x:v>
      </x:c>
      <x:c r="K157" s="11" t="str">
        <x:v>2026-10-28</x:v>
      </x:c>
    </x:row>
    <x:row r="158" ht="57" customHeight="1">
      <x:c r="A158" s="11" t="str">
        <x:v>T110</x:v>
      </x:c>
      <x:c r="B158" s="11" t="str">
        <x:v>KO</x:v>
      </x:c>
      <x:c r="C158" s="11" t="str">
        <x:v>당 조직</x:v>
      </x:c>
      <x:c r="D158" s="11" t="str">
        <x:v>CẦN TRA — chưa xác minh mục từ</x:v>
      </x:c>
      <x:c r="E158" s="11" t="str">
        <x:v>* Nghĩa làm việc; cần nguồn định nghĩa</x:v>
      </x:c>
      <x:c r="F158" s="11" t="str">
        <x:v>VI</x:v>
      </x:c>
      <x:c r="G158" s="11" t="str">
        <x:v>S021</x:v>
      </x:c>
      <x:c r="H158" s="11" t="str">
        <x:v>Điều lệ Đảng (do Đại hội đại biểu toàn quốc lần thứ XI của Đảng thông qua)</x:v>
      </x:c>
      <x:c r="I158" s="30" t="str">
        <x:v>https://tulieuvankien.dangcongsan.vn/ban-chap-hanh-trung-uong-dang/dai-hoi-dang/lan-thu-xi/dieu-le-dang-do-dai-hoi-dai-bieu-toan-quoc-lan-thu-xi-cua-dang-thong-qua-1472</x:v>
      </x:c>
      <x:c r="J158" s="11" t="str">
        <x:v>Chưa xác minh định nghĩa độc lập của nguyên biểu thức/nghĩa chọn trong ngôn ngữ này. Đối chiếu trong hồ sơ cũ;</x:v>
      </x:c>
      <x:c r="K158" s="11" t="str">
        <x:v>2026-10-28</x:v>
      </x:c>
    </x:row>
    <x:row r="159" ht="57" customHeight="1">
      <x:c r="A159" s="11" t="str">
        <x:v>T110</x:v>
      </x:c>
      <x:c r="B159" s="11" t="str">
        <x:v>Bổ sung</x:v>
      </x:c>
      <x:c r="C159" s="11" t="str">
        <x:v>đảng bộ / 당 조직</x:v>
      </x:c>
      <x:c r="D159" s="11" t="str">
        <x:v>Xem dòng VI/KO</x:v>
      </x:c>
      <x:c r="E159" s="11" t="str">
        <x:v>Chứng cứ cách dùng trong ngữ liệu</x:v>
      </x:c>
      <x:c r="F159" s="11" t="str">
        <x:v>KO</x:v>
      </x:c>
      <x:c r="G159" s="11" t="str">
        <x:v>S070</x:v>
      </x:c>
      <x:c r="H159" s="11" t="str">
        <x:v>Nhân Dân tiếng Hàn – dẫn chứng trong hồ sơ gốc</x:v>
      </x:c>
      <x:c r="I159" s="30" t="str">
        <x:v>https://kr.nhandan.vn/article-post5474.html</x:v>
      </x:c>
      <x:c r="J159" s="11" t="str">
        <x:v>Chứng cứ biểu thức trong corpus; không tự là định nghĩa từ điển hoặc xác nhận mọi nét nghĩa.</x:v>
      </x:c>
      <x:c r="K159" s="11" t="str">
        <x:v>2026-10-28</x:v>
      </x:c>
    </x:row>
    <x:row r="160" ht="57" customHeight="1">
      <x:c r="A160" s="11" t="str">
        <x:v>T109</x:v>
      </x:c>
      <x:c r="B160" s="11" t="str">
        <x:v>VI</x:v>
      </x:c>
      <x:c r="C160" s="11" t="str">
        <x:v>Đảng Cộng sản</x:v>
      </x:c>
      <x:c r="D160" s="11" t="str">
        <x:v>CẦN TRA — chưa xác minh mục từ</x:v>
      </x:c>
      <x:c r="E160" s="11" t="str">
        <x:v>* Nghĩa làm việc; cần nguồn định nghĩa</x:v>
      </x:c>
      <x:c r="F160" s="11" t="str">
        <x:v>VI</x:v>
      </x:c>
      <x:c r="G160" s="11" t="str">
        <x:v>S009</x:v>
      </x:c>
      <x:c r="H160" s="11" t="str">
        <x:v>Hệ thống chính trị</x:v>
      </x:c>
      <x:c r="I160" s="30" t="str">
        <x:v>https://vanban.chinhphu.vn/he-thong-chinh-tri-68381</x:v>
      </x:c>
      <x:c r="J160" s="11" t="str">
        <x:v>Chưa xác minh định nghĩa độc lập của nguyên biểu thức/nghĩa chọn trong ngôn ngữ này. Đối chiếu trong hồ sơ cũ; Trang hệ thống chính trị có cập nhật các sửa đổi Hiến pháp năm 2025.</x:v>
      </x:c>
      <x:c r="K160" s="11" t="str">
        <x:v>2026-10-28</x:v>
      </x:c>
    </x:row>
    <x:row r="161" ht="57" customHeight="1">
      <x:c r="A161" s="11" t="str">
        <x:v>T109</x:v>
      </x:c>
      <x:c r="B161" s="11" t="str">
        <x:v>KO</x:v>
      </x:c>
      <x:c r="C161" s="11" t="str">
        <x:v>공산당</x:v>
      </x:c>
      <x:c r="D161" s="11" t="str">
        <x:v>CẦN TRA — chưa xác minh mục từ</x:v>
      </x:c>
      <x:c r="E161" s="11" t="str">
        <x:v>* Nghĩa làm việc; cần nguồn định nghĩa</x:v>
      </x:c>
      <x:c r="F161" s="11" t="str">
        <x:v>VI</x:v>
      </x:c>
      <x:c r="G161" s="11" t="str">
        <x:v>S009</x:v>
      </x:c>
      <x:c r="H161" s="11" t="str">
        <x:v>Hệ thống chính trị</x:v>
      </x:c>
      <x:c r="I161" s="30" t="str">
        <x:v>https://vanban.chinhphu.vn/he-thong-chinh-tri-68381</x:v>
      </x:c>
      <x:c r="J161" s="11" t="str">
        <x:v>Chưa xác minh định nghĩa độc lập của nguyên biểu thức/nghĩa chọn trong ngôn ngữ này. Đối chiếu trong hồ sơ cũ; Trang hệ thống chính trị có cập nhật các sửa đổi Hiến pháp năm 2025.</x:v>
      </x:c>
      <x:c r="K161" s="11" t="str">
        <x:v>2026-10-28</x:v>
      </x:c>
    </x:row>
    <x:row r="162" ht="57" customHeight="1">
      <x:c r="A162" s="11" t="str">
        <x:v>T109</x:v>
      </x:c>
      <x:c r="B162" s="11" t="str">
        <x:v>Bổ sung</x:v>
      </x:c>
      <x:c r="C162" s="11" t="str">
        <x:v>Đảng Cộng sản / 공산당</x:v>
      </x:c>
      <x:c r="D162" s="11" t="str">
        <x:v>Xem dòng VI/KO</x:v>
      </x:c>
      <x:c r="E162" s="11" t="str">
        <x:v>Chứng cứ cách dùng trong ngữ liệu</x:v>
      </x:c>
      <x:c r="F162" s="11" t="str">
        <x:v>KO</x:v>
      </x:c>
      <x:c r="G162" s="11" t="str">
        <x:v>S071</x:v>
      </x:c>
      <x:c r="H162" s="11" t="str">
        <x:v>Nhân Dân tiếng Hàn – dẫn chứng trong hồ sơ gốc</x:v>
      </x:c>
      <x:c r="I162" s="30" t="str">
        <x:v>https://kr.nhandan.vn/article-post3529.html</x:v>
      </x:c>
      <x:c r="J162" s="11" t="str">
        <x:v>Chứng cứ biểu thức trong corpus; không tự là định nghĩa từ điển hoặc xác nhận mọi nét nghĩa.</x:v>
      </x:c>
      <x:c r="K162" s="11" t="str">
        <x:v>2026-10-28</x:v>
      </x:c>
    </x:row>
    <x:row r="163" ht="57" customHeight="1">
      <x:c r="A163" s="11" t="str">
        <x:v>T111</x:v>
      </x:c>
      <x:c r="B163" s="11" t="str">
        <x:v>VI</x:v>
      </x:c>
      <x:c r="C163" s="11" t="str">
        <x:v>Đảng Cộng sản Việt Nam</x:v>
      </x:c>
      <x:c r="D163" s="11" t="str">
        <x:v>Tên riêng: có nguồn về đối tượng</x:v>
      </x:c>
      <x:c r="E163" s="11" t="str">
        <x:v>* Mô tả chính thức</x:v>
      </x:c>
      <x:c r="F163" s="11" t="str">
        <x:v>VI</x:v>
      </x:c>
      <x:c r="G163" s="11" t="str">
        <x:v>S009</x:v>
      </x:c>
      <x:c r="H163" s="11" t="str">
        <x:v>Hệ thống chính trị</x:v>
      </x:c>
      <x:c r="I163" s="30" t="str">
        <x:v>https://vanban.chinhphu.vn/he-thong-chinh-tri-68381</x:v>
      </x:c>
      <x:c r="J163" s="11" t="str">
        <x:v>Chưa xác minh định nghĩa độc lập của nguyên biểu thức/nghĩa chọn trong ngôn ngữ này. Đối chiếu trong hồ sơ cũ; Trang hệ thống chính trị có cập nhật các sửa đổi Hiến pháp năm 2025.</x:v>
      </x:c>
      <x:c r="K163" s="11" t="str">
        <x:v>2026-10-28</x:v>
      </x:c>
    </x:row>
    <x:row r="164" ht="57" customHeight="1">
      <x:c r="A164" s="11" t="str">
        <x:v>T111</x:v>
      </x:c>
      <x:c r="B164" s="11" t="str">
        <x:v>KO</x:v>
      </x:c>
      <x:c r="C164" s="11" t="str">
        <x:v>베트남 공산당</x:v>
      </x:c>
      <x:c r="D164" s="11" t="str">
        <x:v>Tên riêng: có nguồn về đối tượng</x:v>
      </x:c>
      <x:c r="E164" s="11" t="str">
        <x:v>* Diễn giải mô tả VI</x:v>
      </x:c>
      <x:c r="F164" s="11" t="str">
        <x:v>VI</x:v>
      </x:c>
      <x:c r="G164" s="11" t="str">
        <x:v>S009</x:v>
      </x:c>
      <x:c r="H164" s="11" t="str">
        <x:v>Hệ thống chính trị</x:v>
      </x:c>
      <x:c r="I164" s="30" t="str">
        <x:v>https://vanban.chinhphu.vn/he-thong-chinh-tri-68381</x:v>
      </x:c>
      <x:c r="J164" s="11" t="str">
        <x:v>Chưa xác minh định nghĩa độc lập của nguyên biểu thức/nghĩa chọn trong ngôn ngữ này. Đối chiếu trong hồ sơ cũ; Trang hệ thống chính trị có cập nhật các sửa đổi Hiến pháp năm 2025.</x:v>
      </x:c>
      <x:c r="K164" s="11" t="str">
        <x:v>2026-10-28</x:v>
      </x:c>
    </x:row>
    <x:row r="165" ht="57" customHeight="1">
      <x:c r="A165" s="11" t="str">
        <x:v>T111</x:v>
      </x:c>
      <x:c r="B165" s="11" t="str">
        <x:v>Bổ sung</x:v>
      </x:c>
      <x:c r="C165" s="11" t="str">
        <x:v>Đảng Cộng sản Việt Nam / 베트남 공산당</x:v>
      </x:c>
      <x:c r="D165" s="11" t="str">
        <x:v>Xem dòng VI/KO</x:v>
      </x:c>
      <x:c r="E165" s="11" t="str">
        <x:v>Chứng cứ cách dùng trong ngữ liệu</x:v>
      </x:c>
      <x:c r="F165" s="11" t="str">
        <x:v>KO</x:v>
      </x:c>
      <x:c r="G165" s="11" t="str">
        <x:v>S066</x:v>
      </x:c>
      <x:c r="H165" s="11" t="str">
        <x:v>Nhân Dân tiếng Hàn – dẫn chứng trong hồ sơ gốc</x:v>
      </x:c>
      <x:c r="I165" s="30" t="str">
        <x:v>https://kr.nhandan.vn/article-post3118.html</x:v>
      </x:c>
      <x:c r="J165" s="11" t="str">
        <x:v>Chứng cứ biểu thức trong corpus; không tự là định nghĩa từ điển hoặc xác nhận mọi nét nghĩa.</x:v>
      </x:c>
      <x:c r="K165" s="11" t="str">
        <x:v>2026-10-28</x:v>
      </x:c>
    </x:row>
    <x:row r="166" ht="57" customHeight="1">
      <x:c r="A166" s="11" t="str">
        <x:v>T125</x:v>
      </x:c>
      <x:c r="B166" s="11" t="str">
        <x:v>VI</x:v>
      </x:c>
      <x:c r="C166" s="11" t="str">
        <x:v>Đảng Nhân dân Cách mạng Lào</x:v>
      </x:c>
      <x:c r="D166" s="11" t="str">
        <x:v>Tên riêng: có nguồn về đối tượng</x:v>
      </x:c>
      <x:c r="E166" s="11" t="str">
        <x:v>* Diễn giải mô tả KO</x:v>
      </x:c>
      <x:c r="F166" s="11" t="str">
        <x:v>KO</x:v>
      </x:c>
      <x:c r="G166" s="11" t="str">
        <x:v>S072</x:v>
      </x:c>
      <x:c r="H166" s="11" t="str">
        <x:v>국가정보: 라오인민민주주의공화국 – 외교부</x:v>
      </x:c>
      <x:c r="I166" s="30" t="str">
        <x:v>https://www.mofa.go.kr/www/nation/m_3458/view.do?seq=11&amp;titleNm=%EA%B5%AD%EA%B0%80%EC%A0%95%EB%B3%B4%28%EB%9D%BC%EC%98%A4%EC%9D%B8%EB%AF%BC%EB%AF%BC%EC%A3%BC%EC%A3%BC%EC%9D%98%EA%B3%B5%ED%99%94%EA%B5%AD%29</x:v>
      </x:c>
      <x:c r="J166" s="11" t="str">
        <x:v>Chưa xác minh định nghĩa độc lập của nguyên biểu thức/nghĩa chọn trong ngôn ngữ này. Xác định 라오인민혁명당 là chính đảng ở Lào.</x:v>
      </x:c>
      <x:c r="K166" s="11" t="str">
        <x:v>2026-10-28</x:v>
      </x:c>
    </x:row>
    <x:row r="167" ht="57" customHeight="1">
      <x:c r="A167" s="11" t="str">
        <x:v>T125</x:v>
      </x:c>
      <x:c r="B167" s="11" t="str">
        <x:v>KO</x:v>
      </x:c>
      <x:c r="C167" s="11" t="str">
        <x:v>라오인민혁명당</x:v>
      </x:c>
      <x:c r="D167" s="11" t="str">
        <x:v>Tên riêng: có nguồn về đối tượng</x:v>
      </x:c>
      <x:c r="E167" s="11" t="str">
        <x:v>* Mô tả chính thức</x:v>
      </x:c>
      <x:c r="F167" s="11" t="str">
        <x:v>KO</x:v>
      </x:c>
      <x:c r="G167" s="11" t="str">
        <x:v>S072</x:v>
      </x:c>
      <x:c r="H167" s="11" t="str">
        <x:v>국가정보: 라오인민민주주의공화국 – 외교부</x:v>
      </x:c>
      <x:c r="I167" s="30" t="str">
        <x:v>https://www.mofa.go.kr/www/nation/m_3458/view.do?seq=11&amp;titleNm=%EA%B5%AD%EA%B0%80%EC%A0%95%EB%B3%B4%28%EB%9D%BC%EC%98%A4%EC%9D%B8%EB%AF%BC%EB%AF%BC%EC%A3%BC%EC%A3%BC%EC%9D%98%EA%B3%B5%ED%99%94%EA%B5%AD%29</x:v>
      </x:c>
      <x:c r="J167" s="11" t="str">
        <x:v>Chưa xác minh định nghĩa độc lập của nguyên biểu thức/nghĩa chọn trong ngôn ngữ này. Xác định 라오인민혁명당 là chính đảng ở Lào.</x:v>
      </x:c>
      <x:c r="K167" s="11" t="str">
        <x:v>2026-10-28</x:v>
      </x:c>
    </x:row>
    <x:row r="168" ht="57" customHeight="1">
      <x:c r="A168" s="11" t="str">
        <x:v>T125</x:v>
      </x:c>
      <x:c r="B168" s="11" t="str">
        <x:v>Bổ sung</x:v>
      </x:c>
      <x:c r="C168" s="11" t="str">
        <x:v>Đảng Nhân dân Cách mạng Lào / 라오인민혁명당</x:v>
      </x:c>
      <x:c r="D168" s="11" t="str">
        <x:v>Xem dòng VI/KO</x:v>
      </x:c>
      <x:c r="E168" s="11" t="str">
        <x:v>Chứng cứ cách dùng trong ngữ liệu</x:v>
      </x:c>
      <x:c r="F168" s="11" t="str">
        <x:v>KO</x:v>
      </x:c>
      <x:c r="G168" s="11" t="str">
        <x:v>S073</x:v>
      </x:c>
      <x:c r="H168" s="11" t="str">
        <x:v>Nhân Dân tiếng Hàn – dẫn chứng trong hồ sơ gốc</x:v>
      </x:c>
      <x:c r="I168" s="30" t="str">
        <x:v>https://kr.nhandan.vn/article-post3623.html</x:v>
      </x:c>
      <x:c r="J168" s="11" t="str">
        <x:v>Chứng cứ biểu thức trong corpus; không tự là định nghĩa từ điển hoặc xác nhận mọi nét nghĩa.</x:v>
      </x:c>
      <x:c r="K168" s="11" t="str">
        <x:v>2026-10-28</x:v>
      </x:c>
    </x:row>
    <x:row r="169" ht="57" customHeight="1">
      <x:c r="A169" s="11" t="str">
        <x:v>T128</x:v>
      </x:c>
      <x:c r="B169" s="11" t="str">
        <x:v>VI</x:v>
      </x:c>
      <x:c r="C169" s="11" t="str">
        <x:v>Đảng Nhân dân Campuchia</x:v>
      </x:c>
      <x:c r="D169" s="11" t="str">
        <x:v>Tên riêng: có nguồn về đối tượng</x:v>
      </x:c>
      <x:c r="E169" s="11" t="str">
        <x:v>* Diễn giải mô tả KO</x:v>
      </x:c>
      <x:c r="F169" s="11" t="str">
        <x:v>KO</x:v>
      </x:c>
      <x:c r="G169" s="11" t="str">
        <x:v>S074</x:v>
      </x:c>
      <x:c r="H169" s="11" t="str">
        <x:v>VOV 한국어 – 레 민 흥 총리, 캄보디아 공식 방문 일정 돌입</x:v>
      </x:c>
      <x:c r="I169" s="30" t="str">
        <x:v>https://vov.vn/ko-KR/nyuseu/le-min-heung-chongli-kambodia-gongsig-bangmun-iljeong-dolib-2471595.vov</x:v>
      </x:c>
      <x:c r="J169" s="11" t="str">
        <x:v>Chưa xác minh định nghĩa độc lập của nguyên biểu thức/nghĩa chọn trong ngôn ngữ này. Bản tin chính thức nêu rõ tên 캄보디아 인민당 và CPP. Dùng nhận diện tên, không dùng để suy toàn bộ cương lĩnh.</x:v>
      </x:c>
      <x:c r="K169" s="11" t="str">
        <x:v>2026-10-28</x:v>
      </x:c>
    </x:row>
    <x:row r="170" ht="57" customHeight="1">
      <x:c r="A170" s="11" t="str">
        <x:v>T128</x:v>
      </x:c>
      <x:c r="B170" s="11" t="str">
        <x:v>KO</x:v>
      </x:c>
      <x:c r="C170" s="11" t="str">
        <x:v>캄보디아 인민당</x:v>
      </x:c>
      <x:c r="D170" s="11" t="str">
        <x:v>Tên riêng: có nguồn về đối tượng</x:v>
      </x:c>
      <x:c r="E170" s="11" t="str">
        <x:v>* Mô tả chính thức</x:v>
      </x:c>
      <x:c r="F170" s="11" t="str">
        <x:v>KO</x:v>
      </x:c>
      <x:c r="G170" s="11" t="str">
        <x:v>S074</x:v>
      </x:c>
      <x:c r="H170" s="11" t="str">
        <x:v>VOV 한국어 – 레 민 흥 총리, 캄보디아 공식 방문 일정 돌입</x:v>
      </x:c>
      <x:c r="I170" s="30" t="str">
        <x:v>https://vov.vn/ko-KR/nyuseu/le-min-heung-chongli-kambodia-gongsig-bangmun-iljeong-dolib-2471595.vov</x:v>
      </x:c>
      <x:c r="J170" s="11" t="str">
        <x:v>Chưa xác minh định nghĩa độc lập của nguyên biểu thức/nghĩa chọn trong ngôn ngữ này. Bản tin chính thức nêu rõ tên 캄보디아 인민당 và CPP. Dùng nhận diện tên, không dùng để suy toàn bộ cương lĩnh.</x:v>
      </x:c>
      <x:c r="K170" s="11" t="str">
        <x:v>2026-10-28</x:v>
      </x:c>
    </x:row>
    <x:row r="171" ht="57" customHeight="1">
      <x:c r="A171" s="11" t="str">
        <x:v>T128</x:v>
      </x:c>
      <x:c r="B171" s="11" t="str">
        <x:v>Bổ sung</x:v>
      </x:c>
      <x:c r="C171" s="11" t="str">
        <x:v>Đảng Nhân dân Campuchia / 캄보디아 인민당</x:v>
      </x:c>
      <x:c r="D171" s="11" t="str">
        <x:v>Xem dòng VI/KO</x:v>
      </x:c>
      <x:c r="E171" s="11" t="str">
        <x:v>Chứng cứ cách dùng trong ngữ liệu</x:v>
      </x:c>
      <x:c r="F171" s="11" t="str">
        <x:v>KO</x:v>
      </x:c>
      <x:c r="G171" s="11" t="str">
        <x:v>S058</x:v>
      </x:c>
      <x:c r="H171" s="11" t="str">
        <x:v>Nhân Dân tiếng Hàn – dẫn chứng trong hồ sơ gốc</x:v>
      </x:c>
      <x:c r="I171" s="30" t="str">
        <x:v>https://kr.nhandan.vn/article-post4578.html</x:v>
      </x:c>
      <x:c r="J171" s="11" t="str">
        <x:v>Chứng cứ biểu thức trong corpus; không tự là định nghĩa từ điển hoặc xác nhận mọi nét nghĩa.</x:v>
      </x:c>
      <x:c r="K171" s="11" t="str">
        <x:v>2026-10-28</x:v>
      </x:c>
    </x:row>
    <x:row r="172" ht="57" customHeight="1">
      <x:c r="A172" s="11" t="str">
        <x:v>T108</x:v>
      </x:c>
      <x:c r="B172" s="11" t="str">
        <x:v>VI</x:v>
      </x:c>
      <x:c r="C172" s="11" t="str">
        <x:v>Đảng ủy</x:v>
      </x:c>
      <x:c r="D172" s="11" t="str">
        <x:v>CẦN TRA — chưa xác minh mục từ</x:v>
      </x:c>
      <x:c r="E172" s="11" t="str">
        <x:v>* Mô tả chính thức</x:v>
      </x:c>
      <x:c r="F172" s="11" t="str">
        <x:v>VI</x:v>
      </x:c>
      <x:c r="G172" s="11" t="str">
        <x:v>S021</x:v>
      </x:c>
      <x:c r="H172" s="11" t="str">
        <x:v>Điều lệ Đảng (do Đại hội đại biểu toàn quốc lần thứ XI của Đảng thông qua)</x:v>
      </x:c>
      <x:c r="I172" s="30" t="str">
        <x:v>https://tulieuvankien.dangcongsan.vn/ban-chap-hanh-trung-uong-dang/dai-hoi-dang/lan-thu-xi/dieu-le-dang-do-dai-hoi-dai-bieu-toan-quoc-lan-thu-xi-cua-dang-thong-qua-1472</x:v>
      </x:c>
      <x:c r="J172" s="11" t="str">
        <x:v>Chưa xác minh định nghĩa độc lập của nguyên biểu thức/nghĩa chọn trong ngôn ngữ này. Đối chiếu trong hồ sơ cũ;</x:v>
      </x:c>
      <x:c r="K172" s="11" t="str">
        <x:v>2026-10-28</x:v>
      </x:c>
    </x:row>
    <x:row r="173" ht="57" customHeight="1">
      <x:c r="A173" s="11" t="str">
        <x:v>T108</x:v>
      </x:c>
      <x:c r="B173" s="11" t="str">
        <x:v>KO</x:v>
      </x:c>
      <x:c r="C173" s="11" t="str">
        <x:v>당위원회</x:v>
      </x:c>
      <x:c r="D173" s="11" t="str">
        <x:v>CẦN TRA — chưa xác minh mục từ</x:v>
      </x:c>
      <x:c r="E173" s="11" t="str">
        <x:v>* Diễn giải mô tả VI</x:v>
      </x:c>
      <x:c r="F173" s="11" t="str">
        <x:v>VI</x:v>
      </x:c>
      <x:c r="G173" s="11" t="str">
        <x:v>S021</x:v>
      </x:c>
      <x:c r="H173" s="11" t="str">
        <x:v>Điều lệ Đảng (do Đại hội đại biểu toàn quốc lần thứ XI của Đảng thông qua)</x:v>
      </x:c>
      <x:c r="I173" s="30" t="str">
        <x:v>https://tulieuvankien.dangcongsan.vn/ban-chap-hanh-trung-uong-dang/dai-hoi-dang/lan-thu-xi/dieu-le-dang-do-dai-hoi-dai-bieu-toan-quoc-lan-thu-xi-cua-dang-thong-qua-1472</x:v>
      </x:c>
      <x:c r="J173" s="11" t="str">
        <x:v>Chưa xác minh định nghĩa độc lập của nguyên biểu thức/nghĩa chọn trong ngôn ngữ này. Đối chiếu trong hồ sơ cũ;</x:v>
      </x:c>
      <x:c r="K173" s="11" t="str">
        <x:v>2026-10-28</x:v>
      </x:c>
    </x:row>
    <x:row r="174" ht="57" customHeight="1">
      <x:c r="A174" s="11" t="str">
        <x:v>T108</x:v>
      </x:c>
      <x:c r="B174" s="11" t="str">
        <x:v>Bổ sung</x:v>
      </x:c>
      <x:c r="C174" s="11" t="str">
        <x:v>Đảng ủy / 당위원회</x:v>
      </x:c>
      <x:c r="D174" s="11" t="str">
        <x:v>Xem dòng VI/KO</x:v>
      </x:c>
      <x:c r="E174" s="11" t="str">
        <x:v>Chứng cứ cách dùng trong ngữ liệu</x:v>
      </x:c>
      <x:c r="F174" s="11" t="str">
        <x:v>KO</x:v>
      </x:c>
      <x:c r="G174" s="11" t="str">
        <x:v>S075</x:v>
      </x:c>
      <x:c r="H174" s="11" t="str">
        <x:v>Nhân Dân tiếng Hàn – dẫn chứng trong hồ sơ gốc</x:v>
      </x:c>
      <x:c r="I174" s="30" t="str">
        <x:v>https://kr.nhandan.vn/article-post3606.html</x:v>
      </x:c>
      <x:c r="J174" s="11" t="str">
        <x:v>Chứng cứ biểu thức trong corpus; không tự là định nghĩa từ điển hoặc xác nhận mọi nét nghĩa.</x:v>
      </x:c>
      <x:c r="K174" s="11" t="str">
        <x:v>2026-10-28</x:v>
      </x:c>
    </x:row>
    <x:row r="175" ht="57" customHeight="1">
      <x:c r="A175" s="11" t="str">
        <x:v>M015</x:v>
      </x:c>
      <x:c r="B175" s="11" t="str">
        <x:v>VI</x:v>
      </x:c>
      <x:c r="C175" s="11" t="str">
        <x:v>đội danh dự</x:v>
      </x:c>
      <x:c r="D175" s="11" t="str">
        <x:v>CẦN TRA — chưa xác minh mục từ</x:v>
      </x:c>
      <x:c r="E175" s="11" t="str">
        <x:v>* Nghĩa làm việc; cần nguồn định nghĩa</x:v>
      </x:c>
      <x:c r="F175" s="11" t="str">
        <x:v>VI</x:v>
      </x:c>
      <x:c r="G175" s="11" t="str">
        <x:v>S076</x:v>
      </x:c>
      <x:c r="H175" s="11" t="str">
        <x:v>Chủ tịch nước Lương Cường chủ trì lễ đón Tổng thống Lithuania thăm chính thức Việt Nam</x:v>
      </x:c>
      <x:c r="I175" s="30" t="str">
        <x:v>https://baochinhphu.vn/chu-tich-nuoc-luong-cuong-chu-tri-le-don-tong-thong-lithuania-tham-chinh-thuc-viet-nam-102250612095322627.htm</x:v>
      </x:c>
      <x:c r="J175" s="11" t="str">
        <x:v>Chưa xác minh định nghĩa độc lập của nguyên biểu thức/nghĩa chọn trong ngôn ngữ này. Đối chiếu trong hồ sơ cũ;</x:v>
      </x:c>
      <x:c r="K175" s="11" t="str">
        <x:v>2026-10-28</x:v>
      </x:c>
    </x:row>
    <x:row r="176" ht="57" customHeight="1">
      <x:c r="A176" s="11" t="str">
        <x:v>M015</x:v>
      </x:c>
      <x:c r="B176" s="11" t="str">
        <x:v>KO</x:v>
      </x:c>
      <x:c r="C176" s="11" t="str">
        <x:v>의장대</x:v>
      </x:c>
      <x:c r="D176" s="11" t="str">
        <x:v>CẦN TRA — chưa xác minh mục từ</x:v>
      </x:c>
      <x:c r="E176" s="11" t="str">
        <x:v>* Nghĩa làm việc; cần nguồn định nghĩa</x:v>
      </x:c>
      <x:c r="F176" s="11" t="str">
        <x:v>VI</x:v>
      </x:c>
      <x:c r="G176" s="11" t="str">
        <x:v>S076</x:v>
      </x:c>
      <x:c r="H176" s="11" t="str">
        <x:v>Chủ tịch nước Lương Cường chủ trì lễ đón Tổng thống Lithuania thăm chính thức Việt Nam</x:v>
      </x:c>
      <x:c r="I176" s="30" t="str">
        <x:v>https://baochinhphu.vn/chu-tich-nuoc-luong-cuong-chu-tri-le-don-tong-thong-lithuania-tham-chinh-thuc-viet-nam-102250612095322627.htm</x:v>
      </x:c>
      <x:c r="J176" s="11" t="str">
        <x:v>Chưa xác minh định nghĩa độc lập của nguyên biểu thức/nghĩa chọn trong ngôn ngữ này. Đối chiếu trong hồ sơ cũ;</x:v>
      </x:c>
      <x:c r="K176" s="11" t="str">
        <x:v>2026-10-28</x:v>
      </x:c>
    </x:row>
    <x:row r="177" ht="57" customHeight="1">
      <x:c r="A177" s="11" t="str">
        <x:v>M015</x:v>
      </x:c>
      <x:c r="B177" s="11" t="str">
        <x:v>Bổ sung</x:v>
      </x:c>
      <x:c r="C177" s="11" t="str">
        <x:v>đội danh dự / 의장대</x:v>
      </x:c>
      <x:c r="D177" s="11" t="str">
        <x:v>Xem dòng VI/KO</x:v>
      </x:c>
      <x:c r="E177" s="11" t="str">
        <x:v>Chứng cứ cách dùng trong ngữ liệu</x:v>
      </x:c>
      <x:c r="F177" s="11" t="str">
        <x:v>KO</x:v>
      </x:c>
      <x:c r="G177" s="11" t="str">
        <x:v>S063</x:v>
      </x:c>
      <x:c r="H177" s="11" t="str">
        <x:v>Nhân Dân tiếng Hàn – dẫn chứng trong hồ sơ gốc</x:v>
      </x:c>
      <x:c r="I177" s="30" t="str">
        <x:v>https://kr.nhandan.vn/article-post5118.html</x:v>
      </x:c>
      <x:c r="J177" s="11" t="str">
        <x:v>Chứng cứ biểu thức trong corpus; không tự là định nghĩa từ điển hoặc xác nhận mọi nét nghĩa.</x:v>
      </x:c>
      <x:c r="K177" s="11" t="str">
        <x:v>2026-10-28</x:v>
      </x:c>
    </x:row>
    <x:row r="178" ht="57" customHeight="1">
      <x:c r="A178" s="11" t="str">
        <x:v>T132</x:v>
      </x:c>
      <x:c r="B178" s="11" t="str">
        <x:v>VI</x:v>
      </x:c>
      <x:c r="C178" s="11" t="str">
        <x:v>Hiệp hội các quốc gia Đông Nam Á (ASEAN)</x:v>
      </x:c>
      <x:c r="D178" s="11" t="str">
        <x:v>Tên riêng: có nguồn về đối tượng</x:v>
      </x:c>
      <x:c r="E178" s="11" t="str">
        <x:v>* Diễn giải mô tả EN</x:v>
      </x:c>
      <x:c r="F178" s="11" t="str">
        <x:v>EN</x:v>
      </x:c>
      <x:c r="G178" s="11" t="str">
        <x:v>S077</x:v>
      </x:c>
      <x:c r="H178" s="11" t="str">
        <x:v>About us – ASEAN</x:v>
      </x:c>
      <x:c r="I178" s="30" t="str">
        <x:v>https://asean.org/about-us/</x:v>
      </x:c>
      <x:c r="J178" s="11" t="str">
        <x:v>Chưa xác minh định nghĩa độc lập của nguyên biểu thức/nghĩa chọn trong ngôn ngữ này. ASEAN tự mô tả tổ chức liên chính phủ khu vực và quá trình thành lập.</x:v>
      </x:c>
      <x:c r="K178" s="11" t="str">
        <x:v>2026-10-28</x:v>
      </x:c>
    </x:row>
    <x:row r="179" ht="57" customHeight="1">
      <x:c r="A179" s="11" t="str">
        <x:v>T132</x:v>
      </x:c>
      <x:c r="B179" s="11" t="str">
        <x:v>KO</x:v>
      </x:c>
      <x:c r="C179" s="11" t="str">
        <x:v>동남아시아국가연합(ASEAN)</x:v>
      </x:c>
      <x:c r="D179" s="11" t="str">
        <x:v>Tên riêng: có nguồn về đối tượng</x:v>
      </x:c>
      <x:c r="E179" s="11" t="str">
        <x:v>* Diễn giải mô tả EN</x:v>
      </x:c>
      <x:c r="F179" s="11" t="str">
        <x:v>EN</x:v>
      </x:c>
      <x:c r="G179" s="11" t="str">
        <x:v>S077</x:v>
      </x:c>
      <x:c r="H179" s="11" t="str">
        <x:v>About us – ASEAN</x:v>
      </x:c>
      <x:c r="I179" s="30" t="str">
        <x:v>https://asean.org/about-us/</x:v>
      </x:c>
      <x:c r="J179" s="11" t="str">
        <x:v>Chưa xác minh định nghĩa độc lập của nguyên biểu thức/nghĩa chọn trong ngôn ngữ này. ASEAN tự mô tả tổ chức liên chính phủ khu vực và quá trình thành lập.</x:v>
      </x:c>
      <x:c r="K179" s="11" t="str">
        <x:v>2026-10-28</x:v>
      </x:c>
    </x:row>
    <x:row r="180" ht="57" customHeight="1">
      <x:c r="A180" s="11" t="str">
        <x:v>T132</x:v>
      </x:c>
      <x:c r="B180" s="11" t="str">
        <x:v>Bổ sung</x:v>
      </x:c>
      <x:c r="C180" s="11" t="str">
        <x:v>Hiệp hội các quốc gia Đông Nam Á (ASEAN) / 동남아시아국가연합(ASEAN)</x:v>
      </x:c>
      <x:c r="D180" s="11" t="str">
        <x:v>Xem dòng VI/KO</x:v>
      </x:c>
      <x:c r="E180" s="11" t="str">
        <x:v>Chứng cứ cách dùng trong ngữ liệu</x:v>
      </x:c>
      <x:c r="F180" s="11" t="str">
        <x:v>KO</x:v>
      </x:c>
      <x:c r="G180" s="11" t="str">
        <x:v>S078</x:v>
      </x:c>
      <x:c r="H180" s="11" t="str">
        <x:v>Nhân Dân tiếng Hàn – dẫn chứng trong hồ sơ gốc</x:v>
      </x:c>
      <x:c r="I180" s="30" t="str">
        <x:v>https://kr.nhandan.vn/article-post5028.html</x:v>
      </x:c>
      <x:c r="J180" s="11" t="str">
        <x:v>Chứng cứ biểu thức trong corpus; không tự là định nghĩa từ điển hoặc xác nhận mọi nét nghĩa.</x:v>
      </x:c>
      <x:c r="K180" s="11" t="str">
        <x:v>2026-10-28</x:v>
      </x:c>
    </x:row>
    <x:row r="181" ht="72" customHeight="1">
      <x:c r="A181" s="11" t="str">
        <x:v>T169</x:v>
      </x:c>
      <x:c r="B181" s="11" t="str">
        <x:v>VI</x:v>
      </x:c>
      <x:c r="C181" s="11" t="str">
        <x:v>Hội đồng Bảo an Liên hợp quốc</x:v>
      </x:c>
      <x:c r="D181" s="11" t="str">
        <x:v>Tên riêng: có nguồn về đối tượng</x:v>
      </x:c>
      <x:c r="E181" s="11" t="str">
        <x:v>* Diễn giải mô tả EN</x:v>
      </x:c>
      <x:c r="F181" s="11" t="str">
        <x:v>EN</x:v>
      </x:c>
      <x:c r="G181" s="11" t="str">
        <x:v>S067</x:v>
      </x:c>
      <x:c r="H181" s="11" t="str">
        <x:v>Main Bodies – United Nations</x:v>
      </x:c>
      <x:c r="I181" s="30" t="str">
        <x:v>https://www.un.org/about-us/main-bodies</x:v>
      </x:c>
      <x:c r="J181"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181" s="11" t="str">
        <x:v>2026-10-28</x:v>
      </x:c>
    </x:row>
    <x:row r="182" ht="72" customHeight="1">
      <x:c r="A182" s="11" t="str">
        <x:v>T169</x:v>
      </x:c>
      <x:c r="B182" s="11" t="str">
        <x:v>KO</x:v>
      </x:c>
      <x:c r="C182" s="11" t="str">
        <x:v>유엔 안전보장이사회</x:v>
      </x:c>
      <x:c r="D182" s="11" t="str">
        <x:v>Tên riêng: có nguồn về đối tượng</x:v>
      </x:c>
      <x:c r="E182" s="11" t="str">
        <x:v>* Diễn giải mô tả EN</x:v>
      </x:c>
      <x:c r="F182" s="11" t="str">
        <x:v>EN</x:v>
      </x:c>
      <x:c r="G182" s="11" t="str">
        <x:v>S067</x:v>
      </x:c>
      <x:c r="H182" s="11" t="str">
        <x:v>Main Bodies – United Nations</x:v>
      </x:c>
      <x:c r="I182" s="30" t="str">
        <x:v>https://www.un.org/about-us/main-bodies</x:v>
      </x:c>
      <x:c r="J182"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182" s="11" t="str">
        <x:v>2026-10-28</x:v>
      </x:c>
    </x:row>
    <x:row r="183" ht="57" customHeight="1">
      <x:c r="A183" s="11" t="str">
        <x:v>T169</x:v>
      </x:c>
      <x:c r="B183" s="11" t="str">
        <x:v>Bổ sung</x:v>
      </x:c>
      <x:c r="C183" s="11" t="str">
        <x:v>Hội đồng Bảo an Liên hợp quốc / 유엔 안전보장이사회</x:v>
      </x:c>
      <x:c r="D183" s="11" t="str">
        <x:v>Xem dòng VI/KO</x:v>
      </x:c>
      <x:c r="E183" s="11" t="str">
        <x:v>Chứng cứ cách dùng trong ngữ liệu</x:v>
      </x:c>
      <x:c r="F183" s="11" t="str">
        <x:v>KO</x:v>
      </x:c>
      <x:c r="G183" s="11" t="str">
        <x:v>S079</x:v>
      </x:c>
      <x:c r="H183" s="11" t="str">
        <x:v>Nhân Dân tiếng Hàn – dẫn chứng trong hồ sơ gốc</x:v>
      </x:c>
      <x:c r="I183" s="30" t="str">
        <x:v>https://kr.nhandan.vn/article-post5282.html</x:v>
      </x:c>
      <x:c r="J183" s="11" t="str">
        <x:v>Chứng cứ biểu thức trong corpus; không tự là định nghĩa từ điển hoặc xác nhận mọi nét nghĩa.</x:v>
      </x:c>
      <x:c r="K183" s="11" t="str">
        <x:v>2026-10-28</x:v>
      </x:c>
    </x:row>
    <x:row r="184" ht="57" customHeight="1">
      <x:c r="A184" s="11" t="str">
        <x:v>T116</x:v>
      </x:c>
      <x:c r="B184" s="11" t="str">
        <x:v>VI</x:v>
      </x:c>
      <x:c r="C184" s="11" t="str">
        <x:v>Hội đồng nhân dân</x:v>
      </x:c>
      <x:c r="D184" s="11" t="str">
        <x:v>CẦN TRA — chưa xác minh mục từ</x:v>
      </x:c>
      <x:c r="E184" s="11" t="str">
        <x:v>Định nghĩa chuyên ngành [VI]</x:v>
      </x:c>
      <x:c r="F184" s="11" t="str">
        <x:v>VI</x:v>
      </x:c>
      <x:c r="G184" s="11" t="str">
        <x:v>S012</x:v>
      </x:c>
      <x:c r="H184" s="11" t="str">
        <x:v>Luật số 72/2025/QH15 Tổ chức chính quyền địa phương</x:v>
      </x:c>
      <x:c r="I184" s="30" t="str">
        <x:v>https://xaydungchinhsach.chinhphu.vn/toan-van-luat-so-72-2025-qh15-to-chuc-chinh-quyen-dia-phuong-119250618161434371.htm</x:v>
      </x:c>
      <x:c r="J184" s="11" t="str">
        <x:v>Đã đọc nguồn giải nghĩa bằng ngôn ngữ này; vẫn đối chiếu nghĩa chọn và ghi chú.</x:v>
      </x:c>
      <x:c r="K184" s="11" t="str">
        <x:v>2026-10-28</x:v>
      </x:c>
    </x:row>
    <x:row r="185" ht="57" customHeight="1">
      <x:c r="A185" s="11" t="str">
        <x:v>T116</x:v>
      </x:c>
      <x:c r="B185" s="11" t="str">
        <x:v>KO</x:v>
      </x:c>
      <x:c r="C185" s="11" t="str">
        <x:v>인민의회</x:v>
      </x:c>
      <x:c r="D185" s="11" t="str">
        <x:v>CẦN TRA — chưa xác minh mục từ</x:v>
      </x:c>
      <x:c r="E185" s="11" t="str">
        <x:v>* Diễn giải mô tả VI</x:v>
      </x:c>
      <x:c r="F185" s="11" t="str">
        <x:v>VI</x:v>
      </x:c>
      <x:c r="G185" s="11" t="str">
        <x:v>S012</x:v>
      </x:c>
      <x:c r="H185" s="11" t="str">
        <x:v>Luật số 72/2025/QH15 Tổ chức chính quyền địa phương</x:v>
      </x:c>
      <x:c r="I185" s="30" t="str">
        <x:v>https://xaydungchinhsach.chinhphu.vn/toan-van-luat-so-72-2025-qh15-to-chuc-chinh-quyen-dia-phuong-119250618161434371.htm</x:v>
      </x:c>
      <x:c r="J185" s="11" t="str">
        <x:v>Chưa xác minh định nghĩa độc lập của nguyên biểu thức/nghĩa chọn trong ngôn ngữ này. Đối chiếu trong hồ sơ cũ;</x:v>
      </x:c>
      <x:c r="K185" s="11" t="str">
        <x:v>2026-10-28</x:v>
      </x:c>
    </x:row>
    <x:row r="186" ht="57" customHeight="1">
      <x:c r="A186" s="11" t="str">
        <x:v>T116</x:v>
      </x:c>
      <x:c r="B186" s="11" t="str">
        <x:v>Bổ sung</x:v>
      </x:c>
      <x:c r="C186" s="11" t="str">
        <x:v>Hội đồng nhân dân / 인민의회</x:v>
      </x:c>
      <x:c r="D186" s="11" t="str">
        <x:v>Xem dòng VI/KO</x:v>
      </x:c>
      <x:c r="E186" s="11" t="str">
        <x:v>Chứng cứ cách dùng trong ngữ liệu</x:v>
      </x:c>
      <x:c r="F186" s="11" t="str">
        <x:v>KO</x:v>
      </x:c>
      <x:c r="G186" s="11" t="str">
        <x:v>S080</x:v>
      </x:c>
      <x:c r="H186" s="11" t="str">
        <x:v>Nhân Dân tiếng Hàn – dẫn chứng trong hồ sơ gốc</x:v>
      </x:c>
      <x:c r="I186" s="30" t="str">
        <x:v>https://kr.nhandan.vn/article-post4210.html</x:v>
      </x:c>
      <x:c r="J186" s="11" t="str">
        <x:v>Chứng cứ biểu thức trong corpus; không tự là định nghĩa từ điển hoặc xác nhận mọi nét nghĩa.</x:v>
      </x:c>
      <x:c r="K186" s="11" t="str">
        <x:v>2026-10-28</x:v>
      </x:c>
    </x:row>
    <x:row r="187" ht="57" customHeight="1">
      <x:c r="A187" s="11" t="str">
        <x:v>T135</x:v>
      </x:c>
      <x:c r="B187" s="11" t="str">
        <x:v>VI</x:v>
      </x:c>
      <x:c r="C187" s="11" t="str">
        <x:v>Liên hợp quốc</x:v>
      </x:c>
      <x:c r="D187" s="11" t="str">
        <x:v>Tên riêng: có nguồn về đối tượng</x:v>
      </x:c>
      <x:c r="E187" s="11" t="str">
        <x:v>* Diễn giải mô tả EN</x:v>
      </x:c>
      <x:c r="F187" s="11" t="str">
        <x:v>EN</x:v>
      </x:c>
      <x:c r="G187" s="11" t="str">
        <x:v>S081</x:v>
      </x:c>
      <x:c r="H187" s="11" t="str">
        <x:v>About Us – United Nations</x:v>
      </x:c>
      <x:c r="I187" s="30" t="str">
        <x:v>https://www.un.org/en/about-us</x:v>
      </x:c>
      <x:c r="J187" s="11" t="str">
        <x:v>Chưa xác minh định nghĩa độc lập của nguyên biểu thức/nghĩa chọn trong ngôn ngữ này. Đối chiếu trong hồ sơ cũ;</x:v>
      </x:c>
      <x:c r="K187" s="11" t="str">
        <x:v>2026-10-28</x:v>
      </x:c>
    </x:row>
    <x:row r="188" ht="57" customHeight="1">
      <x:c r="A188" s="11" t="str">
        <x:v>T135</x:v>
      </x:c>
      <x:c r="B188" s="11" t="str">
        <x:v>KO</x:v>
      </x:c>
      <x:c r="C188" s="11" t="str">
        <x:v>유엔(UN)</x:v>
      </x:c>
      <x:c r="D188" s="11" t="str">
        <x:v>Tên riêng: có nguồn về đối tượng</x:v>
      </x:c>
      <x:c r="E188" s="11" t="str">
        <x:v>* Diễn giải mô tả EN</x:v>
      </x:c>
      <x:c r="F188" s="11" t="str">
        <x:v>EN</x:v>
      </x:c>
      <x:c r="G188" s="11" t="str">
        <x:v>S081</x:v>
      </x:c>
      <x:c r="H188" s="11" t="str">
        <x:v>About Us – United Nations</x:v>
      </x:c>
      <x:c r="I188" s="30" t="str">
        <x:v>https://www.un.org/en/about-us</x:v>
      </x:c>
      <x:c r="J188" s="11" t="str">
        <x:v>Chưa xác minh định nghĩa độc lập của nguyên biểu thức/nghĩa chọn trong ngôn ngữ này. Đối chiếu trong hồ sơ cũ;</x:v>
      </x:c>
      <x:c r="K188" s="11" t="str">
        <x:v>2026-10-28</x:v>
      </x:c>
    </x:row>
    <x:row r="189" ht="57" customHeight="1">
      <x:c r="A189" s="11" t="str">
        <x:v>T135</x:v>
      </x:c>
      <x:c r="B189" s="11" t="str">
        <x:v>Bổ sung</x:v>
      </x:c>
      <x:c r="C189" s="11" t="str">
        <x:v>Liên hợp quốc / 유엔(UN)</x:v>
      </x:c>
      <x:c r="D189" s="11" t="str">
        <x:v>Xem dòng VI/KO</x:v>
      </x:c>
      <x:c r="E189" s="11" t="str">
        <x:v>Chứng cứ cách dùng trong ngữ liệu</x:v>
      </x:c>
      <x:c r="F189" s="11" t="str">
        <x:v>KO</x:v>
      </x:c>
      <x:c r="G189" s="11" t="str">
        <x:v>S082</x:v>
      </x:c>
      <x:c r="H189" s="11" t="str">
        <x:v>Nhân Dân tiếng Hàn – dẫn chứng trong hồ sơ gốc</x:v>
      </x:c>
      <x:c r="I189" s="30" t="str">
        <x:v>https://kr.nhandan.vn/article-post3409.html</x:v>
      </x:c>
      <x:c r="J189" s="11" t="str">
        <x:v>Chứng cứ biểu thức trong corpus; không tự là định nghĩa từ điển hoặc xác nhận mọi nét nghĩa.</x:v>
      </x:c>
      <x:c r="K189" s="11" t="str">
        <x:v>2026-10-28</x:v>
      </x:c>
    </x:row>
    <x:row r="190" ht="57" customHeight="1">
      <x:c r="A190" s="11" t="str">
        <x:v>T155</x:v>
      </x:c>
      <x:c r="B190" s="11" t="str">
        <x:v>VI</x:v>
      </x:c>
      <x:c r="C190" s="11" t="str">
        <x:v>Liên minh châu Âu</x:v>
      </x:c>
      <x:c r="D190" s="11" t="str">
        <x:v>Tên riêng: có nguồn về đối tượng</x:v>
      </x:c>
      <x:c r="E190" s="11" t="str">
        <x:v>* Diễn giải mô tả EN</x:v>
      </x:c>
      <x:c r="F190" s="11" t="str">
        <x:v>EN</x:v>
      </x:c>
      <x:c r="G190" s="11" t="str">
        <x:v>S083</x:v>
      </x:c>
      <x:c r="H190" s="11" t="str">
        <x:v>About the EU – A short guide to the EU</x:v>
      </x:c>
      <x:c r="I190" s="30" t="str">
        <x:v>https://op.europa.eu/webpub/com/short-guide-eu/en/about-eu.html</x:v>
      </x:c>
      <x:c r="J190" s="11" t="str">
        <x:v>Chưa xác minh định nghĩa độc lập của nguyên biểu thức/nghĩa chọn trong ngôn ngữ này. Đối chiếu trong hồ sơ cũ;</x:v>
      </x:c>
      <x:c r="K190" s="11" t="str">
        <x:v>2026-10-28</x:v>
      </x:c>
    </x:row>
    <x:row r="191" ht="57" customHeight="1">
      <x:c r="A191" s="11" t="str">
        <x:v>T155</x:v>
      </x:c>
      <x:c r="B191" s="11" t="str">
        <x:v>KO</x:v>
      </x:c>
      <x:c r="C191" s="11" t="str">
        <x:v>유럽연합</x:v>
      </x:c>
      <x:c r="D191" s="11" t="str">
        <x:v>Tên riêng: có nguồn về đối tượng</x:v>
      </x:c>
      <x:c r="E191" s="11" t="str">
        <x:v>* Diễn giải mô tả EN</x:v>
      </x:c>
      <x:c r="F191" s="11" t="str">
        <x:v>EN</x:v>
      </x:c>
      <x:c r="G191" s="11" t="str">
        <x:v>S083</x:v>
      </x:c>
      <x:c r="H191" s="11" t="str">
        <x:v>About the EU – A short guide to the EU</x:v>
      </x:c>
      <x:c r="I191" s="30" t="str">
        <x:v>https://op.europa.eu/webpub/com/short-guide-eu/en/about-eu.html</x:v>
      </x:c>
      <x:c r="J191" s="11" t="str">
        <x:v>Chưa xác minh định nghĩa độc lập của nguyên biểu thức/nghĩa chọn trong ngôn ngữ này. Đối chiếu trong hồ sơ cũ;</x:v>
      </x:c>
      <x:c r="K191" s="11" t="str">
        <x:v>2026-10-28</x:v>
      </x:c>
    </x:row>
    <x:row r="192" ht="57" customHeight="1">
      <x:c r="A192" s="11" t="str">
        <x:v>T155</x:v>
      </x:c>
      <x:c r="B192" s="11" t="str">
        <x:v>Bổ sung</x:v>
      </x:c>
      <x:c r="C192" s="11" t="str">
        <x:v>Liên minh châu Âu / 유럽연합</x:v>
      </x:c>
      <x:c r="D192" s="11" t="str">
        <x:v>Xem dòng VI/KO</x:v>
      </x:c>
      <x:c r="E192" s="11" t="str">
        <x:v>Chứng cứ cách dùng trong ngữ liệu</x:v>
      </x:c>
      <x:c r="F192" s="11" t="str">
        <x:v>KO</x:v>
      </x:c>
      <x:c r="G192" s="11" t="str">
        <x:v>S084</x:v>
      </x:c>
      <x:c r="H192" s="11" t="str">
        <x:v>Nhân Dân tiếng Hàn – dẫn chứng trong hồ sơ gốc</x:v>
      </x:c>
      <x:c r="I192" s="30" t="str">
        <x:v>https://kr.nhandan.vn/article-post3541.html</x:v>
      </x:c>
      <x:c r="J192" s="11" t="str">
        <x:v>Chứng cứ biểu thức trong corpus; không tự là định nghĩa từ điển hoặc xác nhận mọi nét nghĩa.</x:v>
      </x:c>
      <x:c r="K192" s="11" t="str">
        <x:v>2026-10-28</x:v>
      </x:c>
    </x:row>
    <x:row r="193" ht="57" customHeight="1">
      <x:c r="A193" s="11" t="str">
        <x:v>T159</x:v>
      </x:c>
      <x:c r="B193" s="11" t="str">
        <x:v>VI</x:v>
      </x:c>
      <x:c r="C193" s="11" t="str">
        <x:v>Liên minh Nghị viện thế giới</x:v>
      </x:c>
      <x:c r="D193" s="11" t="str">
        <x:v>Tên riêng: có nguồn về đối tượng</x:v>
      </x:c>
      <x:c r="E193" s="11" t="str">
        <x:v>* Diễn giải mô tả EN</x:v>
      </x:c>
      <x:c r="F193" s="11" t="str">
        <x:v>EN</x:v>
      </x:c>
      <x:c r="G193" s="11" t="str">
        <x:v>S085</x:v>
      </x:c>
      <x:c r="H193" s="11" t="str">
        <x:v>About us – Inter-Parliamentary Union</x:v>
      </x:c>
      <x:c r="I193" s="30" t="str">
        <x:v>https://www.ipu.org/about-us</x:v>
      </x:c>
      <x:c r="J193" s="11" t="str">
        <x:v>Chưa xác minh định nghĩa độc lập của nguyên biểu thức/nghĩa chọn trong ngôn ngữ này. Đối chiếu trong hồ sơ cũ;</x:v>
      </x:c>
      <x:c r="K193" s="11" t="str">
        <x:v>2026-10-28</x:v>
      </x:c>
    </x:row>
    <x:row r="194" ht="57" customHeight="1">
      <x:c r="A194" s="11" t="str">
        <x:v>T159</x:v>
      </x:c>
      <x:c r="B194" s="11" t="str">
        <x:v>KO</x:v>
      </x:c>
      <x:c r="C194" s="11" t="str">
        <x:v>국제의회연맹</x:v>
      </x:c>
      <x:c r="D194" s="11" t="str">
        <x:v>Tên riêng: có nguồn về đối tượng</x:v>
      </x:c>
      <x:c r="E194" s="11" t="str">
        <x:v>* Diễn giải mô tả EN</x:v>
      </x:c>
      <x:c r="F194" s="11" t="str">
        <x:v>EN</x:v>
      </x:c>
      <x:c r="G194" s="11" t="str">
        <x:v>S085</x:v>
      </x:c>
      <x:c r="H194" s="11" t="str">
        <x:v>About us – Inter-Parliamentary Union</x:v>
      </x:c>
      <x:c r="I194" s="30" t="str">
        <x:v>https://www.ipu.org/about-us</x:v>
      </x:c>
      <x:c r="J194" s="11" t="str">
        <x:v>Chưa xác minh định nghĩa độc lập của nguyên biểu thức/nghĩa chọn trong ngôn ngữ này. Đối chiếu trong hồ sơ cũ;</x:v>
      </x:c>
      <x:c r="K194" s="11" t="str">
        <x:v>2026-10-28</x:v>
      </x:c>
    </x:row>
    <x:row r="195" ht="57" customHeight="1">
      <x:c r="A195" s="11" t="str">
        <x:v>T159</x:v>
      </x:c>
      <x:c r="B195" s="11" t="str">
        <x:v>Bổ sung</x:v>
      </x:c>
      <x:c r="C195" s="11" t="str">
        <x:v>Liên minh Nghị viện thế giới / 국제의회연맹</x:v>
      </x:c>
      <x:c r="D195" s="11" t="str">
        <x:v>Xem dòng VI/KO</x:v>
      </x:c>
      <x:c r="E195" s="11" t="str">
        <x:v>Chứng cứ cách dùng trong ngữ liệu</x:v>
      </x:c>
      <x:c r="F195" s="11" t="str">
        <x:v>KO</x:v>
      </x:c>
      <x:c r="G195" s="11" t="str">
        <x:v>S086</x:v>
      </x:c>
      <x:c r="H195" s="11" t="str">
        <x:v>Nhân Dân tiếng Hàn – dẫn chứng trong hồ sơ gốc</x:v>
      </x:c>
      <x:c r="I195" s="30" t="str">
        <x:v>https://kr.nhandan.vn/article-post3466.html</x:v>
      </x:c>
      <x:c r="J195" s="11" t="str">
        <x:v>Chứng cứ biểu thức trong corpus; không tự là định nghĩa từ điển hoặc xác nhận mọi nét nghĩa.</x:v>
      </x:c>
      <x:c r="K195" s="11" t="str">
        <x:v>2026-10-28</x:v>
      </x:c>
    </x:row>
    <x:row r="196" ht="57" customHeight="1">
      <x:c r="A196" s="11" t="str">
        <x:v>T112</x:v>
      </x:c>
      <x:c r="B196" s="11" t="str">
        <x:v>VI</x:v>
      </x:c>
      <x:c r="C196" s="11" t="str">
        <x:v>Mặt trận Tổ quốc</x:v>
      </x:c>
      <x:c r="D196" s="11" t="str">
        <x:v>Tên riêng: có nguồn về đối tượng</x:v>
      </x:c>
      <x:c r="E196" s="11" t="str">
        <x:v>* Mô tả chính thức</x:v>
      </x:c>
      <x:c r="F196" s="11" t="str">
        <x:v>VI</x:v>
      </x:c>
      <x:c r="G196" s="11" t="str">
        <x:v>S087</x:v>
      </x:c>
      <x:c r="H196" s="11" t="str">
        <x:v>Điều lệ MTTQ Việt Nam khóa XI – Ủy ban Trung ương MTTQ Việt Nam</x:v>
      </x:c>
      <x:c r="I196" s="30" t="str">
        <x:v>https://mattran.org.vn/hoat-dong/dieu-le-mat-tran-to-quoc-viet-nam-khoa-xi-thong-nhat-to-chuc-va-hoat-dong-cua-mat-tran-to-quoc-viet-nam-trong-nhiem-ky-moi-74302.html</x:v>
      </x:c>
      <x:c r="J196" s="11" t="str">
        <x:v>Chưa xác minh định nghĩa độc lập của nguyên biểu thức/nghĩa chọn trong ngôn ngữ này. Mô tả liên minh chính trị, liên hiệp tự nguyện và cơ quan chấp hành giữa hai kỳ Đại hội.</x:v>
      </x:c>
      <x:c r="K196" s="11" t="str">
        <x:v>2026-10-28</x:v>
      </x:c>
    </x:row>
    <x:row r="197" ht="57" customHeight="1">
      <x:c r="A197" s="11" t="str">
        <x:v>T112</x:v>
      </x:c>
      <x:c r="B197" s="11" t="str">
        <x:v>KO</x:v>
      </x:c>
      <x:c r="C197" s="11" t="str">
        <x:v>조국전선</x:v>
      </x:c>
      <x:c r="D197" s="11" t="str">
        <x:v>Tên riêng: có nguồn về đối tượng</x:v>
      </x:c>
      <x:c r="E197" s="11" t="str">
        <x:v>* Diễn giải mô tả VI</x:v>
      </x:c>
      <x:c r="F197" s="11" t="str">
        <x:v>VI</x:v>
      </x:c>
      <x:c r="G197" s="11" t="str">
        <x:v>S087</x:v>
      </x:c>
      <x:c r="H197" s="11" t="str">
        <x:v>Điều lệ MTTQ Việt Nam khóa XI – Ủy ban Trung ương MTTQ Việt Nam</x:v>
      </x:c>
      <x:c r="I197" s="30" t="str">
        <x:v>https://mattran.org.vn/hoat-dong/dieu-le-mat-tran-to-quoc-viet-nam-khoa-xi-thong-nhat-to-chuc-va-hoat-dong-cua-mat-tran-to-quoc-viet-nam-trong-nhiem-ky-moi-74302.html</x:v>
      </x:c>
      <x:c r="J197" s="11" t="str">
        <x:v>Chưa xác minh định nghĩa độc lập của nguyên biểu thức/nghĩa chọn trong ngôn ngữ này. Mô tả liên minh chính trị, liên hiệp tự nguyện và cơ quan chấp hành giữa hai kỳ Đại hội.</x:v>
      </x:c>
      <x:c r="K197" s="11" t="str">
        <x:v>2026-10-28</x:v>
      </x:c>
    </x:row>
    <x:row r="198" ht="57" customHeight="1">
      <x:c r="A198" s="11" t="str">
        <x:v>T112</x:v>
      </x:c>
      <x:c r="B198" s="11" t="str">
        <x:v>Bổ sung</x:v>
      </x:c>
      <x:c r="C198" s="11" t="str">
        <x:v>Mặt trận Tổ quốc / 조국전선</x:v>
      </x:c>
      <x:c r="D198" s="11" t="str">
        <x:v>Xem dòng VI/KO</x:v>
      </x:c>
      <x:c r="E198" s="11" t="str">
        <x:v>Chứng cứ cách dùng trong ngữ liệu</x:v>
      </x:c>
      <x:c r="F198" s="11" t="str">
        <x:v>KO</x:v>
      </x:c>
      <x:c r="G198" s="11" t="str">
        <x:v>S058</x:v>
      </x:c>
      <x:c r="H198" s="11" t="str">
        <x:v>Nhân Dân tiếng Hàn – dẫn chứng trong hồ sơ gốc</x:v>
      </x:c>
      <x:c r="I198" s="30" t="str">
        <x:v>https://kr.nhandan.vn/article-post4578.html</x:v>
      </x:c>
      <x:c r="J198" s="11" t="str">
        <x:v>Chứng cứ biểu thức trong corpus; không tự là định nghĩa từ điển hoặc xác nhận mọi nét nghĩa.</x:v>
      </x:c>
      <x:c r="K198" s="11" t="str">
        <x:v>2026-10-28</x:v>
      </x:c>
    </x:row>
    <x:row r="199" ht="57" customHeight="1">
      <x:c r="A199" s="11" t="str">
        <x:v>T106</x:v>
      </x:c>
      <x:c r="B199" s="11" t="str">
        <x:v>VI</x:v>
      </x:c>
      <x:c r="C199" s="11" t="str">
        <x:v>Nhà nước</x:v>
      </x:c>
      <x:c r="D199" s="11" t="str">
        <x:v>CẦN TRA — chưa xác minh mục từ</x:v>
      </x:c>
      <x:c r="E199" s="11" t="str">
        <x:v>* Nghĩa làm việc; cần nguồn định nghĩa</x:v>
      </x:c>
      <x:c r="F199" s="11" t="str">
        <x:v>VI</x:v>
      </x:c>
      <x:c r="G199" s="11" t="str">
        <x:v>S009</x:v>
      </x:c>
      <x:c r="H199" s="11" t="str">
        <x:v>Hệ thống chính trị</x:v>
      </x:c>
      <x:c r="I199" s="30" t="str">
        <x:v>https://vanban.chinhphu.vn/he-thong-chinh-tri-68381</x:v>
      </x:c>
      <x:c r="J199" s="11" t="str">
        <x:v>Chưa xác minh định nghĩa độc lập của nguyên biểu thức/nghĩa chọn trong ngôn ngữ này. Đối chiếu trong hồ sơ cũ; Trang hệ thống chính trị có cập nhật các sửa đổi Hiến pháp năm 2025.</x:v>
      </x:c>
      <x:c r="K199" s="11" t="str">
        <x:v>2026-10-28</x:v>
      </x:c>
    </x:row>
    <x:row r="200" ht="57" customHeight="1">
      <x:c r="A200" s="11" t="str">
        <x:v>T106</x:v>
      </x:c>
      <x:c r="B200" s="11" t="str">
        <x:v>KO</x:v>
      </x:c>
      <x:c r="C200" s="11" t="str">
        <x:v>국가</x:v>
      </x:c>
      <x:c r="D200" s="11" t="str">
        <x:v>CẦN TRA — chưa xác minh mục từ</x:v>
      </x:c>
      <x:c r="E200" s="11" t="str">
        <x:v>* Nghĩa làm việc; cần nguồn định nghĩa</x:v>
      </x:c>
      <x:c r="F200" s="11" t="str">
        <x:v>VI</x:v>
      </x:c>
      <x:c r="G200" s="11" t="str">
        <x:v>S009</x:v>
      </x:c>
      <x:c r="H200" s="11" t="str">
        <x:v>Hệ thống chính trị</x:v>
      </x:c>
      <x:c r="I200" s="30" t="str">
        <x:v>https://vanban.chinhphu.vn/he-thong-chinh-tri-68381</x:v>
      </x:c>
      <x:c r="J200" s="11" t="str">
        <x:v>Chưa xác minh định nghĩa độc lập của nguyên biểu thức/nghĩa chọn trong ngôn ngữ này. Đối chiếu trong hồ sơ cũ; Trang hệ thống chính trị có cập nhật các sửa đổi Hiến pháp năm 2025.</x:v>
      </x:c>
      <x:c r="K200" s="11" t="str">
        <x:v>2026-10-28</x:v>
      </x:c>
    </x:row>
    <x:row r="201" ht="57" customHeight="1">
      <x:c r="A201" s="11" t="str">
        <x:v>T106</x:v>
      </x:c>
      <x:c r="B201" s="11" t="str">
        <x:v>Bổ sung</x:v>
      </x:c>
      <x:c r="C201" s="11" t="str">
        <x:v>Nhà nước / 국가</x:v>
      </x:c>
      <x:c r="D201" s="11" t="str">
        <x:v>Xem dòng VI/KO</x:v>
      </x:c>
      <x:c r="E201" s="11" t="str">
        <x:v>Chứng cứ cách dùng trong ngữ liệu</x:v>
      </x:c>
      <x:c r="F201" s="11" t="str">
        <x:v>KO</x:v>
      </x:c>
      <x:c r="G201" s="11" t="str">
        <x:v>S066</x:v>
      </x:c>
      <x:c r="H201" s="11" t="str">
        <x:v>Nhân Dân tiếng Hàn – dẫn chứng trong hồ sơ gốc</x:v>
      </x:c>
      <x:c r="I201" s="30" t="str">
        <x:v>https://kr.nhandan.vn/article-post3118.html</x:v>
      </x:c>
      <x:c r="J201" s="11" t="str">
        <x:v>Chứng cứ biểu thức trong corpus; không tự là định nghĩa từ điển hoặc xác nhận mọi nét nghĩa.</x:v>
      </x:c>
      <x:c r="K201" s="11" t="str">
        <x:v>2026-10-28</x:v>
      </x:c>
    </x:row>
    <x:row r="202" ht="57" customHeight="1">
      <x:c r="A202" s="11" t="str">
        <x:v>M033</x:v>
      </x:c>
      <x:c r="B202" s="11" t="str">
        <x:v>VI</x:v>
      </x:c>
      <x:c r="C202" s="11" t="str">
        <x:v>nhóm nghị sĩ hữu nghị</x:v>
      </x:c>
      <x:c r="D202" s="11" t="str">
        <x:v>CẦN TRA — chưa xác minh mục từ</x:v>
      </x:c>
      <x:c r="E202" s="11" t="str">
        <x:v>* Nghĩa làm việc; cần nguồn định nghĩa</x:v>
      </x:c>
      <x:c r="F202" s="11" t="str">
        <x:v>VI</x:v>
      </x:c>
      <x:c r="G202" s="11" t="str">
        <x:v>S088</x:v>
      </x:c>
      <x:c r="H202" s="11" t="str">
        <x:v>Tổng Bí thư, Chủ tịch nước Tô Lâm tiếp Nhóm Nghị sĩ hữu nghị Canada-Việt Nam</x:v>
      </x:c>
      <x:c r="I202" s="30" t="str">
        <x:v>https://baochinhphu.vn/tong-bi-thu-chu-tich-nuoc-to-lam-tiep-nhom-nghi-si-huu-nghi-canada-viet-nam-102260925072920791.htm</x:v>
      </x:c>
      <x:c r="J202" s="11" t="str">
        <x:v>Chưa xác minh định nghĩa độc lập của nguyên biểu thức/nghĩa chọn trong ngôn ngữ này. Đối chiếu trong hồ sơ cũ;</x:v>
      </x:c>
      <x:c r="K202" s="11" t="str">
        <x:v>2026-10-28</x:v>
      </x:c>
    </x:row>
    <x:row r="203" ht="57" customHeight="1">
      <x:c r="A203" s="11" t="str">
        <x:v>M033</x:v>
      </x:c>
      <x:c r="B203" s="11" t="str">
        <x:v>KO</x:v>
      </x:c>
      <x:c r="C203" s="11" t="str">
        <x:v>의원친선협회</x:v>
      </x:c>
      <x:c r="D203" s="11" t="str">
        <x:v>CẦN TRA — chưa xác minh mục từ</x:v>
      </x:c>
      <x:c r="E203" s="11" t="str">
        <x:v>* Nghĩa làm việc; cần nguồn định nghĩa</x:v>
      </x:c>
      <x:c r="F203" s="11" t="str">
        <x:v>VI</x:v>
      </x:c>
      <x:c r="G203" s="11" t="str">
        <x:v>S088</x:v>
      </x:c>
      <x:c r="H203" s="11" t="str">
        <x:v>Tổng Bí thư, Chủ tịch nước Tô Lâm tiếp Nhóm Nghị sĩ hữu nghị Canada-Việt Nam</x:v>
      </x:c>
      <x:c r="I203" s="30" t="str">
        <x:v>https://baochinhphu.vn/tong-bi-thu-chu-tich-nuoc-to-lam-tiep-nhom-nghi-si-huu-nghi-canada-viet-nam-102260925072920791.htm</x:v>
      </x:c>
      <x:c r="J203" s="11" t="str">
        <x:v>Chưa xác minh định nghĩa độc lập của nguyên biểu thức/nghĩa chọn trong ngôn ngữ này. Đối chiếu trong hồ sơ cũ;</x:v>
      </x:c>
      <x:c r="K203" s="11" t="str">
        <x:v>2026-10-28</x:v>
      </x:c>
    </x:row>
    <x:row r="204" ht="57" customHeight="1">
      <x:c r="A204" s="11" t="str">
        <x:v>M033</x:v>
      </x:c>
      <x:c r="B204" s="11" t="str">
        <x:v>Bổ sung</x:v>
      </x:c>
      <x:c r="C204" s="11" t="str">
        <x:v>nhóm nghị sĩ hữu nghị / 의원친선협회</x:v>
      </x:c>
      <x:c r="D204" s="11" t="str">
        <x:v>Xem dòng VI/KO</x:v>
      </x:c>
      <x:c r="E204" s="11" t="str">
        <x:v>Chứng cứ cách dùng trong ngữ liệu</x:v>
      </x:c>
      <x:c r="F204" s="11" t="str">
        <x:v>KO</x:v>
      </x:c>
      <x:c r="G204" s="11" t="str">
        <x:v>S011</x:v>
      </x:c>
      <x:c r="H204" s="11" t="str">
        <x:v>Nhân Dân tiếng Hàn – dẫn chứng trong hồ sơ gốc</x:v>
      </x:c>
      <x:c r="I204" s="30" t="str">
        <x:v>https://kr.nhandan.vn/article-post5147.html</x:v>
      </x:c>
      <x:c r="J204" s="11" t="str">
        <x:v>Chứng cứ biểu thức trong corpus; không tự là định nghĩa từ điển hoặc xác nhận mọi nét nghĩa.</x:v>
      </x:c>
      <x:c r="K204" s="11" t="str">
        <x:v>2026-10-28</x:v>
      </x:c>
    </x:row>
    <x:row r="205" ht="57" customHeight="1">
      <x:c r="A205" s="11" t="str">
        <x:v>M016</x:v>
      </x:c>
      <x:c r="B205" s="11" t="str">
        <x:v>VI</x:v>
      </x:c>
      <x:c r="C205" s="11" t="str">
        <x:v>Quân đội nhân dân Việt Nam</x:v>
      </x:c>
      <x:c r="D205" s="11" t="str">
        <x:v>Tên riêng: có nguồn về đối tượng</x:v>
      </x:c>
      <x:c r="E205" s="11" t="str">
        <x:v>* Mô tả chính thức</x:v>
      </x:c>
      <x:c r="F205" s="11" t="str">
        <x:v>VI</x:v>
      </x:c>
      <x:c r="G205" s="11" t="str">
        <x:v>S021</x:v>
      </x:c>
      <x:c r="H205" s="11" t="str">
        <x:v>Điều lệ Đảng (do Đại hội đại biểu toàn quốc lần thứ XI của Đảng thông qua)</x:v>
      </x:c>
      <x:c r="I205" s="30" t="str">
        <x:v>https://tulieuvankien.dangcongsan.vn/ban-chap-hanh-trung-uong-dang/dai-hoi-dang/lan-thu-xi/dieu-le-dang-do-dai-hoi-dai-bieu-toan-quoc-lan-thu-xi-cua-dang-thong-qua-1472</x:v>
      </x:c>
      <x:c r="J205" s="11" t="str">
        <x:v>Chưa xác minh định nghĩa độc lập của nguyên biểu thức/nghĩa chọn trong ngôn ngữ này. Đối chiếu trong hồ sơ cũ;</x:v>
      </x:c>
      <x:c r="K205" s="11" t="str">
        <x:v>2026-10-28</x:v>
      </x:c>
    </x:row>
    <x:row r="206" ht="57" customHeight="1">
      <x:c r="A206" s="11" t="str">
        <x:v>M016</x:v>
      </x:c>
      <x:c r="B206" s="11" t="str">
        <x:v>KO</x:v>
      </x:c>
      <x:c r="C206" s="11" t="str">
        <x:v>베트남 인민군</x:v>
      </x:c>
      <x:c r="D206" s="11" t="str">
        <x:v>Tên riêng: có nguồn về đối tượng</x:v>
      </x:c>
      <x:c r="E206" s="11" t="str">
        <x:v>* Diễn giải mô tả VI</x:v>
      </x:c>
      <x:c r="F206" s="11" t="str">
        <x:v>VI</x:v>
      </x:c>
      <x:c r="G206" s="11" t="str">
        <x:v>S021</x:v>
      </x:c>
      <x:c r="H206" s="11" t="str">
        <x:v>Điều lệ Đảng (do Đại hội đại biểu toàn quốc lần thứ XI của Đảng thông qua)</x:v>
      </x:c>
      <x:c r="I206" s="30" t="str">
        <x:v>https://tulieuvankien.dangcongsan.vn/ban-chap-hanh-trung-uong-dang/dai-hoi-dang/lan-thu-xi/dieu-le-dang-do-dai-hoi-dai-bieu-toan-quoc-lan-thu-xi-cua-dang-thong-qua-1472</x:v>
      </x:c>
      <x:c r="J206" s="11" t="str">
        <x:v>Chưa xác minh định nghĩa độc lập của nguyên biểu thức/nghĩa chọn trong ngôn ngữ này. Đối chiếu trong hồ sơ cũ;</x:v>
      </x:c>
      <x:c r="K206" s="11" t="str">
        <x:v>2026-10-28</x:v>
      </x:c>
    </x:row>
    <x:row r="207" ht="57" customHeight="1">
      <x:c r="A207" s="11" t="str">
        <x:v>M016</x:v>
      </x:c>
      <x:c r="B207" s="11" t="str">
        <x:v>Bổ sung</x:v>
      </x:c>
      <x:c r="C207" s="11" t="str">
        <x:v>Quân đội nhân dân Việt Nam / 베트남 인민군</x:v>
      </x:c>
      <x:c r="D207" s="11" t="str">
        <x:v>Xem dòng VI/KO</x:v>
      </x:c>
      <x:c r="E207" s="11" t="str">
        <x:v>Chứng cứ cách dùng trong ngữ liệu</x:v>
      </x:c>
      <x:c r="F207" s="11" t="str">
        <x:v>KO</x:v>
      </x:c>
      <x:c r="G207" s="11" t="str">
        <x:v>S063</x:v>
      </x:c>
      <x:c r="H207" s="11" t="str">
        <x:v>Nhân Dân tiếng Hàn – dẫn chứng trong hồ sơ gốc</x:v>
      </x:c>
      <x:c r="I207" s="30" t="str">
        <x:v>https://kr.nhandan.vn/article-post5118.html</x:v>
      </x:c>
      <x:c r="J207" s="11" t="str">
        <x:v>Chứng cứ biểu thức trong corpus; không tự là định nghĩa từ điển hoặc xác nhận mọi nét nghĩa.</x:v>
      </x:c>
      <x:c r="K207" s="11" t="str">
        <x:v>2026-10-28</x:v>
      </x:c>
    </x:row>
    <x:row r="208" ht="57" customHeight="1">
      <x:c r="A208" s="11" t="str">
        <x:v>T104</x:v>
      </x:c>
      <x:c r="B208" s="11" t="str">
        <x:v>VI</x:v>
      </x:c>
      <x:c r="C208" s="11" t="str">
        <x:v>Quốc hội</x:v>
      </x:c>
      <x:c r="D208" s="11" t="str">
        <x:v>CẦN TRA — chưa xác minh mục từ</x:v>
      </x:c>
      <x:c r="E208" s="11" t="str">
        <x:v>* Mô tả chính thức</x:v>
      </x:c>
      <x:c r="F208" s="11" t="str">
        <x:v>VI</x:v>
      </x:c>
      <x:c r="G208" s="11" t="str">
        <x:v>S089</x:v>
      </x:c>
      <x:c r="H208" s="11" t="str">
        <x:v>Chức năng, nhiệm vụ của Quốc hội – Cổng Quốc hội</x:v>
      </x:c>
      <x:c r="I208" s="30" t="str">
        <x:v>https://quochoi.vn/gioithieu/gioithieuveqh/Pages/default.aspx</x:v>
      </x:c>
      <x:c r="J208" s="11" t="str">
        <x:v>Chưa xác minh định nghĩa độc lập của nguyên biểu thức/nghĩa chọn trong ngôn ngữ này. Quốc hội tự giới thiệu vai trò đại diện, lập hiến, lập pháp và giám sát.</x:v>
      </x:c>
      <x:c r="K208" s="11" t="str">
        <x:v>2026-10-28</x:v>
      </x:c>
    </x:row>
    <x:row r="209" ht="57" customHeight="1">
      <x:c r="A209" s="11" t="str">
        <x:v>T104</x:v>
      </x:c>
      <x:c r="B209" s="11" t="str">
        <x:v>KO</x:v>
      </x:c>
      <x:c r="C209" s="11" t="str">
        <x:v>국회</x:v>
      </x:c>
      <x:c r="D209" s="11" t="str">
        <x:v>CẦN TRA — chưa xác minh mục từ</x:v>
      </x:c>
      <x:c r="E209" s="11" t="str">
        <x:v>* Diễn giải mô tả VI</x:v>
      </x:c>
      <x:c r="F209" s="11" t="str">
        <x:v>VI</x:v>
      </x:c>
      <x:c r="G209" s="11" t="str">
        <x:v>S089</x:v>
      </x:c>
      <x:c r="H209" s="11" t="str">
        <x:v>Chức năng, nhiệm vụ của Quốc hội – Cổng Quốc hội</x:v>
      </x:c>
      <x:c r="I209" s="30" t="str">
        <x:v>https://quochoi.vn/gioithieu/gioithieuveqh/Pages/default.aspx</x:v>
      </x:c>
      <x:c r="J209" s="11" t="str">
        <x:v>Chưa xác minh định nghĩa độc lập của nguyên biểu thức/nghĩa chọn trong ngôn ngữ này. Quốc hội tự giới thiệu vai trò đại diện, lập hiến, lập pháp và giám sát.</x:v>
      </x:c>
      <x:c r="K209" s="11" t="str">
        <x:v>2026-10-28</x:v>
      </x:c>
    </x:row>
    <x:row r="210" ht="57" customHeight="1">
      <x:c r="A210" s="11" t="str">
        <x:v>T104</x:v>
      </x:c>
      <x:c r="B210" s="11" t="str">
        <x:v>Bổ sung</x:v>
      </x:c>
      <x:c r="C210" s="11" t="str">
        <x:v>Quốc hội / 국회</x:v>
      </x:c>
      <x:c r="D210" s="11" t="str">
        <x:v>Xem dòng VI/KO</x:v>
      </x:c>
      <x:c r="E210" s="11" t="str">
        <x:v>Chứng cứ cách dùng trong ngữ liệu</x:v>
      </x:c>
      <x:c r="F210" s="11" t="str">
        <x:v>KO</x:v>
      </x:c>
      <x:c r="G210" s="11" t="str">
        <x:v>S011</x:v>
      </x:c>
      <x:c r="H210" s="11" t="str">
        <x:v>Nhân Dân tiếng Hàn – dẫn chứng trong hồ sơ gốc</x:v>
      </x:c>
      <x:c r="I210" s="30" t="str">
        <x:v>https://kr.nhandan.vn/article-post5147.html</x:v>
      </x:c>
      <x:c r="J210" s="11" t="str">
        <x:v>Chứng cứ biểu thức trong corpus; không tự là định nghĩa từ điển hoặc xác nhận mọi nét nghĩa.</x:v>
      </x:c>
      <x:c r="K210" s="11" t="str">
        <x:v>2026-10-28</x:v>
      </x:c>
    </x:row>
    <x:row r="211" ht="57" customHeight="1">
      <x:c r="A211" s="11" t="str">
        <x:v>T126</x:v>
      </x:c>
      <x:c r="B211" s="11" t="str">
        <x:v>VI</x:v>
      </x:c>
      <x:c r="C211" s="11" t="str">
        <x:v>Tòa án nhân dân tối cao</x:v>
      </x:c>
      <x:c r="D211" s="11" t="str">
        <x:v>Tên riêng: có nguồn về đối tượng</x:v>
      </x:c>
      <x:c r="E211" s="11" t="str">
        <x:v>Định nghĩa chuyên ngành [VI]</x:v>
      </x:c>
      <x:c r="F211" s="11" t="str">
        <x:v>VI</x:v>
      </x:c>
      <x:c r="G211" s="11" t="str">
        <x:v>S090</x:v>
      </x:c>
      <x:c r="H211" s="11" t="str">
        <x:v>Luật Tổ chức Tòa án nhân dân 2014 – cơ sở dữ liệu VBPL, Điều 20</x:v>
      </x:c>
      <x:c r="I211" s="30" t="str">
        <x:v>https://vbpl.moj.gov.vn/Toaannhandantoicao/Pages/vbpq-toanvan.aspx?ItemID=44169&amp;Keyword=</x:v>
      </x:c>
      <x:c r="J211" s="11" t="str">
        <x:v>Đã đọc nguồn giải nghĩa bằng ngôn ngữ này; vẫn đối chiếu nghĩa chọn và ghi chú.</x:v>
      </x:c>
      <x:c r="K211" s="11" t="str">
        <x:v>2026-10-28</x:v>
      </x:c>
    </x:row>
    <x:row r="212" ht="57" customHeight="1">
      <x:c r="A212" s="11" t="str">
        <x:v>T126</x:v>
      </x:c>
      <x:c r="B212" s="11" t="str">
        <x:v>KO</x:v>
      </x:c>
      <x:c r="C212" s="11" t="str">
        <x:v>최고인민법원</x:v>
      </x:c>
      <x:c r="D212" s="11" t="str">
        <x:v>Tên riêng: có nguồn về đối tượng</x:v>
      </x:c>
      <x:c r="E212" s="11" t="str">
        <x:v>* Diễn giải mô tả VI</x:v>
      </x:c>
      <x:c r="F212" s="11" t="str">
        <x:v>VI</x:v>
      </x:c>
      <x:c r="G212" s="11" t="str">
        <x:v>S090</x:v>
      </x:c>
      <x:c r="H212" s="11" t="str">
        <x:v>Luật Tổ chức Tòa án nhân dân 2014 – cơ sở dữ liệu VBPL, Điều 20</x:v>
      </x:c>
      <x:c r="I212" s="30" t="str">
        <x:v>https://vbpl.moj.gov.vn/Toaannhandantoicao/Pages/vbpq-toanvan.aspx?ItemID=44169&amp;Keyword=</x:v>
      </x:c>
      <x:c r="J212" s="11" t="str">
        <x:v>Chưa xác minh định nghĩa độc lập của nguyên biểu thức/nghĩa chọn trong ngôn ngữ này. Xác định thuật ngữ TAND tối cao trong văn bản 2014; dùng chứng cứ khái niệm lịch sử, không khẳng định toàn văn còn hiệu lực.</x:v>
      </x:c>
      <x:c r="K212" s="11" t="str">
        <x:v>2026-10-28</x:v>
      </x:c>
    </x:row>
    <x:row r="213" ht="57" customHeight="1">
      <x:c r="A213" s="11" t="str">
        <x:v>T126</x:v>
      </x:c>
      <x:c r="B213" s="11" t="str">
        <x:v>Bổ sung</x:v>
      </x:c>
      <x:c r="C213" s="11" t="str">
        <x:v>Tòa án nhân dân tối cao / 최고인민법원</x:v>
      </x:c>
      <x:c r="D213" s="11" t="str">
        <x:v>Xem dòng VI/KO</x:v>
      </x:c>
      <x:c r="E213" s="11" t="str">
        <x:v>Chứng cứ cách dùng trong ngữ liệu</x:v>
      </x:c>
      <x:c r="F213" s="11" t="str">
        <x:v>KO</x:v>
      </x:c>
      <x:c r="G213" s="11" t="str">
        <x:v>S091</x:v>
      </x:c>
      <x:c r="H213" s="11" t="str">
        <x:v>Nhân Dân tiếng Hàn – dẫn chứng trong hồ sơ gốc</x:v>
      </x:c>
      <x:c r="I213" s="30" t="str">
        <x:v>https://kr.nhandan.vn/article-post5747.html</x:v>
      </x:c>
      <x:c r="J213" s="11" t="str">
        <x:v>Chứng cứ biểu thức trong corpus; không tự là định nghĩa từ điển hoặc xác nhận mọi nét nghĩa.</x:v>
      </x:c>
      <x:c r="K213" s="11" t="str">
        <x:v>2026-10-28</x:v>
      </x:c>
    </x:row>
    <x:row r="214" ht="57" customHeight="1">
      <x:c r="A214" s="11" t="str">
        <x:v>M031</x:v>
      </x:c>
      <x:c r="B214" s="11" t="str">
        <x:v>VI</x:v>
      </x:c>
      <x:c r="C214" s="11" t="str">
        <x:v>Tổ chức Giáo dục, Khoa học và Văn hóa của Liên hợp quốc (UNESCO)</x:v>
      </x:c>
      <x:c r="D214" s="11" t="str">
        <x:v>Tên riêng: có nguồn về đối tượng</x:v>
      </x:c>
      <x:c r="E214" s="11" t="str">
        <x:v>* Diễn giải mô tả EN</x:v>
      </x:c>
      <x:c r="F214" s="11" t="str">
        <x:v>EN</x:v>
      </x:c>
      <x:c r="G214" s="11" t="str">
        <x:v>S092</x:v>
      </x:c>
      <x:c r="H214" s="11" t="str">
        <x:v>Frequently asked questions – UNESCO</x:v>
      </x:c>
      <x:c r="I214" s="30" t="str">
        <x:v>https://www.unesco.org/en/articles/frequently-asked-questions-faq</x:v>
      </x:c>
      <x:c r="J214" s="11" t="str">
        <x:v>Chưa xác minh định nghĩa độc lập của nguyên biểu thức/nghĩa chọn trong ngôn ngữ này. Đối chiếu trong hồ sơ cũ; Trang ghi xuất bản 30/11/2020, cập nhật 20/4/2023. Không dùng số lượng thành viên lịch sử làm số liệu hiện hành.</x:v>
      </x:c>
      <x:c r="K214" s="11" t="str">
        <x:v>2026-10-28</x:v>
      </x:c>
    </x:row>
    <x:row r="215" ht="57" customHeight="1">
      <x:c r="A215" s="11" t="str">
        <x:v>M031</x:v>
      </x:c>
      <x:c r="B215" s="11" t="str">
        <x:v>KO</x:v>
      </x:c>
      <x:c r="C215" s="11" t="str">
        <x:v>유네스코</x:v>
      </x:c>
      <x:c r="D215" s="11" t="str">
        <x:v>Tên riêng: có nguồn về đối tượng</x:v>
      </x:c>
      <x:c r="E215" s="11" t="str">
        <x:v>* Diễn giải mô tả EN</x:v>
      </x:c>
      <x:c r="F215" s="11" t="str">
        <x:v>EN</x:v>
      </x:c>
      <x:c r="G215" s="11" t="str">
        <x:v>S092</x:v>
      </x:c>
      <x:c r="H215" s="11" t="str">
        <x:v>Frequently asked questions – UNESCO</x:v>
      </x:c>
      <x:c r="I215" s="30" t="str">
        <x:v>https://www.unesco.org/en/articles/frequently-asked-questions-faq</x:v>
      </x:c>
      <x:c r="J215" s="11" t="str">
        <x:v>Chưa xác minh định nghĩa độc lập của nguyên biểu thức/nghĩa chọn trong ngôn ngữ này. Đối chiếu trong hồ sơ cũ; Trang ghi xuất bản 30/11/2020, cập nhật 20/4/2023. Không dùng số lượng thành viên lịch sử làm số liệu hiện hành.</x:v>
      </x:c>
      <x:c r="K215" s="11" t="str">
        <x:v>2026-10-28</x:v>
      </x:c>
    </x:row>
    <x:row r="216" ht="57" customHeight="1">
      <x:c r="A216" s="11" t="str">
        <x:v>M031</x:v>
      </x:c>
      <x:c r="B216" s="11" t="str">
        <x:v>Bổ sung</x:v>
      </x:c>
      <x:c r="C216" s="11" t="str">
        <x:v>Tổ chức Giáo dục, Khoa học và Văn hóa của Liên hợp quốc (UNESCO) / 유네스코</x:v>
      </x:c>
      <x:c r="D216" s="11" t="str">
        <x:v>Xem dòng VI/KO</x:v>
      </x:c>
      <x:c r="E216" s="11" t="str">
        <x:v>Chứng cứ cách dùng trong ngữ liệu</x:v>
      </x:c>
      <x:c r="F216" s="11" t="str">
        <x:v>KO</x:v>
      </x:c>
      <x:c r="G216" s="11" t="str">
        <x:v>S036</x:v>
      </x:c>
      <x:c r="H216" s="11" t="str">
        <x:v>Nhân Dân tiếng Hàn – dẫn chứng trong hồ sơ gốc</x:v>
      </x:c>
      <x:c r="I216" s="30" t="str">
        <x:v>https://kr.nhandan.vn/article-post5136.html</x:v>
      </x:c>
      <x:c r="J216" s="11" t="str">
        <x:v>Chứng cứ biểu thức trong corpus; không tự là định nghĩa từ điển hoặc xác nhận mọi nét nghĩa.</x:v>
      </x:c>
      <x:c r="K216" s="11" t="str">
        <x:v>2026-10-28</x:v>
      </x:c>
    </x:row>
    <x:row r="217" ht="57" customHeight="1">
      <x:c r="A217" s="11" t="str">
        <x:v>M034</x:v>
      </x:c>
      <x:c r="B217" s="11" t="str">
        <x:v>VI</x:v>
      </x:c>
      <x:c r="C217" s="11" t="str">
        <x:v>ủy ban chuyên môn</x:v>
      </x:c>
      <x:c r="D217" s="11" t="str">
        <x:v>CẦN TRA — chưa xác minh mục từ</x:v>
      </x:c>
      <x:c r="E217" s="11" t="str">
        <x:v>* Nghĩa làm việc; cần nguồn định nghĩa</x:v>
      </x:c>
      <x:c r="F217" s="11" t="str">
        <x:v>VI</x:v>
      </x:c>
      <x:c r="G217" s="11" t="str">
        <x:v>S088</x:v>
      </x:c>
      <x:c r="H217" s="11" t="str">
        <x:v>Tổng Bí thư, Chủ tịch nước Tô Lâm tiếp Nhóm Nghị sĩ hữu nghị Canada-Việt Nam</x:v>
      </x:c>
      <x:c r="I217" s="30" t="str">
        <x:v>https://baochinhphu.vn/tong-bi-thu-chu-tich-nuoc-to-lam-tiep-nhom-nghi-si-huu-nghi-canada-viet-nam-102260925072920791.htm</x:v>
      </x:c>
      <x:c r="J217" s="11" t="str">
        <x:v>Chưa xác minh định nghĩa độc lập của nguyên biểu thức/nghĩa chọn trong ngôn ngữ này. Đối chiếu trong hồ sơ cũ;</x:v>
      </x:c>
      <x:c r="K217" s="11" t="str">
        <x:v>2026-10-28</x:v>
      </x:c>
    </x:row>
    <x:row r="218" ht="57" customHeight="1">
      <x:c r="A218" s="11" t="str">
        <x:v>M034</x:v>
      </x:c>
      <x:c r="B218" s="11" t="str">
        <x:v>KO</x:v>
      </x:c>
      <x:c r="C218" s="11" t="str">
        <x:v>전문위원회</x:v>
      </x:c>
      <x:c r="D218" s="11" t="str">
        <x:v>CẦN TRA — chưa xác minh mục từ</x:v>
      </x:c>
      <x:c r="E218" s="11" t="str">
        <x:v>* Nghĩa làm việc; cần nguồn định nghĩa</x:v>
      </x:c>
      <x:c r="F218" s="11" t="str">
        <x:v>VI</x:v>
      </x:c>
      <x:c r="G218" s="11" t="str">
        <x:v>S088</x:v>
      </x:c>
      <x:c r="H218" s="11" t="str">
        <x:v>Tổng Bí thư, Chủ tịch nước Tô Lâm tiếp Nhóm Nghị sĩ hữu nghị Canada-Việt Nam</x:v>
      </x:c>
      <x:c r="I218" s="30" t="str">
        <x:v>https://baochinhphu.vn/tong-bi-thu-chu-tich-nuoc-to-lam-tiep-nhom-nghi-si-huu-nghi-canada-viet-nam-102260925072920791.htm</x:v>
      </x:c>
      <x:c r="J218" s="11" t="str">
        <x:v>Chưa xác minh định nghĩa độc lập của nguyên biểu thức/nghĩa chọn trong ngôn ngữ này. Đối chiếu trong hồ sơ cũ;</x:v>
      </x:c>
      <x:c r="K218" s="11" t="str">
        <x:v>2026-10-28</x:v>
      </x:c>
    </x:row>
    <x:row r="219" ht="57" customHeight="1">
      <x:c r="A219" s="11" t="str">
        <x:v>M034</x:v>
      </x:c>
      <x:c r="B219" s="11" t="str">
        <x:v>Bổ sung</x:v>
      </x:c>
      <x:c r="C219" s="11" t="str">
        <x:v>ủy ban chuyên môn / 전문위원회</x:v>
      </x:c>
      <x:c r="D219" s="11" t="str">
        <x:v>Xem dòng VI/KO</x:v>
      </x:c>
      <x:c r="E219" s="11" t="str">
        <x:v>Chứng cứ cách dùng trong ngữ liệu</x:v>
      </x:c>
      <x:c r="F219" s="11" t="str">
        <x:v>KO</x:v>
      </x:c>
      <x:c r="G219" s="11" t="str">
        <x:v>S011</x:v>
      </x:c>
      <x:c r="H219" s="11" t="str">
        <x:v>Nhân Dân tiếng Hàn – dẫn chứng trong hồ sơ gốc</x:v>
      </x:c>
      <x:c r="I219" s="30" t="str">
        <x:v>https://kr.nhandan.vn/article-post5147.html</x:v>
      </x:c>
      <x:c r="J219" s="11" t="str">
        <x:v>Chứng cứ biểu thức trong corpus; không tự là định nghĩa từ điển hoặc xác nhận mọi nét nghĩa.</x:v>
      </x:c>
      <x:c r="K219" s="11" t="str">
        <x:v>2026-10-28</x:v>
      </x:c>
    </x:row>
    <x:row r="220" ht="57" customHeight="1">
      <x:c r="A220" s="11" t="str">
        <x:v>T115</x:v>
      </x:c>
      <x:c r="B220" s="11" t="str">
        <x:v>VI</x:v>
      </x:c>
      <x:c r="C220" s="11" t="str">
        <x:v>Ủy ban nhân dân</x:v>
      </x:c>
      <x:c r="D220" s="11" t="str">
        <x:v>CẦN TRA — chưa xác minh mục từ</x:v>
      </x:c>
      <x:c r="E220" s="11" t="str">
        <x:v>Định nghĩa chuyên ngành [VI]</x:v>
      </x:c>
      <x:c r="F220" s="11" t="str">
        <x:v>VI</x:v>
      </x:c>
      <x:c r="G220" s="11" t="str">
        <x:v>S012</x:v>
      </x:c>
      <x:c r="H220" s="11" t="str">
        <x:v>Luật số 72/2025/QH15 Tổ chức chính quyền địa phương</x:v>
      </x:c>
      <x:c r="I220" s="30" t="str">
        <x:v>https://xaydungchinhsach.chinhphu.vn/toan-van-luat-so-72-2025-qh15-to-chuc-chinh-quyen-dia-phuong-119250618161434371.htm</x:v>
      </x:c>
      <x:c r="J220" s="11" t="str">
        <x:v>Đã đọc nguồn giải nghĩa bằng ngôn ngữ này; vẫn đối chiếu nghĩa chọn và ghi chú.</x:v>
      </x:c>
      <x:c r="K220" s="11" t="str">
        <x:v>2026-10-28</x:v>
      </x:c>
    </x:row>
    <x:row r="221" ht="57" customHeight="1">
      <x:c r="A221" s="11" t="str">
        <x:v>T115</x:v>
      </x:c>
      <x:c r="B221" s="11" t="str">
        <x:v>KO</x:v>
      </x:c>
      <x:c r="C221" s="11" t="str">
        <x:v>인민위원회</x:v>
      </x:c>
      <x:c r="D221" s="11" t="str">
        <x:v>CẦN TRA — chưa xác minh mục từ</x:v>
      </x:c>
      <x:c r="E221" s="11" t="str">
        <x:v>* Diễn giải mô tả VI</x:v>
      </x:c>
      <x:c r="F221" s="11" t="str">
        <x:v>VI</x:v>
      </x:c>
      <x:c r="G221" s="11" t="str">
        <x:v>S012</x:v>
      </x:c>
      <x:c r="H221" s="11" t="str">
        <x:v>Luật số 72/2025/QH15 Tổ chức chính quyền địa phương</x:v>
      </x:c>
      <x:c r="I221" s="30" t="str">
        <x:v>https://xaydungchinhsach.chinhphu.vn/toan-van-luat-so-72-2025-qh15-to-chuc-chinh-quyen-dia-phuong-119250618161434371.htm</x:v>
      </x:c>
      <x:c r="J221" s="11" t="str">
        <x:v>Chưa xác minh định nghĩa độc lập của nguyên biểu thức/nghĩa chọn trong ngôn ngữ này. Đối chiếu trong hồ sơ cũ;</x:v>
      </x:c>
      <x:c r="K221" s="11" t="str">
        <x:v>2026-10-28</x:v>
      </x:c>
    </x:row>
    <x:row r="222" ht="57" customHeight="1">
      <x:c r="A222" s="11" t="str">
        <x:v>T115</x:v>
      </x:c>
      <x:c r="B222" s="11" t="str">
        <x:v>Bổ sung</x:v>
      </x:c>
      <x:c r="C222" s="11" t="str">
        <x:v>Ủy ban nhân dân / 인민위원회</x:v>
      </x:c>
      <x:c r="D222" s="11" t="str">
        <x:v>Xem dòng VI/KO</x:v>
      </x:c>
      <x:c r="E222" s="11" t="str">
        <x:v>Chứng cứ cách dùng trong ngữ liệu</x:v>
      </x:c>
      <x:c r="F222" s="11" t="str">
        <x:v>KO</x:v>
      </x:c>
      <x:c r="G222" s="11" t="str">
        <x:v>S013</x:v>
      </x:c>
      <x:c r="H222" s="11" t="str">
        <x:v>Nhân Dân tiếng Hàn – dẫn chứng trong hồ sơ gốc</x:v>
      </x:c>
      <x:c r="I222" s="30" t="str">
        <x:v>https://kr.nhandan.vn/article-post5907.html</x:v>
      </x:c>
      <x:c r="J222" s="11" t="str">
        <x:v>Chứng cứ biểu thức trong corpus; không tự là định nghĩa từ điển hoặc xác nhận mọi nét nghĩa.</x:v>
      </x:c>
      <x:c r="K222" s="11" t="str">
        <x:v>2026-10-28</x:v>
      </x:c>
    </x:row>
    <x:row r="223" ht="57" customHeight="1">
      <x:c r="A223" s="11" t="str">
        <x:v>T121</x:v>
      </x:c>
      <x:c r="B223" s="11" t="str">
        <x:v>VI</x:v>
      </x:c>
      <x:c r="C223" s="11" t="str">
        <x:v>Ủy ban Trung ương Mặt trận Tổ quốc Việt Nam</x:v>
      </x:c>
      <x:c r="D223" s="11" t="str">
        <x:v>Tên riêng: có nguồn về đối tượng</x:v>
      </x:c>
      <x:c r="E223" s="11" t="str">
        <x:v>Định nghĩa chuyên ngành [VI]</x:v>
      </x:c>
      <x:c r="F223" s="11" t="str">
        <x:v>VI</x:v>
      </x:c>
      <x:c r="G223" s="11" t="str">
        <x:v>S093</x:v>
      </x:c>
      <x:c r="H223" s="11" t="str">
        <x:v>Điều lệ Mặt trận Tổ quốc Việt Nam – cổng MTTQ Sơn La</x:v>
      </x:c>
      <x:c r="I223" s="30" t="str">
        <x:v>https://mattran.sonla.gov.vn/gioi-thieu-9-dieu-le-mat-tran-to-quoc-viet-nam.html</x:v>
      </x:c>
      <x:c r="J223" s="11" t="str">
        <x:v>Đã đọc nguồn giải nghĩa bằng ngôn ngữ này; vẫn đối chiếu nghĩa chọn và ghi chú.</x:v>
      </x:c>
      <x:c r="K223" s="11" t="str">
        <x:v>2026-10-28</x:v>
      </x:c>
    </x:row>
    <x:row r="224" ht="57" customHeight="1">
      <x:c r="A224" s="11" t="str">
        <x:v>T121</x:v>
      </x:c>
      <x:c r="B224" s="11" t="str">
        <x:v>KO</x:v>
      </x:c>
      <x:c r="C224" s="11" t="str">
        <x:v>베트남 조국전선 중앙위원회</x:v>
      </x:c>
      <x:c r="D224" s="11" t="str">
        <x:v>Tên riêng: có nguồn về đối tượng</x:v>
      </x:c>
      <x:c r="E224" s="11" t="str">
        <x:v>* Diễn giải mô tả VI</x:v>
      </x:c>
      <x:c r="F224" s="11" t="str">
        <x:v>VI</x:v>
      </x:c>
      <x:c r="G224" s="11" t="str">
        <x:v>S093</x:v>
      </x:c>
      <x:c r="H224" s="11" t="str">
        <x:v>Điều lệ Mặt trận Tổ quốc Việt Nam – cổng MTTQ Sơn La</x:v>
      </x:c>
      <x:c r="I224" s="30" t="str">
        <x:v>https://mattran.sonla.gov.vn/gioi-thieu-9-dieu-le-mat-tran-to-quoc-viet-nam.html</x:v>
      </x:c>
      <x:c r="J224" s="11" t="str">
        <x:v>Chưa xác minh định nghĩa độc lập của nguyên biểu thức/nghĩa chọn trong ngôn ngữ này. Điều 13–14 xác định Ủy ban Trung ương là cơ quan chấp hành giữa hai kỳ đại hội.</x:v>
      </x:c>
      <x:c r="K224" s="11" t="str">
        <x:v>2026-10-28</x:v>
      </x:c>
    </x:row>
    <x:row r="225" ht="57" customHeight="1">
      <x:c r="A225" s="11" t="str">
        <x:v>T121</x:v>
      </x:c>
      <x:c r="B225" s="11" t="str">
        <x:v>Bổ sung</x:v>
      </x:c>
      <x:c r="C225" s="11" t="str">
        <x:v>Ủy ban Trung ương Mặt trận Tổ quốc Việt Nam / 베트남 조국전선 중앙위원회</x:v>
      </x:c>
      <x:c r="D225" s="11" t="str">
        <x:v>Xem dòng VI/KO</x:v>
      </x:c>
      <x:c r="E225" s="11" t="str">
        <x:v>Chứng cứ cách dùng trong ngữ liệu</x:v>
      </x:c>
      <x:c r="F225" s="11" t="str">
        <x:v>KO</x:v>
      </x:c>
      <x:c r="G225" s="11" t="str">
        <x:v>S002</x:v>
      </x:c>
      <x:c r="H225" s="11" t="str">
        <x:v>Nhân Dân tiếng Hàn – dẫn chứng trong hồ sơ gốc</x:v>
      </x:c>
      <x:c r="I225" s="30" t="str">
        <x:v>https://kr.nhandan.vn/article-post3431.html</x:v>
      </x:c>
      <x:c r="J225" s="11" t="str">
        <x:v>Chứng cứ biểu thức trong corpus; không tự là định nghĩa từ điển hoặc xác nhận mọi nét nghĩa.</x:v>
      </x:c>
      <x:c r="K225" s="11" t="str">
        <x:v>2026-10-28</x:v>
      </x:c>
    </x:row>
    <x:row r="226" ht="57" customHeight="1">
      <x:c r="A226" s="11" t="str">
        <x:v>T127</x:v>
      </x:c>
      <x:c r="B226" s="11" t="str">
        <x:v>VI</x:v>
      </x:c>
      <x:c r="C226" s="11" t="str">
        <x:v>Văn phòng Chính phủ</x:v>
      </x:c>
      <x:c r="D226" s="11" t="str">
        <x:v>Tên riêng: có nguồn về đối tượng</x:v>
      </x:c>
      <x:c r="E226" s="11" t="str">
        <x:v>Định nghĩa chuyên ngành [VI]</x:v>
      </x:c>
      <x:c r="F226" s="11" t="str">
        <x:v>VI</x:v>
      </x:c>
      <x:c r="G226" s="11" t="str">
        <x:v>S094</x:v>
      </x:c>
      <x:c r="H226" s="11" t="str">
        <x:v>Chức năng, nhiệm vụ của Văn phòng Chính phủ</x:v>
      </x:c>
      <x:c r="I226" s="30" t="str">
        <x:v>https://vpcp.chinhphu.vn/thong-tin-chung/chuc-nang-nhiem-vu</x:v>
      </x:c>
      <x:c r="J226" s="11" t="str">
        <x:v>Đã đọc nguồn giải nghĩa bằng ngôn ngữ này; vẫn đối chiếu nghĩa chọn và ghi chú.</x:v>
      </x:c>
      <x:c r="K226" s="11" t="str">
        <x:v>2026-10-28</x:v>
      </x:c>
    </x:row>
    <x:row r="227" ht="57" customHeight="1">
      <x:c r="A227" s="11" t="str">
        <x:v>T127</x:v>
      </x:c>
      <x:c r="B227" s="11" t="str">
        <x:v>KO</x:v>
      </x:c>
      <x:c r="C227" s="11" t="str">
        <x:v>정부 사무처</x:v>
      </x:c>
      <x:c r="D227" s="11" t="str">
        <x:v>Tên riêng: có nguồn về đối tượng</x:v>
      </x:c>
      <x:c r="E227" s="11" t="str">
        <x:v>* Diễn giải mô tả VI</x:v>
      </x:c>
      <x:c r="F227" s="11" t="str">
        <x:v>VI</x:v>
      </x:c>
      <x:c r="G227" s="11" t="str">
        <x:v>S094</x:v>
      </x:c>
      <x:c r="H227" s="11" t="str">
        <x:v>Chức năng, nhiệm vụ của Văn phòng Chính phủ</x:v>
      </x:c>
      <x:c r="I227" s="30" t="str">
        <x:v>https://vpcp.chinhphu.vn/thong-tin-chung/chuc-nang-nhiem-vu</x:v>
      </x:c>
      <x:c r="J227" s="11" t="str">
        <x:v>Chưa xác minh định nghĩa độc lập của nguyên biểu thức/nghĩa chọn trong ngôn ngữ này. Trang của cơ quan xác định vị trí, chức năng hỗ trợ và điều phối Chính phủ.</x:v>
      </x:c>
      <x:c r="K227" s="11" t="str">
        <x:v>2026-10-28</x:v>
      </x:c>
    </x:row>
    <x:row r="228" ht="57" customHeight="1">
      <x:c r="A228" s="11" t="str">
        <x:v>T127</x:v>
      </x:c>
      <x:c r="B228" s="11" t="str">
        <x:v>Bổ sung</x:v>
      </x:c>
      <x:c r="C228" s="11" t="str">
        <x:v>Văn phòng Chính phủ / 정부 사무처</x:v>
      </x:c>
      <x:c r="D228" s="11" t="str">
        <x:v>Xem dòng VI/KO</x:v>
      </x:c>
      <x:c r="E228" s="11" t="str">
        <x:v>Chứng cứ cách dùng trong ngữ liệu</x:v>
      </x:c>
      <x:c r="F228" s="11" t="str">
        <x:v>KO</x:v>
      </x:c>
      <x:c r="G228" s="11" t="str">
        <x:v>S095</x:v>
      </x:c>
      <x:c r="H228" s="11" t="str">
        <x:v>Nhân Dân tiếng Hàn – dẫn chứng trong hồ sơ gốc</x:v>
      </x:c>
      <x:c r="I228" s="30" t="str">
        <x:v>https://kr.nhandan.vn/article-post4925.html</x:v>
      </x:c>
      <x:c r="J228" s="11" t="str">
        <x:v>Chứng cứ biểu thức trong corpus; không tự là định nghĩa từ điển hoặc xác nhận mọi nét nghĩa.</x:v>
      </x:c>
      <x:c r="K228" s="11" t="str">
        <x:v>2026-10-28</x:v>
      </x:c>
    </x:row>
    <x:row r="229" ht="57" customHeight="1">
      <x:c r="A229" s="11" t="str">
        <x:v>T073</x:v>
      </x:c>
      <x:c r="B229" s="11" t="str">
        <x:v>VI</x:v>
      </x:c>
      <x:c r="C229" s="11" t="str">
        <x:v>chế độ chính trị</x:v>
      </x:c>
      <x:c r="D229" s="11" t="str">
        <x:v>CẦN TRA — chưa xác minh mục từ</x:v>
      </x:c>
      <x:c r="E229" s="11" t="str">
        <x:v>* Nghĩa làm việc; cần nguồn định nghĩa</x:v>
      </x:c>
      <x:c r="F229" s="11" t="str">
        <x:v>VI</x:v>
      </x:c>
      <x:c r="G229" s="11" t="str">
        <x:v>S096</x:v>
      </x:c>
      <x:c r="H229" s="11" t="str">
        <x:v>Hiến pháp nước Cộng hòa xã hội chủ nghĩa Việt Nam (2013)</x:v>
      </x:c>
      <x:c r="I229" s="30" t="str">
        <x:v>https://xaydungchinhsach.chinhphu.vn/toan-van-hien-phap-nuoc-cong-hoa-xa-hoi-chu-nghia-viet-nam-119231225213002261.htm</x:v>
      </x:c>
      <x:c r="J229" s="11" t="str">
        <x:v>Chưa xác minh định nghĩa độc lập của nguyên biểu thức/nghĩa chọn trong ngôn ngữ này. Nguồn dẫn trong hồ sơ cũ; không phải xác nhận đã tìm được mục từ giải nghĩa trực tiếp.</x:v>
      </x:c>
      <x:c r="K229" s="11" t="str">
        <x:v>2026-10-28</x:v>
      </x:c>
    </x:row>
    <x:row r="230" ht="57" customHeight="1">
      <x:c r="A230" s="11" t="str">
        <x:v>T073</x:v>
      </x:c>
      <x:c r="B230" s="11" t="str">
        <x:v>KO</x:v>
      </x:c>
      <x:c r="C230" s="11" t="str">
        <x:v>정치 체제</x:v>
      </x:c>
      <x:c r="D230" s="11" t="str">
        <x:v>CẦN TRA — chưa xác minh mục từ</x:v>
      </x:c>
      <x:c r="E230" s="11" t="str">
        <x:v>* Nghĩa làm việc; cần nguồn định nghĩa</x:v>
      </x:c>
      <x:c r="F230" s="11" t="str">
        <x:v>Chưa có nguồn</x:v>
      </x:c>
      <x:c r="G230" s="11" t="str"/>
      <x:c r="H230" s="11" t="str">
        <x:v>Chưa xác minh nguồn định nghĩa trực tiếp</x:v>
      </x:c>
      <x:c r="I230" s="30" t="str"/>
      <x:c r="J230" s="11" t="str">
        <x:v>Chưa xác minh định nghĩa độc lập của nguyên biểu thức/nghĩa chọn trong ngôn ngữ này. </x:v>
      </x:c>
      <x:c r="K230" s="11" t="str">
        <x:v>2026-10-28</x:v>
      </x:c>
    </x:row>
    <x:row r="231" ht="57" customHeight="1">
      <x:c r="A231" s="11" t="str">
        <x:v>T129</x:v>
      </x:c>
      <x:c r="B231" s="11" t="str">
        <x:v>VI</x:v>
      </x:c>
      <x:c r="C231" s="11" t="str">
        <x:v>chính quyền địa phương hai cấp</x:v>
      </x:c>
      <x:c r="D231" s="11" t="str">
        <x:v>CẦN TRA — chưa xác minh mục từ</x:v>
      </x:c>
      <x:c r="E231" s="11" t="str">
        <x:v>* Mô tả chính thức</x:v>
      </x:c>
      <x:c r="F231" s="11" t="str">
        <x:v>VI</x:v>
      </x:c>
      <x:c r="G231" s="11" t="str">
        <x:v>S012</x:v>
      </x:c>
      <x:c r="H231" s="11" t="str">
        <x:v>Luật 72/2025/QH15 Tổ chức chính quyền địa phương, Điều 1–2</x:v>
      </x:c>
      <x:c r="I231" s="30" t="str">
        <x:v>https://xaydungchinhsach.chinhphu.vn/toan-van-luat-so-72-2025-qh15-to-chuc-chinh-quyen-dia-phuong-119250618161434371.htm</x:v>
      </x:c>
      <x:c r="J231" s="11" t="str">
        <x:v>Chưa xác minh định nghĩa độc lập của nguyên biểu thức/nghĩa chọn trong ngôn ngữ này. Đối chiếu trong hồ sơ cũ;</x:v>
      </x:c>
      <x:c r="K231" s="11" t="str">
        <x:v>2026-10-28</x:v>
      </x:c>
    </x:row>
    <x:row r="232" ht="57" customHeight="1">
      <x:c r="A232" s="11" t="str">
        <x:v>T129</x:v>
      </x:c>
      <x:c r="B232" s="11" t="str">
        <x:v>KO</x:v>
      </x:c>
      <x:c r="C232" s="11" t="str">
        <x:v>2단계 지방 행정</x:v>
      </x:c>
      <x:c r="D232" s="11" t="str">
        <x:v>CẦN TRA — chưa xác minh mục từ</x:v>
      </x:c>
      <x:c r="E232" s="11" t="str">
        <x:v>* Diễn giải mô tả VI</x:v>
      </x:c>
      <x:c r="F232" s="11" t="str">
        <x:v>VI</x:v>
      </x:c>
      <x:c r="G232" s="11" t="str">
        <x:v>S012</x:v>
      </x:c>
      <x:c r="H232" s="11" t="str">
        <x:v>Luật 72/2025/QH15 Tổ chức chính quyền địa phương, Điều 1–2</x:v>
      </x:c>
      <x:c r="I232" s="30" t="str">
        <x:v>https://xaydungchinhsach.chinhphu.vn/toan-van-luat-so-72-2025-qh15-to-chuc-chinh-quyen-dia-phuong-119250618161434371.htm</x:v>
      </x:c>
      <x:c r="J232" s="11" t="str">
        <x:v>Chưa xác minh định nghĩa độc lập của nguyên biểu thức/nghĩa chọn trong ngôn ngữ này. Đối chiếu trong hồ sơ cũ;</x:v>
      </x:c>
      <x:c r="K232" s="11" t="str">
        <x:v>2026-10-28</x:v>
      </x:c>
    </x:row>
    <x:row r="233" ht="57" customHeight="1">
      <x:c r="A233" s="11" t="str">
        <x:v>T151</x:v>
      </x:c>
      <x:c r="B233" s="11" t="str">
        <x:v>VI</x:v>
      </x:c>
      <x:c r="C233" s="11" t="str">
        <x:v>chính sách đối ngoại</x:v>
      </x:c>
      <x:c r="D233" s="11" t="str">
        <x:v>CẦN TRA — chưa xác minh mục từ</x:v>
      </x:c>
      <x:c r="E233" s="11" t="str">
        <x:v>* Nghĩa làm việc; cần nguồn định nghĩa</x:v>
      </x:c>
      <x:c r="F233" s="11" t="str">
        <x:v>VI</x:v>
      </x:c>
      <x:c r="G233" s="11" t="str">
        <x:v>S019</x:v>
      </x:c>
      <x:c r="H233" s="11" t="str">
        <x:v>Luật 33/2009/QH12: Cơ quan đại diện nước CHXHCN Việt Nam ở nước ngoài</x:v>
      </x:c>
      <x:c r="I233" s="30" t="str">
        <x:v>https://chinhphu.vn/default.aspx?docid=91023&amp;pageid=27160</x:v>
      </x:c>
      <x:c r="J233" s="11" t="str">
        <x:v>Chưa xác minh định nghĩa độc lập của nguyên biểu thức/nghĩa chọn trong ngôn ngữ này. Đối chiếu trong hồ sơ cũ; Dùng định danh và cấu trúc thuật ngữ ở Điều 2,18–19; không khẳng định toàn văn chưa sửa đổi.</x:v>
      </x:c>
      <x:c r="K233" s="11" t="str">
        <x:v>2026-10-28</x:v>
      </x:c>
    </x:row>
    <x:row r="234" ht="57" customHeight="1">
      <x:c r="A234" s="11" t="str">
        <x:v>T151</x:v>
      </x:c>
      <x:c r="B234" s="11" t="str">
        <x:v>KO</x:v>
      </x:c>
      <x:c r="C234" s="11" t="str">
        <x:v>외교정책</x:v>
      </x:c>
      <x:c r="D234" s="11" t="str">
        <x:v>CẦN TRA — chưa xác minh mục từ</x:v>
      </x:c>
      <x:c r="E234" s="11" t="str">
        <x:v>* Nghĩa làm việc; cần nguồn định nghĩa</x:v>
      </x:c>
      <x:c r="F234" s="11" t="str">
        <x:v>Chưa có nguồn</x:v>
      </x:c>
      <x:c r="G234" s="11" t="str"/>
      <x:c r="H234" s="11" t="str">
        <x:v>Chưa xác minh nguồn định nghĩa trực tiếp</x:v>
      </x:c>
      <x:c r="I234" s="30" t="str"/>
      <x:c r="J234" s="11" t="str">
        <x:v>Chưa xác minh định nghĩa độc lập của nguyên biểu thức/nghĩa chọn trong ngôn ngữ này. </x:v>
      </x:c>
      <x:c r="K234" s="11" t="str">
        <x:v>2026-10-28</x:v>
      </x:c>
    </x:row>
    <x:row r="235" ht="57" customHeight="1">
      <x:c r="A235" s="11" t="str">
        <x:v>T066</x:v>
      </x:c>
      <x:c r="B235" s="11" t="str">
        <x:v>VI</x:v>
      </x:c>
      <x:c r="C235" s="11" t="str">
        <x:v>chính sách quốc phòng</x:v>
      </x:c>
      <x:c r="D235" s="11" t="str">
        <x:v>CẦN TRA — chưa xác minh mục từ</x:v>
      </x:c>
      <x:c r="E235" s="11" t="str">
        <x:v>* Nghĩa làm việc; cần nguồn định nghĩa</x:v>
      </x:c>
      <x:c r="F235" s="11" t="str">
        <x:v>VI</x:v>
      </x:c>
      <x:c r="G235" s="11" t="str">
        <x:v>S097</x:v>
      </x:c>
      <x:c r="H235" s="11" t="str">
        <x:v>Toàn văn: Phát biểu của Thủ tướng Phạm Minh Chính tại Triển lãm Quốc phòng quốc tế Việt Nam 2022</x:v>
      </x:c>
      <x:c r="I235" s="30" t="str">
        <x:v>https://xaydungchinhsach.chinhphu.vn/toan-van-phat-bieu-cua-thu-tuong-pham-minh-chinh-tai-trien-lam-quoc-phong-quoc-te-viet-nam-2022-viet-nam-defence-2022-119221208114208503.htm</x:v>
      </x:c>
      <x:c r="J235" s="11" t="str">
        <x:v>Chưa xác minh định nghĩa độc lập của nguyên biểu thức/nghĩa chọn trong ngôn ngữ này. Nguồn dẫn trong hồ sơ cũ; không phải xác nhận đã tìm được mục từ giải nghĩa trực tiếp.</x:v>
      </x:c>
      <x:c r="K235" s="11" t="str">
        <x:v>2026-10-28</x:v>
      </x:c>
    </x:row>
    <x:row r="236" ht="57" customHeight="1">
      <x:c r="A236" s="11" t="str">
        <x:v>T066</x:v>
      </x:c>
      <x:c r="B236" s="11" t="str">
        <x:v>KO</x:v>
      </x:c>
      <x:c r="C236" s="11" t="str">
        <x:v>국방정책</x:v>
      </x:c>
      <x:c r="D236" s="11" t="str">
        <x:v>CẦN TRA — chưa xác minh mục từ</x:v>
      </x:c>
      <x:c r="E236" s="11" t="str">
        <x:v>* Nghĩa làm việc; cần nguồn định nghĩa</x:v>
      </x:c>
      <x:c r="F236" s="11" t="str">
        <x:v>Chưa có nguồn</x:v>
      </x:c>
      <x:c r="G236" s="11" t="str"/>
      <x:c r="H236" s="11" t="str">
        <x:v>Chưa xác minh nguồn định nghĩa trực tiếp</x:v>
      </x:c>
      <x:c r="I236" s="30" t="str"/>
      <x:c r="J236" s="11" t="str">
        <x:v>Chưa xác minh định nghĩa độc lập của nguyên biểu thức/nghĩa chọn trong ngôn ngữ này. </x:v>
      </x:c>
      <x:c r="K236" s="11" t="str">
        <x:v>2026-10-28</x:v>
      </x:c>
    </x:row>
    <x:row r="237" ht="57" customHeight="1">
      <x:c r="A237" s="11" t="str">
        <x:v>T072</x:v>
      </x:c>
      <x:c r="B237" s="11" t="str">
        <x:v>VI</x:v>
      </x:c>
      <x:c r="C237" s="11" t="str">
        <x:v>chính sách tôn giáo</x:v>
      </x:c>
      <x:c r="D237" s="11" t="str">
        <x:v>CẦN TRA — chưa xác minh mục từ</x:v>
      </x:c>
      <x:c r="E237" s="11" t="str">
        <x:v>* Nghĩa làm việc; cần nguồn định nghĩa</x:v>
      </x:c>
      <x:c r="F237" s="11" t="str">
        <x:v>VI</x:v>
      </x:c>
      <x:c r="G237" s="11" t="str">
        <x:v>S096</x:v>
      </x:c>
      <x:c r="H237" s="11" t="str">
        <x:v>Hiến pháp nước Cộng hòa xã hội chủ nghĩa Việt Nam (2013)</x:v>
      </x:c>
      <x:c r="I237" s="30" t="str">
        <x:v>https://xaydungchinhsach.chinhphu.vn/toan-van-hien-phap-nuoc-cong-hoa-xa-hoi-chu-nghia-viet-nam-119231225213002261.htm</x:v>
      </x:c>
      <x:c r="J237" s="11" t="str">
        <x:v>Chưa xác minh định nghĩa độc lập của nguyên biểu thức/nghĩa chọn trong ngôn ngữ này. Nguồn dẫn trong hồ sơ cũ; không phải xác nhận đã tìm được mục từ giải nghĩa trực tiếp.</x:v>
      </x:c>
      <x:c r="K237" s="11" t="str">
        <x:v>2026-10-28</x:v>
      </x:c>
    </x:row>
    <x:row r="238" ht="57" customHeight="1">
      <x:c r="A238" s="11" t="str">
        <x:v>T072</x:v>
      </x:c>
      <x:c r="B238" s="11" t="str">
        <x:v>KO</x:v>
      </x:c>
      <x:c r="C238" s="11" t="str">
        <x:v>종교 정책</x:v>
      </x:c>
      <x:c r="D238" s="11" t="str">
        <x:v>CẦN TRA — chưa xác minh mục từ</x:v>
      </x:c>
      <x:c r="E238" s="11" t="str">
        <x:v>* Nghĩa làm việc; cần nguồn định nghĩa</x:v>
      </x:c>
      <x:c r="F238" s="11" t="str">
        <x:v>Chưa có nguồn</x:v>
      </x:c>
      <x:c r="G238" s="11" t="str"/>
      <x:c r="H238" s="11" t="str">
        <x:v>Chưa xác minh nguồn định nghĩa trực tiếp</x:v>
      </x:c>
      <x:c r="I238" s="30" t="str"/>
      <x:c r="J238" s="11" t="str">
        <x:v>Chưa xác minh định nghĩa độc lập của nguyên biểu thức/nghĩa chọn trong ngôn ngữ này. </x:v>
      </x:c>
      <x:c r="K238" s="11" t="str">
        <x:v>2026-10-28</x:v>
      </x:c>
    </x:row>
    <x:row r="239" ht="57" customHeight="1">
      <x:c r="A239" s="11" t="str">
        <x:v>T154</x:v>
      </x:c>
      <x:c r="B239" s="11" t="str">
        <x:v>VI</x:v>
      </x:c>
      <x:c r="C239" s="11" t="str">
        <x:v>chủ nghĩa đa phương</x:v>
      </x:c>
      <x:c r="D239" s="11" t="str">
        <x:v>CẦN TRA — chưa xác minh mục từ</x:v>
      </x:c>
      <x:c r="E239" s="11" t="str">
        <x:v>Diễn giải từ định nghĩa EN; cần nguồn VI</x:v>
      </x:c>
      <x:c r="F239" s="11" t="str">
        <x:v>EN</x:v>
      </x:c>
      <x:c r="G239" s="11" t="str">
        <x:v>S099</x:v>
      </x:c>
      <x:c r="H239" s="11" t="str">
        <x:v>United Nations — What is multilateralism?</x:v>
      </x:c>
      <x:c r="I239" s="30" t="str">
        <x:v>https://www.un.org/en/observances/multilateralism-for-peace-day</x:v>
      </x:c>
      <x:c r="J239" s="11" t="str">
        <x:v>Chưa xác minh định nghĩa độc lập của nguyên biểu thức/nghĩa chọn trong ngôn ngữ này. Giải thích multilateralism gồm hợp tác nhiều bên trên nguyên tắc, quy tắc và giá trị chung; không chỉ đếm số nước.</x:v>
      </x:c>
      <x:c r="K239" s="11" t="str">
        <x:v>2026-10-28</x:v>
      </x:c>
    </x:row>
    <x:row r="240" ht="57" customHeight="1">
      <x:c r="A240" s="11" t="str">
        <x:v>T154</x:v>
      </x:c>
      <x:c r="B240" s="11" t="str">
        <x:v>KO</x:v>
      </x:c>
      <x:c r="C240" s="11" t="str">
        <x:v>다자주의</x:v>
      </x:c>
      <x:c r="D240" s="11" t="str">
        <x:v>CẦN TRA — chưa xác minh mục từ</x:v>
      </x:c>
      <x:c r="E240" s="11" t="str">
        <x:v>Diễn giải từ định nghĩa EN; cần nguồn KO</x:v>
      </x:c>
      <x:c r="F240" s="11" t="str">
        <x:v>EN</x:v>
      </x:c>
      <x:c r="G240" s="11" t="str">
        <x:v>S099</x:v>
      </x:c>
      <x:c r="H240" s="11" t="str">
        <x:v>United Nations — What is multilateralism?</x:v>
      </x:c>
      <x:c r="I240" s="30" t="str">
        <x:v>https://www.un.org/en/observances/multilateralism-for-peace-day</x:v>
      </x:c>
      <x:c r="J240" s="11" t="str">
        <x:v>Chưa xác minh định nghĩa độc lập của nguyên biểu thức/nghĩa chọn trong ngôn ngữ này. Giải thích multilateralism gồm hợp tác nhiều bên trên nguyên tắc, quy tắc và giá trị chung; không chỉ đếm số nước.</x:v>
      </x:c>
      <x:c r="K240" s="11" t="str">
        <x:v>2026-10-28</x:v>
      </x:c>
    </x:row>
    <x:row r="241" ht="57" customHeight="1">
      <x:c r="A241" s="11" t="str">
        <x:v>T154</x:v>
      </x:c>
      <x:c r="B241" s="11" t="str">
        <x:v>Bổ sung</x:v>
      </x:c>
      <x:c r="C241" s="11" t="str">
        <x:v>chủ nghĩa đa phương / 다자주의</x:v>
      </x:c>
      <x:c r="D241" s="11" t="str">
        <x:v>Xem dòng VI/KO</x:v>
      </x:c>
      <x:c r="E241" s="11" t="str">
        <x:v>Căn cứ nghĩa làm việc</x:v>
      </x:c>
      <x:c r="F241" s="11" t="str">
        <x:v>VI</x:v>
      </x:c>
      <x:c r="G241" s="11" t="str">
        <x:v>S098</x:v>
      </x:c>
      <x:c r="H241" s="11" t="str">
        <x:v>Ngoại giao đa phương Việt Nam: Nhiệm vụ mới, tư duy mới, thành công mới</x:v>
      </x:c>
      <x:c r="I241" s="30" t="str">
        <x:v>https://scov.gov.vn/cong-tac-doi-ngoai/hoi-nghi-ngoai-giao-lan-thu-32/ngoai-giao-da-phuong-viet-nam-nhiem-vu-moi-tu-duy-moi-thanh-cong-moi.html</x:v>
      </x:c>
      <x:c r="J241" s="11" t="str">
        <x:v>Nguồn dẫn trong hồ sơ cũ; không phải xác nhận đã tìm được mục từ giải nghĩa trực tiếp.</x:v>
      </x:c>
      <x:c r="K241" s="11" t="str">
        <x:v>2026-10-28</x:v>
      </x:c>
    </x:row>
    <x:row r="242" ht="57" customHeight="1">
      <x:c r="A242" s="11" t="str">
        <x:v>T055</x:v>
      </x:c>
      <x:c r="B242" s="11" t="str">
        <x:v>VI</x:v>
      </x:c>
      <x:c r="C242" s="11" t="str">
        <x:v>chủ nghĩa Mác-Lênin</x:v>
      </x:c>
      <x:c r="D242" s="11" t="str">
        <x:v>CẦN TRA — chưa xác minh mục từ</x:v>
      </x:c>
      <x:c r="E242" s="11" t="str">
        <x:v>* Nghĩa làm việc; cần nguồn định nghĩa</x:v>
      </x:c>
      <x:c r="F242" s="11" t="str">
        <x:v>VI</x:v>
      </x:c>
      <x:c r="G242" s="11" t="str">
        <x:v>S021</x:v>
      </x:c>
      <x:c r="H242" s="11" t="str">
        <x:v>Điều lệ Đảng (do Đại hội đại biểu toàn quốc lần thứ XI của Đảng thông qua)</x:v>
      </x:c>
      <x:c r="I242" s="30" t="str">
        <x:v>https://tulieuvankien.dangcongsan.vn/ban-chap-hanh-trung-uong-dang/dai-hoi-dang/lan-thu-xi/dieu-le-dang-do-dai-hoi-dai-bieu-toan-quoc-lan-thu-xi-cua-dang-thong-qua-1472</x:v>
      </x:c>
      <x:c r="J242" s="11" t="str">
        <x:v>Chưa xác minh định nghĩa độc lập của nguyên biểu thức/nghĩa chọn trong ngôn ngữ này. Đối chiếu trong hồ sơ cũ;</x:v>
      </x:c>
      <x:c r="K242" s="11" t="str">
        <x:v>2026-10-28</x:v>
      </x:c>
    </x:row>
    <x:row r="243" ht="57" customHeight="1">
      <x:c r="A243" s="11" t="str">
        <x:v>T055</x:v>
      </x:c>
      <x:c r="B243" s="11" t="str">
        <x:v>KO</x:v>
      </x:c>
      <x:c r="C243" s="11" t="str">
        <x:v>마르크스-레닌주의</x:v>
      </x:c>
      <x:c r="D243" s="11" t="str">
        <x:v>CẦN TRA — chưa xác minh mục từ</x:v>
      </x:c>
      <x:c r="E243" s="11" t="str">
        <x:v>* Nghĩa làm việc; cần nguồn định nghĩa</x:v>
      </x:c>
      <x:c r="F243" s="11" t="str">
        <x:v>Chưa có nguồn</x:v>
      </x:c>
      <x:c r="G243" s="11" t="str"/>
      <x:c r="H243" s="11" t="str">
        <x:v>Chưa xác minh nguồn định nghĩa trực tiếp</x:v>
      </x:c>
      <x:c r="I243" s="30" t="str"/>
      <x:c r="J243" s="11" t="str">
        <x:v>Chưa xác minh định nghĩa độc lập của nguyên biểu thức/nghĩa chọn trong ngôn ngữ này. </x:v>
      </x:c>
      <x:c r="K243" s="11" t="str">
        <x:v>2026-10-28</x:v>
      </x:c>
    </x:row>
    <x:row r="244" ht="57" customHeight="1">
      <x:c r="A244" s="11" t="str">
        <x:v>CGP001</x:v>
      </x:c>
      <x:c r="B244" s="11" t="str">
        <x:v>VI</x:v>
      </x:c>
      <x:c r="C244" s="11" t="str">
        <x:v>chủ nghĩa quốc tế</x:v>
      </x:c>
      <x:c r="D244" s="11" t="str">
        <x:v>CẦN TRA — chưa xác minh mục từ</x:v>
      </x:c>
      <x:c r="E244" s="11" t="str">
        <x:v>* Nghĩa làm việc; cần nguồn định nghĩa</x:v>
      </x:c>
      <x:c r="F244" s="11" t="str">
        <x:v>VI</x:v>
      </x:c>
      <x:c r="G244" s="11" t="str"/>
      <x:c r="H244" s="11" t="str">
        <x:v>Hồ sơ định nghĩa làm việc đã có</x:v>
      </x:c>
      <x:c r="I244" s="30" t="str"/>
      <x:c r="J244" s="11" t="str">
        <x:v>Chưa xác minh định nghĩa độc lập của nguyên biểu thức/nghĩa chọn trong ngôn ngữ này. </x:v>
      </x:c>
      <x:c r="K244" s="11" t="str">
        <x:v>2026-10-28</x:v>
      </x:c>
    </x:row>
    <x:row r="245" ht="57" customHeight="1">
      <x:c r="A245" s="11" t="str">
        <x:v>CGP001</x:v>
      </x:c>
      <x:c r="B245" s="11" t="str">
        <x:v>KO</x:v>
      </x:c>
      <x:c r="C245" s="11" t="str">
        <x:v>국제주의</x:v>
      </x:c>
      <x:c r="D245" s="11" t="str">
        <x:v>CẦN TRA — chưa xác minh mục từ</x:v>
      </x:c>
      <x:c r="E245" s="11" t="str">
        <x:v>* Nghĩa làm việc; cần nguồn định nghĩa</x:v>
      </x:c>
      <x:c r="F245" s="11" t="str">
        <x:v>Chưa có nguồn</x:v>
      </x:c>
      <x:c r="G245" s="11" t="str"/>
      <x:c r="H245" s="11" t="str">
        <x:v>Chưa xác minh nguồn định nghĩa trực tiếp</x:v>
      </x:c>
      <x:c r="I245" s="30" t="str"/>
      <x:c r="J245" s="11" t="str">
        <x:v>Chưa xác minh định nghĩa độc lập của nguyên biểu thức/nghĩa chọn trong ngôn ngữ này. </x:v>
      </x:c>
      <x:c r="K245" s="11" t="str">
        <x:v>2026-10-28</x:v>
      </x:c>
    </x:row>
    <x:row r="246" ht="57" customHeight="1">
      <x:c r="A246" s="11" t="str">
        <x:v>T029</x:v>
      </x:c>
      <x:c r="B246" s="11" t="str">
        <x:v>VI</x:v>
      </x:c>
      <x:c r="C246" s="11" t="str">
        <x:v>chủ nghĩa xã hội</x:v>
      </x:c>
      <x:c r="D246" s="11" t="str">
        <x:v>CẦN TRA — chưa xác minh mục từ</x:v>
      </x:c>
      <x:c r="E246" s="11" t="str">
        <x:v>* Mô tả chính thức</x:v>
      </x:c>
      <x:c r="F246" s="11" t="str">
        <x:v>VI</x:v>
      </x:c>
      <x:c r="G246" s="11" t="str">
        <x:v>S100</x:v>
      </x:c>
      <x:c r="H246" s="11" t="str">
        <x:v>Cương lĩnh xây dựng đất nước trong thời kỳ quá độ lên chủ nghĩa xã hội, bổ sung và phát triển năm 2011</x:v>
      </x:c>
      <x:c r="I246" s="30" t="str">
        <x:v>https://tulieuvankien.dangcongsan.vn/ban-chap-hanh-trung-uong-dang/dai-hoi-dang/lan-thu-xi/cuong-linh-xay-dung-dat-nuoc-trong-thoi-ky-qua-do-len-chu-nghia-xa-hoi-bo-sung-phat-trien-nam-2011-1528</x:v>
      </x:c>
      <x:c r="J246" s="11" t="str">
        <x:v>Chưa xác minh định nghĩa độc lập của nguyên biểu thức/nghĩa chọn trong ngôn ngữ này. Nguồn dẫn trong hồ sơ cũ; không phải xác nhận đã tìm được mục từ giải nghĩa trực tiếp.</x:v>
      </x:c>
      <x:c r="K246" s="11" t="str">
        <x:v>2026-10-28</x:v>
      </x:c>
    </x:row>
    <x:row r="247" ht="57" customHeight="1">
      <x:c r="A247" s="11" t="str">
        <x:v>T029</x:v>
      </x:c>
      <x:c r="B247" s="11" t="str">
        <x:v>KO</x:v>
      </x:c>
      <x:c r="C247" s="11" t="str">
        <x:v>사회주의</x:v>
      </x:c>
      <x:c r="D247" s="11" t="str">
        <x:v>CẦN TRA — chưa xác minh mục từ</x:v>
      </x:c>
      <x:c r="E247" s="11" t="str">
        <x:v>* Diễn giải mô tả VI</x:v>
      </x:c>
      <x:c r="F247" s="11" t="str">
        <x:v>VI</x:v>
      </x:c>
      <x:c r="G247" s="11" t="str">
        <x:v>S100</x:v>
      </x:c>
      <x:c r="H247" s="11" t="str">
        <x:v>Cương lĩnh xây dựng đất nước trong thời kỳ quá độ lên chủ nghĩa xã hội, bổ sung và phát triển năm 2011</x:v>
      </x:c>
      <x:c r="I247" s="30" t="str">
        <x:v>https://tulieuvankien.dangcongsan.vn/ban-chap-hanh-trung-uong-dang/dai-hoi-dang/lan-thu-xi/cuong-linh-xay-dung-dat-nuoc-trong-thoi-ky-qua-do-len-chu-nghia-xa-hoi-bo-sung-phat-trien-nam-2011-1528</x:v>
      </x:c>
      <x:c r="J247" s="11" t="str">
        <x:v>Chưa xác minh định nghĩa độc lập của nguyên biểu thức/nghĩa chọn trong ngôn ngữ này. Nguồn dẫn trong hồ sơ cũ; không phải xác nhận đã tìm được mục từ giải nghĩa trực tiếp.</x:v>
      </x:c>
      <x:c r="K247" s="11" t="str">
        <x:v>2026-10-28</x:v>
      </x:c>
    </x:row>
    <x:row r="248" ht="57" customHeight="1">
      <x:c r="A248" s="11" t="str">
        <x:v>T061</x:v>
      </x:c>
      <x:c r="B248" s="11" t="str">
        <x:v>VI</x:v>
      </x:c>
      <x:c r="C248" s="11" t="str">
        <x:v>chủ quyền quốc gia</x:v>
      </x:c>
      <x:c r="D248" s="11" t="str">
        <x:v>CẦN TRA — chưa xác minh mục từ</x:v>
      </x:c>
      <x:c r="E248" s="11" t="str">
        <x:v>Định nghĩa chuyên ngành [VI]</x:v>
      </x:c>
      <x:c r="F248" s="11" t="str">
        <x:v>VI</x:v>
      </x:c>
      <x:c r="G248" s="11" t="str">
        <x:v>S101</x:v>
      </x:c>
      <x:c r="H248" s="11" t="str">
        <x:v>Công báo 513+514/2014 — tài liệu thuộc Thông tư 08/2014/TT-BLĐTBXH, trang 25</x:v>
      </x:c>
      <x:c r="I248" s="30" t="str">
        <x:v>https://moit.gov.vn/upload/2005517/20210623/_TT-08-2014BLDTBXH.pdf</x:v>
      </x:c>
      <x:c r="J248" s="11" t="str">
        <x:v>Đã đọc nguồn giải nghĩa bằng ngôn ngữ này; vẫn đối chiếu nghĩa chọn và ghi chú.</x:v>
      </x:c>
      <x:c r="K248" s="11" t="str">
        <x:v>2026-10-28</x:v>
      </x:c>
    </x:row>
    <x:row r="249" ht="57" customHeight="1">
      <x:c r="A249" s="11" t="str">
        <x:v>T061</x:v>
      </x:c>
      <x:c r="B249" s="11" t="str">
        <x:v>KO</x:v>
      </x:c>
      <x:c r="C249" s="11" t="str">
        <x:v>국가 주권</x:v>
      </x:c>
      <x:c r="D249" s="11" t="str">
        <x:v>CẦN TRA — chưa xác minh mục từ</x:v>
      </x:c>
      <x:c r="E249" s="11" t="str">
        <x:v>Diễn giải từ định nghĩa VI; cần nguồn KO</x:v>
      </x:c>
      <x:c r="F249" s="11" t="str">
        <x:v>VI</x:v>
      </x:c>
      <x:c r="G249" s="11" t="str">
        <x:v>S101</x:v>
      </x:c>
      <x:c r="H249" s="11" t="str">
        <x:v>Công báo 513+514/2014 — tài liệu thuộc Thông tư 08/2014/TT-BLĐTBXH, trang 25</x:v>
      </x:c>
      <x:c r="I249" s="30" t="str">
        <x:v>https://moit.gov.vn/upload/2005517/20210623/_TT-08-2014BLDTBXH.pdf</x:v>
      </x:c>
      <x:c r="J249" s="11" t="str">
        <x:v>Chưa xác minh định nghĩa độc lập của nguyên biểu thức/nghĩa chọn trong ngôn ngữ này. Nguồn dẫn trong hồ sơ cũ; không phải xác nhận đã tìm được mục từ giải nghĩa trực tiếp.</x:v>
      </x:c>
      <x:c r="K249" s="11" t="str">
        <x:v>2026-10-28</x:v>
      </x:c>
    </x:row>
    <x:row r="250" ht="57" customHeight="1">
      <x:c r="A250" s="11" t="str">
        <x:v>T023</x:v>
      </x:c>
      <x:c r="B250" s="11" t="str">
        <x:v>VI</x:v>
      </x:c>
      <x:c r="C250" s="11" t="str">
        <x:v>dân chủ</x:v>
      </x:c>
      <x:c r="D250" s="11" t="str">
        <x:v>CẦN TRA — chưa xác minh mục từ</x:v>
      </x:c>
      <x:c r="E250" s="11" t="str">
        <x:v>* Nghĩa làm việc; cần nguồn định nghĩa</x:v>
      </x:c>
      <x:c r="F250" s="11" t="str">
        <x:v>VI</x:v>
      </x:c>
      <x:c r="G250" s="11" t="str">
        <x:v>S096</x:v>
      </x:c>
      <x:c r="H250" s="11" t="str">
        <x:v>Hiến pháp nước Cộng hòa xã hội chủ nghĩa Việt Nam (2013)</x:v>
      </x:c>
      <x:c r="I250" s="30" t="str">
        <x:v>https://xaydungchinhsach.chinhphu.vn/toan-van-hien-phap-nuoc-cong-hoa-xa-hoi-chu-nghia-viet-nam-119231225213002261.htm</x:v>
      </x:c>
      <x:c r="J250" s="11" t="str">
        <x:v>Chưa xác minh định nghĩa độc lập của nguyên biểu thức/nghĩa chọn trong ngôn ngữ này. Nguồn dẫn trong hồ sơ cũ; không phải xác nhận đã tìm được mục từ giải nghĩa trực tiếp.</x:v>
      </x:c>
      <x:c r="K250" s="11" t="str">
        <x:v>2026-10-28</x:v>
      </x:c>
    </x:row>
    <x:row r="251" ht="57" customHeight="1">
      <x:c r="A251" s="11" t="str">
        <x:v>T023</x:v>
      </x:c>
      <x:c r="B251" s="11" t="str">
        <x:v>KO</x:v>
      </x:c>
      <x:c r="C251" s="11" t="str">
        <x:v>민주주의</x:v>
      </x:c>
      <x:c r="D251" s="11" t="str">
        <x:v>Có mục từ và đã đọc nghĩa</x:v>
      </x:c>
      <x:c r="E251" s="11" t="str">
        <x:v>Mục từ có nghĩa [KO]; nghĩa chọn cần đối chiếu</x:v>
      </x:c>
      <x:c r="F251" s="11" t="str">
        <x:v>KO</x:v>
      </x:c>
      <x:c r="G251" s="11" t="str">
        <x:v>S102</x:v>
      </x:c>
      <x:c r="H251" s="11" t="str">
        <x:v>국립국어원 한국어기초사전 — 민주주의</x:v>
      </x:c>
      <x:c r="I251" s="30" t="str">
        <x:v>https://krdict.korean.go.kr/kor/dicSearch/SearchView?ParaWordNo=15777</x:v>
      </x:c>
      <x:c r="J251" s="11" t="str">
        <x:v>Chưa xác minh định nghĩa độc lập của nguyên biểu thức/nghĩa chọn trong ngôn ngữ này. Mục từ có nghĩa tư tưởng chủ quyền thuộc về nhân dân; không tự xác nhận nghĩa chế độ của mọi lượt dùng.</x:v>
      </x:c>
      <x:c r="K251" s="11" t="str">
        <x:v>2026-10-28</x:v>
      </x:c>
    </x:row>
    <x:row r="252" ht="57" customHeight="1">
      <x:c r="A252" s="11" t="str">
        <x:v>T042</x:v>
      </x:c>
      <x:c r="B252" s="11" t="str">
        <x:v>VI</x:v>
      </x:c>
      <x:c r="C252" s="11" t="str">
        <x:v>độc lập dân tộc</x:v>
      </x:c>
      <x:c r="D252" s="11" t="str">
        <x:v>CẦN TRA — chưa xác minh mục từ</x:v>
      </x:c>
      <x:c r="E252" s="11" t="str">
        <x:v>* Nghĩa làm việc; cần nguồn định nghĩa</x:v>
      </x:c>
      <x:c r="F252" s="11" t="str">
        <x:v>VI</x:v>
      </x:c>
      <x:c r="G252" s="11" t="str">
        <x:v>S096</x:v>
      </x:c>
      <x:c r="H252" s="11" t="str">
        <x:v>Hiến pháp nước Cộng hòa xã hội chủ nghĩa Việt Nam (2013)</x:v>
      </x:c>
      <x:c r="I252" s="30" t="str">
        <x:v>https://xaydungchinhsach.chinhphu.vn/toan-van-hien-phap-nuoc-cong-hoa-xa-hoi-chu-nghia-viet-nam-119231225213002261.htm</x:v>
      </x:c>
      <x:c r="J252" s="11" t="str">
        <x:v>Chưa xác minh định nghĩa độc lập của nguyên biểu thức/nghĩa chọn trong ngôn ngữ này. Nguồn dẫn trong hồ sơ cũ; không phải xác nhận đã tìm được mục từ giải nghĩa trực tiếp.</x:v>
      </x:c>
      <x:c r="K252" s="11" t="str">
        <x:v>2026-10-28</x:v>
      </x:c>
    </x:row>
    <x:row r="253" ht="57" customHeight="1">
      <x:c r="A253" s="11" t="str">
        <x:v>T042</x:v>
      </x:c>
      <x:c r="B253" s="11" t="str">
        <x:v>KO</x:v>
      </x:c>
      <x:c r="C253" s="11" t="str">
        <x:v>민족 독립</x:v>
      </x:c>
      <x:c r="D253" s="11" t="str">
        <x:v>CẦN TRA — chưa xác minh mục từ</x:v>
      </x:c>
      <x:c r="E253" s="11" t="str">
        <x:v>* Nghĩa làm việc; cần nguồn định nghĩa</x:v>
      </x:c>
      <x:c r="F253" s="11" t="str">
        <x:v>Chưa có nguồn</x:v>
      </x:c>
      <x:c r="G253" s="11" t="str"/>
      <x:c r="H253" s="11" t="str">
        <x:v>Chưa xác minh nguồn định nghĩa trực tiếp</x:v>
      </x:c>
      <x:c r="I253" s="30" t="str"/>
      <x:c r="J253" s="11" t="str">
        <x:v>Chưa xác minh định nghĩa độc lập của nguyên biểu thức/nghĩa chọn trong ngôn ngữ này. </x:v>
      </x:c>
      <x:c r="K253" s="11" t="str">
        <x:v>2026-10-28</x:v>
      </x:c>
    </x:row>
    <x:row r="254" ht="57" customHeight="1">
      <x:c r="A254" s="11" t="str">
        <x:v>T037</x:v>
      </x:c>
      <x:c r="B254" s="11" t="str">
        <x:v>VI</x:v>
      </x:c>
      <x:c r="C254" s="11" t="str">
        <x:v>độc lập, tự chủ</x:v>
      </x:c>
      <x:c r="D254" s="11" t="str">
        <x:v>CẦN TRA — chưa xác minh mục từ</x:v>
      </x:c>
      <x:c r="E254" s="11" t="str">
        <x:v>* Nghĩa làm việc; cần nguồn định nghĩa</x:v>
      </x:c>
      <x:c r="F254" s="11" t="str">
        <x:v>VI</x:v>
      </x:c>
      <x:c r="G254" s="11" t="str">
        <x:v>S096</x:v>
      </x:c>
      <x:c r="H254" s="11" t="str">
        <x:v>Hiến pháp nước Cộng hòa xã hội chủ nghĩa Việt Nam (2013)</x:v>
      </x:c>
      <x:c r="I254" s="30" t="str">
        <x:v>https://xaydungchinhsach.chinhphu.vn/toan-van-hien-phap-nuoc-cong-hoa-xa-hoi-chu-nghia-viet-nam-119231225213002261.htm</x:v>
      </x:c>
      <x:c r="J254" s="11" t="str">
        <x:v>Chưa xác minh định nghĩa độc lập của nguyên biểu thức/nghĩa chọn trong ngôn ngữ này. Nguồn dẫn trong hồ sơ cũ; không phải xác nhận đã tìm được mục từ giải nghĩa trực tiếp.</x:v>
      </x:c>
      <x:c r="K254" s="11" t="str">
        <x:v>2026-10-28</x:v>
      </x:c>
    </x:row>
    <x:row r="255" ht="57" customHeight="1">
      <x:c r="A255" s="11" t="str">
        <x:v>T037</x:v>
      </x:c>
      <x:c r="B255" s="11" t="str">
        <x:v>KO</x:v>
      </x:c>
      <x:c r="C255" s="11" t="str">
        <x:v>독립, 자주</x:v>
      </x:c>
      <x:c r="D255" s="11" t="str">
        <x:v>CẦN TRA — chưa xác minh mục từ</x:v>
      </x:c>
      <x:c r="E255" s="11" t="str">
        <x:v>* Nghĩa làm việc; cần nguồn định nghĩa</x:v>
      </x:c>
      <x:c r="F255" s="11" t="str">
        <x:v>Chưa có nguồn</x:v>
      </x:c>
      <x:c r="G255" s="11" t="str"/>
      <x:c r="H255" s="11" t="str">
        <x:v>Chưa xác minh nguồn định nghĩa trực tiếp</x:v>
      </x:c>
      <x:c r="I255" s="30" t="str"/>
      <x:c r="J255" s="11" t="str">
        <x:v>Chưa xác minh định nghĩa độc lập của nguyên biểu thức/nghĩa chọn trong ngôn ngữ này. </x:v>
      </x:c>
      <x:c r="K255" s="11" t="str">
        <x:v>2026-10-28</x:v>
      </x:c>
    </x:row>
    <x:row r="256" ht="57" customHeight="1">
      <x:c r="A256" s="11" t="str">
        <x:v>T022</x:v>
      </x:c>
      <x:c r="B256" s="11" t="str">
        <x:v>VI</x:v>
      </x:c>
      <x:c r="C256" s="11" t="str">
        <x:v>đường lối</x:v>
      </x:c>
      <x:c r="D256" s="11" t="str">
        <x:v>CẦN TRA — chưa xác minh mục từ</x:v>
      </x:c>
      <x:c r="E256" s="11" t="str">
        <x:v>* Nghĩa làm việc; cần nguồn định nghĩa</x:v>
      </x:c>
      <x:c r="F256" s="11" t="str">
        <x:v>VI</x:v>
      </x:c>
      <x:c r="G256" s="11" t="str">
        <x:v>S021</x:v>
      </x:c>
      <x:c r="H256" s="11" t="str">
        <x:v>Điều lệ Đảng (do Đại hội đại biểu toàn quốc lần thứ XI của Đảng thông qua)</x:v>
      </x:c>
      <x:c r="I256" s="30" t="str">
        <x:v>https://tulieuvankien.dangcongsan.vn/ban-chap-hanh-trung-uong-dang/dai-hoi-dang/lan-thu-xi/dieu-le-dang-do-dai-hoi-dai-bieu-toan-quoc-lan-thu-xi-cua-dang-thong-qua-1472</x:v>
      </x:c>
      <x:c r="J256" s="11" t="str">
        <x:v>Chưa xác minh định nghĩa độc lập của nguyên biểu thức/nghĩa chọn trong ngôn ngữ này. Đối chiếu trong hồ sơ cũ;</x:v>
      </x:c>
      <x:c r="K256" s="11" t="str">
        <x:v>2026-10-28</x:v>
      </x:c>
    </x:row>
    <x:row r="257" ht="57" customHeight="1">
      <x:c r="A257" s="11" t="str">
        <x:v>T022</x:v>
      </x:c>
      <x:c r="B257" s="11" t="str">
        <x:v>KO</x:v>
      </x:c>
      <x:c r="C257" s="11" t="str">
        <x:v>노선</x:v>
      </x:c>
      <x:c r="D257" s="11" t="str">
        <x:v>CẦN TRA — chưa xác minh mục từ</x:v>
      </x:c>
      <x:c r="E257" s="11" t="str">
        <x:v>* Nghĩa làm việc; cần nguồn định nghĩa</x:v>
      </x:c>
      <x:c r="F257" s="11" t="str">
        <x:v>Chưa có nguồn</x:v>
      </x:c>
      <x:c r="G257" s="11" t="str"/>
      <x:c r="H257" s="11" t="str">
        <x:v>Chưa xác minh nguồn định nghĩa trực tiếp</x:v>
      </x:c>
      <x:c r="I257" s="30" t="str"/>
      <x:c r="J257" s="11" t="str">
        <x:v>Chưa xác minh định nghĩa độc lập của nguyên biểu thức/nghĩa chọn trong ngôn ngữ này. </x:v>
      </x:c>
      <x:c r="K257" s="11" t="str">
        <x:v>2026-10-28</x:v>
      </x:c>
    </x:row>
    <x:row r="258" ht="57" customHeight="1">
      <x:c r="A258" s="11" t="str">
        <x:v>T145</x:v>
      </x:c>
      <x:c r="B258" s="11" t="str">
        <x:v>VI</x:v>
      </x:c>
      <x:c r="C258" s="11" t="str">
        <x:v>đường lối đối ngoại</x:v>
      </x:c>
      <x:c r="D258" s="11" t="str">
        <x:v>CẦN TRA — chưa xác minh mục từ</x:v>
      </x:c>
      <x:c r="E258" s="11" t="str">
        <x:v>* Nghĩa làm việc; cần nguồn định nghĩa</x:v>
      </x:c>
      <x:c r="F258" s="11" t="str">
        <x:v>VI</x:v>
      </x:c>
      <x:c r="G258" s="11" t="str">
        <x:v>S103</x:v>
      </x:c>
      <x:c r="H258" s="11" t="str">
        <x:v>Triển khai quan hệ đối tác chiến lược, đối tác toàn diện của Việt Nam</x:v>
      </x:c>
      <x:c r="I258" s="30" t="str">
        <x:v>https://mofa.gov.vn/tin-chi-tiet/chi-tiet/trien-khai-quan-he-doi-tac-chien-luoc-doi-tac-toan-dien-cua-viet-nam-279.html</x:v>
      </x:c>
      <x:c r="J258" s="11" t="str">
        <x:v>Chưa xác minh định nghĩa độc lập của nguyên biểu thức/nghĩa chọn trong ngôn ngữ này. Nguồn dẫn trong hồ sơ cũ; không phải xác nhận đã tìm được mục từ giải nghĩa trực tiếp.</x:v>
      </x:c>
      <x:c r="K258" s="11" t="str">
        <x:v>2026-10-28</x:v>
      </x:c>
    </x:row>
    <x:row r="259" ht="57" customHeight="1">
      <x:c r="A259" s="11" t="str">
        <x:v>T145</x:v>
      </x:c>
      <x:c r="B259" s="11" t="str">
        <x:v>KO</x:v>
      </x:c>
      <x:c r="C259" s="11" t="str">
        <x:v>대외정책 노선</x:v>
      </x:c>
      <x:c r="D259" s="11" t="str">
        <x:v>CẦN TRA — chưa xác minh mục từ</x:v>
      </x:c>
      <x:c r="E259" s="11" t="str">
        <x:v>* Nghĩa làm việc; cần nguồn định nghĩa</x:v>
      </x:c>
      <x:c r="F259" s="11" t="str">
        <x:v>Chưa có nguồn</x:v>
      </x:c>
      <x:c r="G259" s="11" t="str"/>
      <x:c r="H259" s="11" t="str">
        <x:v>Chưa xác minh nguồn định nghĩa trực tiếp</x:v>
      </x:c>
      <x:c r="I259" s="30" t="str"/>
      <x:c r="J259" s="11" t="str">
        <x:v>Chưa xác minh định nghĩa độc lập của nguyên biểu thức/nghĩa chọn trong ngôn ngữ này. </x:v>
      </x:c>
      <x:c r="K259" s="11" t="str">
        <x:v>2026-10-28</x:v>
      </x:c>
    </x:row>
    <x:row r="260" ht="57" customHeight="1">
      <x:c r="A260" s="11" t="str">
        <x:v>T021</x:v>
      </x:c>
      <x:c r="B260" s="11" t="str">
        <x:v>VI</x:v>
      </x:c>
      <x:c r="C260" s="11" t="str">
        <x:v>hệ thống chính trị</x:v>
      </x:c>
      <x:c r="D260" s="11" t="str">
        <x:v>CẦN TRA — chưa xác minh mục từ</x:v>
      </x:c>
      <x:c r="E260" s="11" t="str">
        <x:v>* Nghĩa làm việc; cần nguồn định nghĩa</x:v>
      </x:c>
      <x:c r="F260" s="11" t="str">
        <x:v>VI</x:v>
      </x:c>
      <x:c r="G260" s="11" t="str">
        <x:v>S100</x:v>
      </x:c>
      <x:c r="H260" s="11" t="str">
        <x:v>Cương lĩnh xây dựng đất nước trong thời kỳ quá độ lên chủ nghĩa xã hội (Bổ sung, phát triển năm 2011)</x:v>
      </x:c>
      <x:c r="I260" s="30" t="str">
        <x:v>https://tulieuvankien.dangcongsan.vn/ban-chap-hanh-trung-uong-dang/dai-hoi-dang/lan-thu-xi/cuong-linh-xay-dung-dat-nuoc-trong-thoi-ky-qua-do-len-chu-nghia-xa-hoi-bo-sung-phat-trien-nam-2011-1528</x:v>
      </x:c>
      <x:c r="J260" s="11" t="str">
        <x:v>Chưa xác minh định nghĩa độc lập của nguyên biểu thức/nghĩa chọn trong ngôn ngữ này. Nguồn dẫn trong hồ sơ cũ; không phải xác nhận đã tìm được mục từ giải nghĩa trực tiếp.</x:v>
      </x:c>
      <x:c r="K260" s="11" t="str">
        <x:v>2026-10-28</x:v>
      </x:c>
    </x:row>
    <x:row r="261" ht="57" customHeight="1">
      <x:c r="A261" s="11" t="str">
        <x:v>T021</x:v>
      </x:c>
      <x:c r="B261" s="11" t="str">
        <x:v>KO</x:v>
      </x:c>
      <x:c r="C261" s="11" t="str">
        <x:v>정치 시스템</x:v>
      </x:c>
      <x:c r="D261" s="11" t="str">
        <x:v>CẦN TRA — chưa xác minh mục từ</x:v>
      </x:c>
      <x:c r="E261" s="11" t="str">
        <x:v>* Nghĩa làm việc; cần nguồn định nghĩa</x:v>
      </x:c>
      <x:c r="F261" s="11" t="str">
        <x:v>Chưa có nguồn</x:v>
      </x:c>
      <x:c r="G261" s="11" t="str"/>
      <x:c r="H261" s="11" t="str">
        <x:v>Chưa xác minh nguồn định nghĩa trực tiếp</x:v>
      </x:c>
      <x:c r="I261" s="30" t="str"/>
      <x:c r="J261" s="11" t="str">
        <x:v>Chưa xác minh định nghĩa độc lập của nguyên biểu thức/nghĩa chọn trong ngôn ngữ này. </x:v>
      </x:c>
      <x:c r="K261" s="11" t="str">
        <x:v>2026-10-28</x:v>
      </x:c>
    </x:row>
    <x:row r="262" ht="57" customHeight="1">
      <x:c r="A262" s="11" t="str">
        <x:v>T062</x:v>
      </x:c>
      <x:c r="B262" s="11" t="str">
        <x:v>VI</x:v>
      </x:c>
      <x:c r="C262" s="11" t="str">
        <x:v>kinh tế thị trường định hướng xã hội chủ nghĩa</x:v>
      </x:c>
      <x:c r="D262" s="11" t="str">
        <x:v>CẦN TRA — chưa xác minh mục từ</x:v>
      </x:c>
      <x:c r="E262" s="11" t="str">
        <x:v>* Mô tả chính thức</x:v>
      </x:c>
      <x:c r="F262" s="11" t="str">
        <x:v>VI</x:v>
      </x:c>
      <x:c r="G262" s="11" t="str">
        <x:v>S100</x:v>
      </x:c>
      <x:c r="H262" s="11" t="str">
        <x:v>Cương lĩnh xây dựng đất nước trong thời kỳ quá độ lên chủ nghĩa xã hội, bổ sung và phát triển năm 2011</x:v>
      </x:c>
      <x:c r="I262" s="30" t="str">
        <x:v>https://tulieuvankien.dangcongsan.vn/ban-chap-hanh-trung-uong-dang/dai-hoi-dang/lan-thu-xi/cuong-linh-xay-dung-dat-nuoc-trong-thoi-ky-qua-do-len-chu-nghia-xa-hoi-bo-sung-phat-trien-nam-2011-1528</x:v>
      </x:c>
      <x:c r="J262" s="11" t="str">
        <x:v>Chưa xác minh định nghĩa độc lập của nguyên biểu thức/nghĩa chọn trong ngôn ngữ này. Nguồn dẫn trong hồ sơ cũ; không phải xác nhận đã tìm được mục từ giải nghĩa trực tiếp.</x:v>
      </x:c>
      <x:c r="K262" s="11" t="str">
        <x:v>2026-10-28</x:v>
      </x:c>
    </x:row>
    <x:row r="263" ht="57" customHeight="1">
      <x:c r="A263" s="11" t="str">
        <x:v>T062</x:v>
      </x:c>
      <x:c r="B263" s="11" t="str">
        <x:v>KO</x:v>
      </x:c>
      <x:c r="C263" s="11" t="str">
        <x:v>사회주의 지향 시장경제</x:v>
      </x:c>
      <x:c r="D263" s="11" t="str">
        <x:v>CẦN TRA — chưa xác minh mục từ</x:v>
      </x:c>
      <x:c r="E263" s="11" t="str">
        <x:v>* Diễn giải mô tả VI</x:v>
      </x:c>
      <x:c r="F263" s="11" t="str">
        <x:v>VI</x:v>
      </x:c>
      <x:c r="G263" s="11" t="str">
        <x:v>S100</x:v>
      </x:c>
      <x:c r="H263" s="11" t="str">
        <x:v>Cương lĩnh xây dựng đất nước trong thời kỳ quá độ lên chủ nghĩa xã hội, bổ sung và phát triển năm 2011</x:v>
      </x:c>
      <x:c r="I263" s="30" t="str">
        <x:v>https://tulieuvankien.dangcongsan.vn/ban-chap-hanh-trung-uong-dang/dai-hoi-dang/lan-thu-xi/cuong-linh-xay-dung-dat-nuoc-trong-thoi-ky-qua-do-len-chu-nghia-xa-hoi-bo-sung-phat-trien-nam-2011-1528</x:v>
      </x:c>
      <x:c r="J263" s="11" t="str">
        <x:v>Chưa xác minh định nghĩa độc lập của nguyên biểu thức/nghĩa chọn trong ngôn ngữ này. Nguồn dẫn trong hồ sơ cũ; không phải xác nhận đã tìm được mục từ giải nghĩa trực tiếp.</x:v>
      </x:c>
      <x:c r="K263" s="11" t="str">
        <x:v>2026-10-28</x:v>
      </x:c>
    </x:row>
    <x:row r="264" ht="57" customHeight="1">
      <x:c r="A264" s="11" t="str">
        <x:v>T062</x:v>
      </x:c>
      <x:c r="B264" s="11" t="str">
        <x:v>Bổ sung</x:v>
      </x:c>
      <x:c r="C264" s="11" t="str">
        <x:v>kinh tế thị trường định hướng xã hội chủ nghĩa / 사회주의 지향 시장경제</x:v>
      </x:c>
      <x:c r="D264" s="11" t="str">
        <x:v>Xem dòng VI/KO</x:v>
      </x:c>
      <x:c r="E264" s="11" t="str">
        <x:v>Mục từ từ điển</x:v>
      </x:c>
      <x:c r="F264" s="11" t="str">
        <x:v>KO</x:v>
      </x:c>
      <x:c r="G264" s="11" t="str">
        <x:v>S104</x:v>
      </x:c>
      <x:c r="H264" s="11" t="str">
        <x:v>국립국어원 온용어/우리말샘 — 사회주의 시장 경제 (mục gần nghĩa, không phải toàn biểu thức T062)</x:v>
      </x:c>
      <x:c r="I264" s="30" t="str">
        <x:v>https://kli.korean.go.kr/term/trgtWord/indexTrgtWord.do?trgtWordNo=2241566</x:v>
      </x:c>
      <x:c r="J264" s="11" t="str">
        <x:v>Mục này chỉ mô hình kinh tế thị trường xã hội chủ nghĩa được Trung Quốc chủ trương; thiếu 지향 và không xác nhận mục từ tương ứng đầy đủ của mô hình Việt Nam.</x:v>
      </x:c>
      <x:c r="K264" s="11" t="str">
        <x:v>2026-10-28</x:v>
      </x:c>
    </x:row>
    <x:row r="265" ht="57" customHeight="1">
      <x:c r="A265" s="11" t="str">
        <x:v>T142</x:v>
      </x:c>
      <x:c r="B265" s="11" t="str">
        <x:v>VI</x:v>
      </x:c>
      <x:c r="C265" s="11" t="str">
        <x:v>luật pháp quốc tế</x:v>
      </x:c>
      <x:c r="D265" s="11" t="str">
        <x:v>CẦN TRA — chưa xác minh mục từ</x:v>
      </x:c>
      <x:c r="E265" s="11" t="str">
        <x:v>Diễn giải từ định nghĩa EN; cần nguồn VI</x:v>
      </x:c>
      <x:c r="F265" s="11" t="str">
        <x:v>EN</x:v>
      </x:c>
      <x:c r="G265" s="11" t="str">
        <x:v>S105</x:v>
      </x:c>
      <x:c r="H265" s="11" t="str">
        <x:v>United Nations — Uphold International Law</x:v>
      </x:c>
      <x:c r="I265" s="30" t="str">
        <x:v>https://www.un.org/en/our-work/uphold-international-law</x:v>
      </x:c>
      <x:c r="J265" s="11" t="str">
        <x:v>Chưa xác minh định nghĩa độc lập của nguyên biểu thức/nghĩa chọn trong ngôn ngữ này. Nguồn dẫn trong hồ sơ cũ; không phải xác nhận đã tìm được mục từ giải nghĩa trực tiếp.</x:v>
      </x:c>
      <x:c r="K265" s="11" t="str">
        <x:v>2026-10-28</x:v>
      </x:c>
    </x:row>
    <x:row r="266" ht="57" customHeight="1">
      <x:c r="A266" s="11" t="str">
        <x:v>T142</x:v>
      </x:c>
      <x:c r="B266" s="11" t="str">
        <x:v>KO</x:v>
      </x:c>
      <x:c r="C266" s="11" t="str">
        <x:v>국제법</x:v>
      </x:c>
      <x:c r="D266" s="11" t="str">
        <x:v>Có mục từ và đã đọc nghĩa</x:v>
      </x:c>
      <x:c r="E266" s="11" t="str">
        <x:v>Mục từ có nghĩa [KO]</x:v>
      </x:c>
      <x:c r="F266" s="11" t="str">
        <x:v>KO</x:v>
      </x:c>
      <x:c r="G266" s="11" t="str">
        <x:v>S107</x:v>
      </x:c>
      <x:c r="H266" s="11" t="str">
        <x:v>한국학중앙연구원 한국민족문화대백과사전 — 국제법; 박재섭</x:v>
      </x:c>
      <x:c r="I266" s="30" t="str">
        <x:v>https://encykorea.aks.ac.kr/Article/E0006459</x:v>
      </x:c>
      <x:c r="J266" s="11" t="str">
        <x:v>Đã đọc nguồn giải nghĩa bằng ngôn ngữ này; vẫn đối chiếu nghĩa chọn và ghi chú.</x:v>
      </x:c>
      <x:c r="K266" s="11" t="str">
        <x:v>2026-10-28</x:v>
      </x:c>
    </x:row>
    <x:row r="267" ht="57" customHeight="1">
      <x:c r="A267" s="11" t="str">
        <x:v>T142</x:v>
      </x:c>
      <x:c r="B267" s="11" t="str">
        <x:v>Bổ sung</x:v>
      </x:c>
      <x:c r="C267" s="11" t="str">
        <x:v>luật pháp quốc tế / 국제법</x:v>
      </x:c>
      <x:c r="D267" s="11" t="str">
        <x:v>Xem dòng VI/KO</x:v>
      </x:c>
      <x:c r="E267" s="11" t="str">
        <x:v>Căn cứ nghĩa làm việc</x:v>
      </x:c>
      <x:c r="F267" s="11" t="str">
        <x:v>VI</x:v>
      </x:c>
      <x:c r="G267" s="11" t="str">
        <x:v>S106</x:v>
      </x:c>
      <x:c r="H267" s="11" t="str">
        <x:v>Tuyên bố chung Việt Nam – Hàn Quốc về quan hệ đối tác chiến lược toàn diện</x:v>
      </x:c>
      <x:c r="I267" s="30" t="str">
        <x:v>https://vpctn.gov.vn/tin-tuc-su-kien/hoat-dong-cua-chu-tich-nuoc/tuyen-bo-chung-viet-nam-han-quoc-ve-quan-he-doi-tac-chien-luoc-toan-dien.html</x:v>
      </x:c>
      <x:c r="J267" s="11" t="str">
        <x:v>Nguồn dẫn trong hồ sơ cũ; không phải xác nhận đã tìm được mục từ giải nghĩa trực tiếp.</x:v>
      </x:c>
      <x:c r="K267" s="11" t="str">
        <x:v>2026-10-28</x:v>
      </x:c>
    </x:row>
    <x:row r="268" ht="57" customHeight="1">
      <x:c r="A268" s="11" t="str">
        <x:v>M030</x:v>
      </x:c>
      <x:c r="B268" s="11" t="str">
        <x:v>VI</x:v>
      </x:c>
      <x:c r="C268" s="11" t="str">
        <x:v>miễn thị thực</x:v>
      </x:c>
      <x:c r="D268" s="11" t="str">
        <x:v>CẦN TRA — chưa xác minh mục từ</x:v>
      </x:c>
      <x:c r="E268" s="11" t="str">
        <x:v>* Nghĩa làm việc; cần nguồn định nghĩa</x:v>
      </x:c>
      <x:c r="F268" s="11" t="str">
        <x:v>VI</x:v>
      </x:c>
      <x:c r="G268" s="11" t="str">
        <x:v>S108</x:v>
      </x:c>
      <x:c r="H268" s="11" t="str">
        <x:v>Danh mục miễn thị thực của Việt Nam với các nước</x:v>
      </x:c>
      <x:c r="I268" s="30" t="str">
        <x:v>https://web.mofa.gov.vn/web/guest/tin-chi-tiet/chi-tiet/danh-muc-mien-thi-thuc-cua-viet-nam-voi-cac-nuoc-57162-172.html</x:v>
      </x:c>
      <x:c r="J268" s="11" t="str">
        <x:v>Chưa xác minh định nghĩa độc lập của nguyên biểu thức/nghĩa chọn trong ngôn ngữ này. Nguồn dẫn trong hồ sơ cũ; không phải xác nhận đã tìm được mục từ giải nghĩa trực tiếp.</x:v>
      </x:c>
      <x:c r="K268" s="11" t="str">
        <x:v>2026-10-28</x:v>
      </x:c>
    </x:row>
    <x:row r="269" ht="57" customHeight="1">
      <x:c r="A269" s="11" t="str">
        <x:v>M030</x:v>
      </x:c>
      <x:c r="B269" s="11" t="str">
        <x:v>KO</x:v>
      </x:c>
      <x:c r="C269" s="11" t="str">
        <x:v>비자 면제</x:v>
      </x:c>
      <x:c r="D269" s="11" t="str">
        <x:v>CẦN TRA — chưa xác minh mục từ</x:v>
      </x:c>
      <x:c r="E269" s="11" t="str">
        <x:v>* Nghĩa làm việc; cần nguồn định nghĩa</x:v>
      </x:c>
      <x:c r="F269" s="11" t="str">
        <x:v>Chưa có nguồn</x:v>
      </x:c>
      <x:c r="G269" s="11" t="str"/>
      <x:c r="H269" s="11" t="str">
        <x:v>Chưa xác minh nguồn định nghĩa trực tiếp</x:v>
      </x:c>
      <x:c r="I269" s="30" t="str"/>
      <x:c r="J269" s="11" t="str">
        <x:v>Chưa xác minh định nghĩa độc lập của nguyên biểu thức/nghĩa chọn trong ngôn ngữ này. </x:v>
      </x:c>
      <x:c r="K269" s="11" t="str">
        <x:v>2026-10-28</x:v>
      </x:c>
    </x:row>
    <x:row r="270" ht="57" customHeight="1">
      <x:c r="A270" s="11" t="str">
        <x:v>CGI005</x:v>
      </x:c>
      <x:c r="B270" s="11" t="str">
        <x:v>VI</x:v>
      </x:c>
      <x:c r="C270" s="11" t="str">
        <x:v>mô hình lãnh đạo tập thể</x:v>
      </x:c>
      <x:c r="D270" s="11" t="str">
        <x:v>CẦN TRA — chưa xác minh mục từ</x:v>
      </x:c>
      <x:c r="E270" s="11" t="str">
        <x:v>* Nghĩa làm việc; cần nguồn định nghĩa</x:v>
      </x:c>
      <x:c r="F270" s="11" t="str">
        <x:v>VI</x:v>
      </x:c>
      <x:c r="G270" s="11" t="str"/>
      <x:c r="H270" s="11" t="str">
        <x:v>Hồ sơ định nghĩa làm việc đã có</x:v>
      </x:c>
      <x:c r="I270" s="30" t="str"/>
      <x:c r="J270" s="11" t="str">
        <x:v>Chưa xác minh định nghĩa độc lập của nguyên biểu thức/nghĩa chọn trong ngôn ngữ này. </x:v>
      </x:c>
      <x:c r="K270" s="11" t="str">
        <x:v>2026-10-28</x:v>
      </x:c>
    </x:row>
    <x:row r="271" ht="57" customHeight="1">
      <x:c r="A271" s="11" t="str">
        <x:v>CGI005</x:v>
      </x:c>
      <x:c r="B271" s="11" t="str">
        <x:v>KO</x:v>
      </x:c>
      <x:c r="C271" s="11" t="str">
        <x:v>집단 지도체제</x:v>
      </x:c>
      <x:c r="D271" s="11" t="str">
        <x:v>CẦN TRA — chưa xác minh mục từ</x:v>
      </x:c>
      <x:c r="E271" s="11" t="str">
        <x:v>* Nghĩa làm việc; cần nguồn định nghĩa</x:v>
      </x:c>
      <x:c r="F271" s="11" t="str">
        <x:v>Chưa có nguồn</x:v>
      </x:c>
      <x:c r="G271" s="11" t="str"/>
      <x:c r="H271" s="11" t="str">
        <x:v>Chưa xác minh nguồn định nghĩa trực tiếp</x:v>
      </x:c>
      <x:c r="I271" s="30" t="str"/>
      <x:c r="J271" s="11" t="str">
        <x:v>Chưa xác minh định nghĩa độc lập của nguyên biểu thức/nghĩa chọn trong ngôn ngữ này. </x:v>
      </x:c>
      <x:c r="K271" s="11" t="str">
        <x:v>2026-10-28</x:v>
      </x:c>
    </x:row>
    <x:row r="272" ht="57" customHeight="1">
      <x:c r="A272" s="11" t="str">
        <x:v>T048</x:v>
      </x:c>
      <x:c r="B272" s="11" t="str">
        <x:v>VI</x:v>
      </x:c>
      <x:c r="C272" s="11" t="str">
        <x:v>Nhà nước pháp quyền</x:v>
      </x:c>
      <x:c r="D272" s="11" t="str">
        <x:v>CẦN TRA — chưa xác minh mục từ</x:v>
      </x:c>
      <x:c r="E272" s="11" t="str">
        <x:v>* Nghĩa làm việc; cần nguồn định nghĩa</x:v>
      </x:c>
      <x:c r="F272" s="11" t="str">
        <x:v>VI</x:v>
      </x:c>
      <x:c r="G272" s="11" t="str">
        <x:v>S096</x:v>
      </x:c>
      <x:c r="H272" s="11" t="str">
        <x:v>Hiến pháp nước Cộng hòa xã hội chủ nghĩa Việt Nam (2013)</x:v>
      </x:c>
      <x:c r="I272" s="30" t="str">
        <x:v>https://xaydungchinhsach.chinhphu.vn/toan-van-hien-phap-nuoc-cong-hoa-xa-hoi-chu-nghia-viet-nam-119231225213002261.htm</x:v>
      </x:c>
      <x:c r="J272" s="11" t="str">
        <x:v>Chưa xác minh định nghĩa độc lập của nguyên biểu thức/nghĩa chọn trong ngôn ngữ này. Nguồn dẫn trong hồ sơ cũ; không phải xác nhận đã tìm được mục từ giải nghĩa trực tiếp.</x:v>
      </x:c>
      <x:c r="K272" s="11" t="str">
        <x:v>2026-10-28</x:v>
      </x:c>
    </x:row>
    <x:row r="273" ht="57" customHeight="1">
      <x:c r="A273" s="11" t="str">
        <x:v>T048</x:v>
      </x:c>
      <x:c r="B273" s="11" t="str">
        <x:v>KO</x:v>
      </x:c>
      <x:c r="C273" s="11" t="str">
        <x:v>법치국가</x:v>
      </x:c>
      <x:c r="D273" s="11" t="str">
        <x:v>Có mục từ và đã đọc nghĩa</x:v>
      </x:c>
      <x:c r="E273" s="11" t="str">
        <x:v>Mục từ có nghĩa [KO]</x:v>
      </x:c>
      <x:c r="F273" s="11" t="str">
        <x:v>KO</x:v>
      </x:c>
      <x:c r="G273" s="11" t="str">
        <x:v>S109</x:v>
      </x:c>
      <x:c r="H273" s="11" t="str">
        <x:v>국립국어원 온용어/우리말샘 — 법치 국가</x:v>
      </x:c>
      <x:c r="I273" s="30" t="str">
        <x:v>https://kli.korean.go.kr/term/trgtWord/indexTrgtWord.do?trgtWordNo=2199596</x:v>
      </x:c>
      <x:c r="J273" s="11" t="str">
        <x:v>Đã đọc nguồn giải nghĩa bằng ngôn ngữ này; vẫn đối chiếu nghĩa chọn và ghi chú.</x:v>
      </x:c>
      <x:c r="K273" s="11" t="str">
        <x:v>2026-10-28</x:v>
      </x:c>
    </x:row>
    <x:row r="274" ht="57" customHeight="1">
      <x:c r="A274" s="11" t="str">
        <x:v>M050</x:v>
      </x:c>
      <x:c r="B274" s="11" t="str">
        <x:v>VI</x:v>
      </x:c>
      <x:c r="C274" s="11" t="str">
        <x:v>nhiệm kỳ</x:v>
      </x:c>
      <x:c r="D274" s="11" t="str">
        <x:v>CẦN TRA — chưa xác minh mục từ</x:v>
      </x:c>
      <x:c r="E274" s="11" t="str">
        <x:v>* Nghĩa làm việc; cần nguồn định nghĩa</x:v>
      </x:c>
      <x:c r="F274" s="11" t="str">
        <x:v>VI</x:v>
      </x:c>
      <x:c r="G274" s="11" t="str"/>
      <x:c r="H274" s="11" t="str">
        <x:v>Hồ sơ định nghĩa làm việc đã có</x:v>
      </x:c>
      <x:c r="I274" s="30" t="str"/>
      <x:c r="J274" s="11" t="str">
        <x:v>Chưa xác minh định nghĩa độc lập của nguyên biểu thức/nghĩa chọn trong ngôn ngữ này. </x:v>
      </x:c>
      <x:c r="K274" s="11" t="str">
        <x:v>2026-10-28</x:v>
      </x:c>
    </x:row>
    <x:row r="275" ht="57" customHeight="1">
      <x:c r="A275" s="11" t="str">
        <x:v>M050</x:v>
      </x:c>
      <x:c r="B275" s="11" t="str">
        <x:v>KO</x:v>
      </x:c>
      <x:c r="C275" s="11" t="str">
        <x:v>임기</x:v>
      </x:c>
      <x:c r="D275" s="11" t="str">
        <x:v>Có mục từ và đã đọc nghĩa</x:v>
      </x:c>
      <x:c r="E275" s="11" t="str">
        <x:v>Mục từ có nghĩa [KO]</x:v>
      </x:c>
      <x:c r="F275" s="11" t="str">
        <x:v>KO</x:v>
      </x:c>
      <x:c r="G275" s="11" t="str">
        <x:v>S110</x:v>
      </x:c>
      <x:c r="H275" s="11" t="str">
        <x:v>국립국어원 한국어기초사전 — 임기</x:v>
      </x:c>
      <x:c r="I275" s="30" t="str">
        <x:v>https://krdict.korean.go.kr/jpn/dicSearch/SearchView?ParaWordNo=73107&amp;blockCount=10&amp;currentPage=1&amp;exaType=&amp;mainSearchWord=%EB%81%9D%EB%82%98%EB%8B%A4&amp;nation=jpn&amp;nationCode=7&amp;proverbType=&amp;searchType=E&amp;sort=W&amp;viewType=A&amp;wordMatchFlag=N</x:v>
      </x:c>
      <x:c r="J275" s="11" t="str">
        <x:v>Đã đọc nguồn giải nghĩa bằng ngôn ngữ này; vẫn đối chiếu nghĩa chọn và ghi chú.</x:v>
      </x:c>
      <x:c r="K275" s="11" t="str">
        <x:v>2026-10-28</x:v>
      </x:c>
    </x:row>
    <x:row r="276" ht="57" customHeight="1">
      <x:c r="A276" s="11" t="str">
        <x:v>T006</x:v>
      </x:c>
      <x:c r="B276" s="11" t="str">
        <x:v>VI</x:v>
      </x:c>
      <x:c r="C276" s="11" t="str">
        <x:v>quyền con người</x:v>
      </x:c>
      <x:c r="D276" s="11" t="str">
        <x:v>CẦN TRA — chưa xác minh mục từ</x:v>
      </x:c>
      <x:c r="E276" s="11" t="str">
        <x:v>Diễn giải từ định nghĩa EN; cần nguồn VI</x:v>
      </x:c>
      <x:c r="F276" s="11" t="str">
        <x:v>EN</x:v>
      </x:c>
      <x:c r="G276" s="11" t="str">
        <x:v>S111</x:v>
      </x:c>
      <x:c r="H276" s="11" t="str">
        <x:v>OHCHR — What are human rights?</x:v>
      </x:c>
      <x:c r="I276" s="30" t="str">
        <x:v>https://europe.ohchr.org/human-rights/what-are-human-rights</x:v>
      </x:c>
      <x:c r="J276" s="11" t="str">
        <x:v>Chưa xác minh định nghĩa độc lập của nguyên biểu thức/nghĩa chọn trong ngôn ngữ này. Quyền vốn có vì là con người, không do nhà nước ban cấp.</x:v>
      </x:c>
      <x:c r="K276" s="11" t="str">
        <x:v>2026-10-28</x:v>
      </x:c>
    </x:row>
    <x:row r="277" ht="57" customHeight="1">
      <x:c r="A277" s="11" t="str">
        <x:v>T006</x:v>
      </x:c>
      <x:c r="B277" s="11" t="str">
        <x:v>KO</x:v>
      </x:c>
      <x:c r="C277" s="11" t="str">
        <x:v>인권</x:v>
      </x:c>
      <x:c r="D277" s="11" t="str">
        <x:v>Có mục từ và đã đọc nghĩa</x:v>
      </x:c>
      <x:c r="E277" s="11" t="str">
        <x:v>Mục từ có nghĩa [KO]</x:v>
      </x:c>
      <x:c r="F277" s="11" t="str">
        <x:v>KO</x:v>
      </x:c>
      <x:c r="G277" s="11" t="str">
        <x:v>S112</x:v>
      </x:c>
      <x:c r="H277" s="11" t="str">
        <x:v>한국학중앙연구원 한국민족문화대백과사전 — 인권; 한상범</x:v>
      </x:c>
      <x:c r="I277" s="30" t="str">
        <x:v>https://encykorea.aks.ac.kr/Article/E0046847</x:v>
      </x:c>
      <x:c r="J277" s="11" t="str">
        <x:v>Đã đọc nguồn giải nghĩa bằng ngôn ngữ này; vẫn đối chiếu nghĩa chọn và ghi chú.</x:v>
      </x:c>
      <x:c r="K277" s="11" t="str">
        <x:v>2026-10-28</x:v>
      </x:c>
    </x:row>
    <x:row r="278" ht="57" customHeight="1">
      <x:c r="A278" s="11" t="str">
        <x:v>T006</x:v>
      </x:c>
      <x:c r="B278" s="11" t="str">
        <x:v>Bổ sung</x:v>
      </x:c>
      <x:c r="C278" s="11" t="str">
        <x:v>quyền con người / 인권</x:v>
      </x:c>
      <x:c r="D278" s="11" t="str">
        <x:v>Xem dòng VI/KO</x:v>
      </x:c>
      <x:c r="E278" s="11" t="str">
        <x:v>Căn cứ nghĩa làm việc</x:v>
      </x:c>
      <x:c r="F278" s="11" t="str">
        <x:v>VI</x:v>
      </x:c>
      <x:c r="G278" s="11" t="str">
        <x:v>S096</x:v>
      </x:c>
      <x:c r="H278" s="11" t="str">
        <x:v>Hiến pháp nước Cộng hòa xã hội chủ nghĩa Việt Nam (2013)</x:v>
      </x:c>
      <x:c r="I278" s="30" t="str">
        <x:v>https://xaydungchinhsach.chinhphu.vn/toan-van-hien-phap-nuoc-cong-hoa-xa-hoi-chu-nghia-viet-nam-119231225213002261.htm</x:v>
      </x:c>
      <x:c r="J278" s="11" t="str">
        <x:v>Nguồn dẫn trong hồ sơ cũ; không phải xác nhận đã tìm được mục từ giải nghĩa trực tiếp.</x:v>
      </x:c>
      <x:c r="K278" s="11" t="str">
        <x:v>2026-10-28</x:v>
      </x:c>
    </x:row>
    <x:row r="279" ht="57" customHeight="1">
      <x:c r="A279" s="11" t="str">
        <x:v>T008</x:v>
      </x:c>
      <x:c r="B279" s="11" t="str">
        <x:v>VI</x:v>
      </x:c>
      <x:c r="C279" s="11" t="str">
        <x:v>quyền công dân</x:v>
      </x:c>
      <x:c r="D279" s="11" t="str">
        <x:v>CẦN TRA — chưa xác minh mục từ</x:v>
      </x:c>
      <x:c r="E279" s="11" t="str">
        <x:v>* Nghĩa làm việc; cần nguồn định nghĩa</x:v>
      </x:c>
      <x:c r="F279" s="11" t="str">
        <x:v>VI</x:v>
      </x:c>
      <x:c r="G279" s="11" t="str">
        <x:v>S096</x:v>
      </x:c>
      <x:c r="H279" s="11" t="str">
        <x:v>Hiến pháp nước Cộng hòa xã hội chủ nghĩa Việt Nam (2013)</x:v>
      </x:c>
      <x:c r="I279" s="30" t="str">
        <x:v>https://xaydungchinhsach.chinhphu.vn/toan-van-hien-phap-nuoc-cong-hoa-xa-hoi-chu-nghia-viet-nam-119231225213002261.htm</x:v>
      </x:c>
      <x:c r="J279" s="11" t="str">
        <x:v>Chưa xác minh định nghĩa độc lập của nguyên biểu thức/nghĩa chọn trong ngôn ngữ này. Nguồn dẫn trong hồ sơ cũ; không phải xác nhận đã tìm được mục từ giải nghĩa trực tiếp.</x:v>
      </x:c>
      <x:c r="K279" s="11" t="str">
        <x:v>2026-10-28</x:v>
      </x:c>
    </x:row>
    <x:row r="280" ht="57" customHeight="1">
      <x:c r="A280" s="11" t="str">
        <x:v>T008</x:v>
      </x:c>
      <x:c r="B280" s="11" t="str">
        <x:v>KO</x:v>
      </x:c>
      <x:c r="C280" s="11" t="str">
        <x:v>시민권</x:v>
      </x:c>
      <x:c r="D280" s="11" t="str">
        <x:v>Có mục từ và đã đọc nghĩa</x:v>
      </x:c>
      <x:c r="E280" s="11" t="str">
        <x:v>Mục từ có nghĩa [KO]</x:v>
      </x:c>
      <x:c r="F280" s="11" t="str">
        <x:v>KO</x:v>
      </x:c>
      <x:c r="G280" s="11" t="str">
        <x:v>S113</x:v>
      </x:c>
      <x:c r="H280" s="11" t="str">
        <x:v>국립국어원 우리말샘 — 시민권, bản cung cấp trên 디지털집현전</x:v>
      </x:c>
      <x:c r="I280" s="30" t="str">
        <x:v>https://k-knowledge.kr/srch/read.jsp?id=268494654</x:v>
      </x:c>
      <x:c r="J280" s="11" t="str">
        <x:v>Đã đọc nguồn giải nghĩa bằng ngôn ngữ này; vẫn đối chiếu nghĩa chọn và ghi chú.</x:v>
      </x:c>
      <x:c r="K280" s="11" t="str">
        <x:v>2026-10-28</x:v>
      </x:c>
    </x:row>
    <x:row r="281" ht="57" customHeight="1">
      <x:c r="A281" s="11" t="str">
        <x:v>T013</x:v>
      </x:c>
      <x:c r="B281" s="11" t="str">
        <x:v>VI</x:v>
      </x:c>
      <x:c r="C281" s="11" t="str">
        <x:v>quyền tự quyết</x:v>
      </x:c>
      <x:c r="D281" s="11" t="str">
        <x:v>CẦN TRA — chưa xác minh mục từ</x:v>
      </x:c>
      <x:c r="E281" s="11" t="str">
        <x:v>Diễn giải từ định nghĩa EN; cần nguồn VI</x:v>
      </x:c>
      <x:c r="F281" s="11" t="str">
        <x:v>EN</x:v>
      </x:c>
      <x:c r="G281" s="11" t="str">
        <x:v>S115</x:v>
      </x:c>
      <x:c r="H281" s="11" t="str">
        <x:v>OHCHR — General comment No. 12, Article 1, Right to self-determination</x:v>
      </x:c>
      <x:c r="I281" s="30" t="str">
        <x:v>https://docstore.ohchr.org/SelfServices/FilesHandler.ashx?enc=tOTVOeXHk1b9yDrmrRrzfmbNCmBxacm8huBKi%2BJWxC5nzHkO3n%2FPLnbknFmXqfWIXu4b1xnLkC5Y21Uq%2F2vhgVQfDmpq8hAySMWRJclrPik%3D</x:v>
      </x:c>
      <x:c r="J281" s="11" t="str">
        <x:v>Chưa xác minh định nghĩa độc lập của nguyên biểu thức/nghĩa chọn trong ngôn ngữ này. Quyền của các dân tộc xác định địa vị chính trị và theo đuổi phát triển kinh tế, xã hội, văn hóa.</x:v>
      </x:c>
      <x:c r="K281" s="11" t="str">
        <x:v>2026-10-28</x:v>
      </x:c>
    </x:row>
    <x:row r="282" ht="57" customHeight="1">
      <x:c r="A282" s="11" t="str">
        <x:v>T013</x:v>
      </x:c>
      <x:c r="B282" s="11" t="str">
        <x:v>KO</x:v>
      </x:c>
      <x:c r="C282" s="11" t="str">
        <x:v>자결권</x:v>
      </x:c>
      <x:c r="D282" s="11" t="str">
        <x:v>CẦN TRA — chưa xác minh mục từ</x:v>
      </x:c>
      <x:c r="E282" s="11" t="str">
        <x:v>Diễn giải từ định nghĩa EN; cần nguồn KO</x:v>
      </x:c>
      <x:c r="F282" s="11" t="str">
        <x:v>EN</x:v>
      </x:c>
      <x:c r="G282" s="11" t="str">
        <x:v>S115</x:v>
      </x:c>
      <x:c r="H282" s="11" t="str">
        <x:v>OHCHR — General comment No. 12, Article 1, Right to self-determination</x:v>
      </x:c>
      <x:c r="I282" s="30" t="str">
        <x:v>https://docstore.ohchr.org/SelfServices/FilesHandler.ashx?enc=tOTVOeXHk1b9yDrmrRrzfmbNCmBxacm8huBKi%2BJWxC5nzHkO3n%2FPLnbknFmXqfWIXu4b1xnLkC5Y21Uq%2F2vhgVQfDmpq8hAySMWRJclrPik%3D</x:v>
      </x:c>
      <x:c r="J282" s="11" t="str">
        <x:v>Chưa xác minh định nghĩa độc lập của nguyên biểu thức/nghĩa chọn trong ngôn ngữ này. Quyền của các dân tộc xác định địa vị chính trị và theo đuổi phát triển kinh tế, xã hội, văn hóa.</x:v>
      </x:c>
      <x:c r="K282" s="11" t="str">
        <x:v>2026-10-28</x:v>
      </x:c>
    </x:row>
    <x:row r="283" ht="57" customHeight="1">
      <x:c r="A283" s="11" t="str">
        <x:v>T013</x:v>
      </x:c>
      <x:c r="B283" s="11" t="str">
        <x:v>Bổ sung</x:v>
      </x:c>
      <x:c r="C283" s="11" t="str">
        <x:v>quyền tự quyết / 자결권</x:v>
      </x:c>
      <x:c r="D283" s="11" t="str">
        <x:v>Xem dòng VI/KO</x:v>
      </x:c>
      <x:c r="E283" s="11" t="str">
        <x:v>Căn cứ nghĩa làm việc</x:v>
      </x:c>
      <x:c r="F283" s="11" t="str">
        <x:v>VI</x:v>
      </x:c>
      <x:c r="G283" s="11" t="str">
        <x:v>S114</x:v>
      </x:c>
      <x:c r="H283" s="11" t="str">
        <x:v>Tìm hiểu một số quy định chung của Công ước ICCPR năm 1966</x:v>
      </x:c>
      <x:c r="I283" s="30" t="str">
        <x:v>https://moj.gov.vn/portal/tin-tuc/chi-tiet/tim-hieu-mot-so-quy-inh-chung-cua-cong-uoc-iccpr-nam-1966-tcthru04e1.html</x:v>
      </x:c>
      <x:c r="J283" s="11" t="str">
        <x:v>Nguồn dẫn trong hồ sơ cũ; không phải xác nhận đã tìm được mục từ giải nghĩa trực tiếp.</x:v>
      </x:c>
      <x:c r="K283" s="11" t="str">
        <x:v>2026-10-28</x:v>
      </x:c>
    </x:row>
    <x:row r="284" ht="57" customHeight="1">
      <x:c r="A284" s="11" t="str">
        <x:v>T056</x:v>
      </x:c>
      <x:c r="B284" s="11" t="str">
        <x:v>VI</x:v>
      </x:c>
      <x:c r="C284" s="11" t="str">
        <x:v>toàn vẹn lãnh thổ</x:v>
      </x:c>
      <x:c r="D284" s="11" t="str">
        <x:v>CẦN TRA — chưa xác minh mục từ</x:v>
      </x:c>
      <x:c r="E284" s="11" t="str">
        <x:v>* Nghĩa làm việc; cần nguồn định nghĩa</x:v>
      </x:c>
      <x:c r="F284" s="11" t="str">
        <x:v>VI</x:v>
      </x:c>
      <x:c r="G284" s="11" t="str">
        <x:v>S096</x:v>
      </x:c>
      <x:c r="H284" s="11" t="str">
        <x:v>Hiến pháp nước Cộng hòa xã hội chủ nghĩa Việt Nam (2013)</x:v>
      </x:c>
      <x:c r="I284" s="30" t="str">
        <x:v>https://xaydungchinhsach.chinhphu.vn/toan-van-hien-phap-nuoc-cong-hoa-xa-hoi-chu-nghia-viet-nam-119231225213002261.htm</x:v>
      </x:c>
      <x:c r="J284" s="11" t="str">
        <x:v>Chưa xác minh định nghĩa độc lập của nguyên biểu thức/nghĩa chọn trong ngôn ngữ này. Nguồn dẫn trong hồ sơ cũ; không phải xác nhận đã tìm được mục từ giải nghĩa trực tiếp.</x:v>
      </x:c>
      <x:c r="K284" s="11" t="str">
        <x:v>2026-10-28</x:v>
      </x:c>
    </x:row>
    <x:row r="285" ht="57" customHeight="1">
      <x:c r="A285" s="11" t="str">
        <x:v>T056</x:v>
      </x:c>
      <x:c r="B285" s="11" t="str">
        <x:v>KO</x:v>
      </x:c>
      <x:c r="C285" s="11" t="str">
        <x:v>영토 보전</x:v>
      </x:c>
      <x:c r="D285" s="11" t="str">
        <x:v>CẦN TRA — chưa xác minh mục từ</x:v>
      </x:c>
      <x:c r="E285" s="11" t="str">
        <x:v>* Nghĩa làm việc; cần nguồn định nghĩa</x:v>
      </x:c>
      <x:c r="F285" s="11" t="str">
        <x:v>Chưa có nguồn</x:v>
      </x:c>
      <x:c r="G285" s="11" t="str"/>
      <x:c r="H285" s="11" t="str">
        <x:v>Chưa xác minh nguồn định nghĩa trực tiếp</x:v>
      </x:c>
      <x:c r="I285" s="30" t="str"/>
      <x:c r="J285" s="11" t="str">
        <x:v>Chưa xác minh định nghĩa độc lập của nguyên biểu thức/nghĩa chọn trong ngôn ngữ này. </x:v>
      </x:c>
      <x:c r="K285" s="11" t="str">
        <x:v>2026-10-28</x:v>
      </x:c>
    </x:row>
    <x:row r="286" ht="57" customHeight="1">
      <x:c r="A286" s="11" t="str">
        <x:v>T147</x:v>
      </x:c>
      <x:c r="B286" s="11" t="str">
        <x:v>VI</x:v>
      </x:c>
      <x:c r="C286" s="11" t="str">
        <x:v>tự chủ chiến lược</x:v>
      </x:c>
      <x:c r="D286" s="11" t="str">
        <x:v>CẦN TRA — chưa xác minh mục từ</x:v>
      </x:c>
      <x:c r="E286" s="11" t="str">
        <x:v>Diễn giải từ định nghĩa EN; cần nguồn VI</x:v>
      </x:c>
      <x:c r="F286" s="11" t="str">
        <x:v>EN</x:v>
      </x:c>
      <x:c r="G286" s="11" t="str">
        <x:v>S117</x:v>
      </x:c>
      <x:c r="H286" s="11" t="str">
        <x:v>EEAS — Why European strategic autonomy matters</x:v>
      </x:c>
      <x:c r="I286" s="30" t="str">
        <x:v>https://www.eeas.europa.eu/eeas/why-european-strategic-autonomy-matters_en</x:v>
      </x:c>
      <x:c r="J286" s="11" t="str">
        <x:v>Chưa xác minh định nghĩa độc lập của nguyên biểu thức/nghĩa chọn trong ngôn ngữ này. Giải thích strategic autonomy theo năng lực hành động tự chủ; nguồn nhấn mạnh phạm vi/cách hiểu khác nhau theo lĩnh vực.</x:v>
      </x:c>
      <x:c r="K286" s="11" t="str">
        <x:v>2026-10-28</x:v>
      </x:c>
    </x:row>
    <x:row r="287" ht="57" customHeight="1">
      <x:c r="A287" s="11" t="str">
        <x:v>T147</x:v>
      </x:c>
      <x:c r="B287" s="11" t="str">
        <x:v>KO</x:v>
      </x:c>
      <x:c r="C287" s="11" t="str">
        <x:v>전략적 자율성</x:v>
      </x:c>
      <x:c r="D287" s="11" t="str">
        <x:v>CẦN TRA — chưa xác minh mục từ</x:v>
      </x:c>
      <x:c r="E287" s="11" t="str">
        <x:v>Diễn giải từ định nghĩa EN; cần nguồn KO</x:v>
      </x:c>
      <x:c r="F287" s="11" t="str">
        <x:v>EN</x:v>
      </x:c>
      <x:c r="G287" s="11" t="str">
        <x:v>S117</x:v>
      </x:c>
      <x:c r="H287" s="11" t="str">
        <x:v>EEAS — Why European strategic autonomy matters</x:v>
      </x:c>
      <x:c r="I287" s="30" t="str">
        <x:v>https://www.eeas.europa.eu/eeas/why-european-strategic-autonomy-matters_en</x:v>
      </x:c>
      <x:c r="J287" s="11" t="str">
        <x:v>Chưa xác minh định nghĩa độc lập của nguyên biểu thức/nghĩa chọn trong ngôn ngữ này. Giải thích strategic autonomy theo năng lực hành động tự chủ; nguồn nhấn mạnh phạm vi/cách hiểu khác nhau theo lĩnh vực.</x:v>
      </x:c>
      <x:c r="K287" s="11" t="str">
        <x:v>2026-10-28</x:v>
      </x:c>
    </x:row>
    <x:row r="288" ht="57" customHeight="1">
      <x:c r="A288" s="11" t="str">
        <x:v>T147</x:v>
      </x:c>
      <x:c r="B288" s="11" t="str">
        <x:v>Bổ sung</x:v>
      </x:c>
      <x:c r="C288" s="11" t="str">
        <x:v>tự chủ chiến lược / 전략적 자율성</x:v>
      </x:c>
      <x:c r="D288" s="11" t="str">
        <x:v>Xem dòng VI/KO</x:v>
      </x:c>
      <x:c r="E288" s="11" t="str">
        <x:v>Căn cứ nghĩa làm việc</x:v>
      </x:c>
      <x:c r="F288" s="11" t="str">
        <x:v>VI</x:v>
      </x:c>
      <x:c r="G288" s="11" t="str">
        <x:v>S116</x:v>
      </x:c>
      <x:c r="H288" s="11" t="str">
        <x:v>Chủ động, tích cực triển khai Nghị quyết Đại hội Đảng toàn quốc lần thứ XIV trong công tác Đối ngoại</x:v>
      </x:c>
      <x:c r="I288" s="30" t="str">
        <x:v>https://mofa.gov.vn/vi/tin-chi-tiet/chi-tiet/chu-dong-tich-cuc-trien-khai-nghi-quyet-dai-hoi-dang-toan-quoc-lan-thu-xiv-trong-cong-tac-doi-ngoai-58834-140.html</x:v>
      </x:c>
      <x:c r="J288" s="11" t="str">
        <x:v>Nguồn dẫn trong hồ sơ cũ; không phải xác nhận đã tìm được mục từ giải nghĩa trực tiếp.</x:v>
      </x:c>
      <x:c r="K288" s="11" t="str">
        <x:v>2026-10-28</x:v>
      </x:c>
    </x:row>
    <x:row r="289" ht="57" customHeight="1">
      <x:c r="A289" s="11" t="str">
        <x:v>T018</x:v>
      </x:c>
      <x:c r="B289" s="11" t="str">
        <x:v>VI</x:v>
      </x:c>
      <x:c r="C289" s="11" t="str">
        <x:v>tư pháp</x:v>
      </x:c>
      <x:c r="D289" s="11" t="str">
        <x:v>CẦN TRA — chưa xác minh mục từ</x:v>
      </x:c>
      <x:c r="E289" s="11" t="str">
        <x:v>* Nghĩa làm việc; cần nguồn định nghĩa</x:v>
      </x:c>
      <x:c r="F289" s="11" t="str">
        <x:v>VI</x:v>
      </x:c>
      <x:c r="G289" s="11" t="str">
        <x:v>S096</x:v>
      </x:c>
      <x:c r="H289" s="11" t="str">
        <x:v>Hiến pháp nước Cộng hòa xã hội chủ nghĩa Việt Nam (2013)</x:v>
      </x:c>
      <x:c r="I289" s="30" t="str">
        <x:v>https://xaydungchinhsach.chinhphu.vn/toan-van-hien-phap-nuoc-cong-hoa-xa-hoi-chu-nghia-viet-nam-119231225213002261.htm</x:v>
      </x:c>
      <x:c r="J289" s="11" t="str">
        <x:v>Chưa xác minh định nghĩa độc lập của nguyên biểu thức/nghĩa chọn trong ngôn ngữ này. Nguồn dẫn trong hồ sơ cũ; không phải xác nhận đã tìm được mục từ giải nghĩa trực tiếp.</x:v>
      </x:c>
      <x:c r="K289" s="11" t="str">
        <x:v>2026-10-28</x:v>
      </x:c>
    </x:row>
    <x:row r="290" ht="57" customHeight="1">
      <x:c r="A290" s="11" t="str">
        <x:v>T018</x:v>
      </x:c>
      <x:c r="B290" s="11" t="str">
        <x:v>KO</x:v>
      </x:c>
      <x:c r="C290" s="11" t="str">
        <x:v>사법</x:v>
      </x:c>
      <x:c r="D290" s="11" t="str">
        <x:v>Có mục từ và đã đọc nghĩa</x:v>
      </x:c>
      <x:c r="E290" s="11" t="str">
        <x:v>Mục từ có nghĩa [KO]</x:v>
      </x:c>
      <x:c r="F290" s="11" t="str">
        <x:v>KO</x:v>
      </x:c>
      <x:c r="G290" s="11" t="str">
        <x:v>S118</x:v>
      </x:c>
      <x:c r="H290" s="11" t="str">
        <x:v>국립국어원 한국어기초사전 — 사법(司法)</x:v>
      </x:c>
      <x:c r="I290" s="30" t="str">
        <x:v>https://krdict.korean.go.kr/eng/dicSearch/SearchView?ParaWordNo=61371</x:v>
      </x:c>
      <x:c r="J290" s="11" t="str">
        <x:v>Đã đọc nguồn giải nghĩa bằng ngôn ngữ này; vẫn đối chiếu nghĩa chọn và ghi chú.</x:v>
      </x:c>
      <x:c r="K290" s="11" t="str">
        <x:v>2026-10-28</x:v>
      </x:c>
    </x:row>
    <x:row r="291" ht="57" customHeight="1">
      <x:c r="A291" s="11" t="str">
        <x:v>T050</x:v>
      </x:c>
      <x:c r="B291" s="11" t="str">
        <x:v>VI</x:v>
      </x:c>
      <x:c r="C291" s="11" t="str">
        <x:v>tư tưởng Hồ Chí Minh</x:v>
      </x:c>
      <x:c r="D291" s="11" t="str">
        <x:v>CẦN TRA — chưa xác minh mục từ</x:v>
      </x:c>
      <x:c r="E291" s="11" t="str">
        <x:v>Định nghĩa chuyên ngành [VI]</x:v>
      </x:c>
      <x:c r="F291" s="11" t="str">
        <x:v>VI</x:v>
      </x:c>
      <x:c r="G291" s="11" t="str">
        <x:v>S100</x:v>
      </x:c>
      <x:c r="H291" s="11" t="str">
        <x:v>Cương lĩnh 2011 — định nghĩa tư tưởng Hồ Chí Minh, phần IV.4</x:v>
      </x:c>
      <x:c r="I291" s="30" t="str">
        <x:v>https://tulieuvankien.dangcongsan.vn/ban-chap-hanh-trung-uong-dang/dai-hoi-dang/lan-thu-xi/cuong-linh-xay-dung-dat-nuoc-trong-thoi-ky-qua-do-len-chu-nghia-xa-hoi-bo-sung-phat-trien-nam-2011-1528</x:v>
      </x:c>
      <x:c r="J291" s="11" t="str">
        <x:v>Đã đọc nguồn giải nghĩa bằng ngôn ngữ này; vẫn đối chiếu nghĩa chọn và ghi chú.</x:v>
      </x:c>
      <x:c r="K291" s="11" t="str">
        <x:v>2026-10-28</x:v>
      </x:c>
    </x:row>
    <x:row r="292" ht="57" customHeight="1">
      <x:c r="A292" s="11" t="str">
        <x:v>T050</x:v>
      </x:c>
      <x:c r="B292" s="11" t="str">
        <x:v>KO</x:v>
      </x:c>
      <x:c r="C292" s="11" t="str">
        <x:v>호찌민 사상</x:v>
      </x:c>
      <x:c r="D292" s="11" t="str">
        <x:v>CẦN TRA — chưa xác minh mục từ</x:v>
      </x:c>
      <x:c r="E292" s="11" t="str">
        <x:v>Diễn giải từ định nghĩa VI; cần nguồn KO</x:v>
      </x:c>
      <x:c r="F292" s="11" t="str">
        <x:v>VI</x:v>
      </x:c>
      <x:c r="G292" s="11" t="str">
        <x:v>S100</x:v>
      </x:c>
      <x:c r="H292" s="11" t="str">
        <x:v>Cương lĩnh 2011 — định nghĩa tư tưởng Hồ Chí Minh, phần IV.4</x:v>
      </x:c>
      <x:c r="I292" s="30" t="str">
        <x:v>https://tulieuvankien.dangcongsan.vn/ban-chap-hanh-trung-uong-dang/dai-hoi-dang/lan-thu-xi/cuong-linh-xay-dung-dat-nuoc-trong-thoi-ky-qua-do-len-chu-nghia-xa-hoi-bo-sung-phat-trien-nam-2011-1528</x:v>
      </x:c>
      <x:c r="J292" s="11" t="str">
        <x:v>Chưa xác minh định nghĩa độc lập của nguyên biểu thức/nghĩa chọn trong ngôn ngữ này. Nguồn dẫn trong hồ sơ cũ; không phải xác nhận đã tìm được mục từ giải nghĩa trực tiếp.</x:v>
      </x:c>
      <x:c r="K292" s="11" t="str">
        <x:v>2026-10-28</x:v>
      </x:c>
    </x:row>
    <x:row r="293" ht="57" customHeight="1">
      <x:c r="A293" s="11" t="str">
        <x:v>M006</x:v>
      </x:c>
      <x:c r="B293" s="11" t="str">
        <x:v>VI</x:v>
      </x:c>
      <x:c r="C293" s="11" t="str">
        <x:v>vai trò trung tâm của ASEAN</x:v>
      </x:c>
      <x:c r="D293" s="11" t="str">
        <x:v>CẦN TRA — chưa xác minh mục từ</x:v>
      </x:c>
      <x:c r="E293" s="11" t="str">
        <x:v>Diễn giải từ định nghĩa KO; cần nguồn VI</x:v>
      </x:c>
      <x:c r="F293" s="11" t="str">
        <x:v>KO</x:v>
      </x:c>
      <x:c r="G293" s="11" t="str">
        <x:v>S121</x:v>
      </x:c>
      <x:c r="H293" s="11" t="str">
        <x:v>대한민국 외교부 — 최영삼 차관보, 아세안+3 및 동아시아 정상회의 고위관리회의 참석</x:v>
      </x:c>
      <x:c r="I293" s="30" t="str">
        <x:v>https://www.mofa.go.kr/www/brd/m_4080/view.do?seq=373439</x:v>
      </x:c>
      <x:c r="J293" s="11" t="str">
        <x:v>Chưa xác minh định nghĩa độc lập của nguyên biểu thức/nghĩa chọn trong ngôn ngữ này. Chú thích định nghĩa ASEAN Centrality là nguyên tắc ASEAN giữ vai trò trung tâm trong xây dựng/triển khai cơ chế hợp tác khu vực.</x:v>
      </x:c>
      <x:c r="K293" s="11" t="str">
        <x:v>2026-10-28</x:v>
      </x:c>
    </x:row>
    <x:row r="294" ht="57" customHeight="1">
      <x:c r="A294" s="11" t="str">
        <x:v>M006</x:v>
      </x:c>
      <x:c r="B294" s="11" t="str">
        <x:v>KO</x:v>
      </x:c>
      <x:c r="C294" s="11" t="str">
        <x:v>아세안 중심성</x:v>
      </x:c>
      <x:c r="D294" s="11" t="str">
        <x:v>CẦN TRA — chưa xác minh mục từ</x:v>
      </x:c>
      <x:c r="E294" s="11" t="str">
        <x:v>Định nghĩa chuyên ngành [KO]</x:v>
      </x:c>
      <x:c r="F294" s="11" t="str">
        <x:v>KO</x:v>
      </x:c>
      <x:c r="G294" s="11" t="str">
        <x:v>S121</x:v>
      </x:c>
      <x:c r="H294" s="11" t="str">
        <x:v>대한민국 외교부 — 최영삼 차관보, 아세안+3 및 동아시아 정상회의 고위관리회의 참석</x:v>
      </x:c>
      <x:c r="I294" s="30" t="str">
        <x:v>https://www.mofa.go.kr/www/brd/m_4080/view.do?seq=373439</x:v>
      </x:c>
      <x:c r="J294" s="11" t="str">
        <x:v>Đã đọc nguồn giải nghĩa bằng ngôn ngữ này; vẫn đối chiếu nghĩa chọn và ghi chú.</x:v>
      </x:c>
      <x:c r="K294" s="11" t="str">
        <x:v>2026-10-28</x:v>
      </x:c>
    </x:row>
    <x:row r="295" ht="57" customHeight="1">
      <x:c r="A295" s="11" t="str">
        <x:v>M006</x:v>
      </x:c>
      <x:c r="B295" s="11" t="str">
        <x:v>Bổ sung</x:v>
      </x:c>
      <x:c r="C295" s="11" t="str">
        <x:v>vai trò trung tâm của ASEAN / 아세안 중심성</x:v>
      </x:c>
      <x:c r="D295" s="11" t="str">
        <x:v>Xem dòng VI/KO</x:v>
      </x:c>
      <x:c r="E295" s="11" t="str">
        <x:v>Căn cứ nghĩa làm việc</x:v>
      </x:c>
      <x:c r="F295" s="11" t="str">
        <x:v>VI</x:v>
      </x:c>
      <x:c r="G295" s="11" t="str">
        <x:v>S119</x:v>
      </x:c>
      <x:c r="H295" s="11" t="str">
        <x:v>Hướng tới Cộng đồng ASEAN Đoàn kết, Vững mạnh và Rộng mở</x:v>
      </x:c>
      <x:c r="I295" s="30" t="str">
        <x:v>https://web.mofa.gov.vn/web/guest/tin-chi-tiet/chi-tiet/-huong-toi-cong-dong-asean-doan-ket-vung-manh-va-rong-mo--139.html</x:v>
      </x:c>
      <x:c r="J295" s="11" t="str">
        <x:v>Nguồn dẫn trong hồ sơ cũ; không phải xác nhận đã tìm được mục từ giải nghĩa trực tiếp.</x:v>
      </x:c>
      <x:c r="K295" s="11" t="str">
        <x:v>2026-10-28</x:v>
      </x:c>
    </x:row>
    <x:row r="296" ht="57" customHeight="1">
      <x:c r="A296" s="11" t="str">
        <x:v>M006</x:v>
      </x:c>
      <x:c r="B296" s="11" t="str">
        <x:v>Bổ sung</x:v>
      </x:c>
      <x:c r="C296" s="11" t="str">
        <x:v>vai trò trung tâm của ASEAN / 아세안 중심성</x:v>
      </x:c>
      <x:c r="D296" s="11" t="str">
        <x:v>Xem dòng VI/KO</x:v>
      </x:c>
      <x:c r="E296" s="11" t="str">
        <x:v>Căn cứ nghĩa làm việc</x:v>
      </x:c>
      <x:c r="F296" s="11" t="str">
        <x:v>EN</x:v>
      </x:c>
      <x:c r="G296" s="11" t="str">
        <x:v>S120</x:v>
      </x:c>
      <x:c r="H296" s="11" t="str">
        <x:v>ASEAN Outlook on the Indo-Pacific</x:v>
      </x:c>
      <x:c r="I296" s="30" t="str">
        <x:v>https://www.asean.org/wp-content/uploads/2019/06/ASEAN-Outlook-on-the-Indo-Pacific_FINAL_22062019.pdf</x:v>
      </x:c>
      <x:c r="J296" s="11" t="str">
        <x:v>Nguồn dẫn trong hồ sơ cũ; không phải xác nhận đã tìm được mục từ giải nghĩa trực tiếp.</x:v>
      </x:c>
      <x:c r="K296" s="11" t="str">
        <x:v>2026-10-28</x:v>
      </x:c>
    </x:row>
    <x:row r="297" ht="57" customHeight="1">
      <x:c r="A297" s="11" t="str">
        <x:v>M008</x:v>
      </x:c>
      <x:c r="B297" s="11" t="str">
        <x:v>VI</x:v>
      </x:c>
      <x:c r="C297" s="11" t="str">
        <x:v>ASEAN+3</x:v>
      </x:c>
      <x:c r="D297" s="11" t="str">
        <x:v>Tên riêng: có nguồn về đối tượng</x:v>
      </x:c>
      <x:c r="E297" s="11" t="str">
        <x:v>* Diễn giải mô tả EN</x:v>
      </x:c>
      <x:c r="F297" s="11" t="str">
        <x:v>EN</x:v>
      </x:c>
      <x:c r="G297" s="11" t="str">
        <x:v>S124</x:v>
      </x:c>
      <x:c r="H297" s="11" t="str">
        <x:v>ASEAN — Overview of ASEAN Plus Three Cooperation</x:v>
      </x:c>
      <x:c r="I297" s="30" t="str">
        <x:v>https://aseanplusthree.asean.org/overview-of-asean-plus-three-cooperation/</x:v>
      </x:c>
      <x:c r="J297" s="11" t="str">
        <x:v>Chưa xác minh định nghĩa độc lập của nguyên biểu thức/nghĩa chọn trong ngôn ngữ này. Mô tả khuôn khổ hợp tác ASEAN, Trung Quốc, Nhật Bản và Hàn Quốc, được thể chế hóa; không phải một phiên họp đơn lẻ.</x:v>
      </x:c>
      <x:c r="K297" s="11" t="str">
        <x:v>2026-10-28</x:v>
      </x:c>
    </x:row>
    <x:row r="298" ht="57" customHeight="1">
      <x:c r="A298" s="11" t="str">
        <x:v>M008</x:v>
      </x:c>
      <x:c r="B298" s="11" t="str">
        <x:v>KO</x:v>
      </x:c>
      <x:c r="C298" s="11" t="str">
        <x:v>아세안+3</x:v>
      </x:c>
      <x:c r="D298" s="11" t="str">
        <x:v>Tên riêng: có nguồn về đối tượng</x:v>
      </x:c>
      <x:c r="E298" s="11" t="str">
        <x:v>* Diễn giải mô tả EN</x:v>
      </x:c>
      <x:c r="F298" s="11" t="str">
        <x:v>EN</x:v>
      </x:c>
      <x:c r="G298" s="11" t="str">
        <x:v>S124</x:v>
      </x:c>
      <x:c r="H298" s="11" t="str">
        <x:v>ASEAN — Overview of ASEAN Plus Three Cooperation</x:v>
      </x:c>
      <x:c r="I298" s="30" t="str">
        <x:v>https://aseanplusthree.asean.org/overview-of-asean-plus-three-cooperation/</x:v>
      </x:c>
      <x:c r="J298" s="11" t="str">
        <x:v>Chưa xác minh định nghĩa độc lập của nguyên biểu thức/nghĩa chọn trong ngôn ngữ này. Mô tả khuôn khổ hợp tác ASEAN, Trung Quốc, Nhật Bản và Hàn Quốc, được thể chế hóa; không phải một phiên họp đơn lẻ.</x:v>
      </x:c>
      <x:c r="K298" s="11" t="str">
        <x:v>2026-10-28</x:v>
      </x:c>
    </x:row>
    <x:row r="299" ht="57" customHeight="1">
      <x:c r="A299" s="11" t="str">
        <x:v>M008</x:v>
      </x:c>
      <x:c r="B299" s="11" t="str">
        <x:v>Bổ sung</x:v>
      </x:c>
      <x:c r="C299" s="11" t="str">
        <x:v>ASEAN+3 / 아세안+3</x:v>
      </x:c>
      <x:c r="D299" s="11" t="str">
        <x:v>Xem dòng VI/KO</x:v>
      </x:c>
      <x:c r="E299" s="11" t="str">
        <x:v>Căn cứ nghĩa làm việc</x:v>
      </x:c>
      <x:c r="F299" s="11" t="str">
        <x:v>VI</x:v>
      </x:c>
      <x:c r="G299" s="11" t="str">
        <x:v>S119</x:v>
      </x:c>
      <x:c r="H299" s="11" t="str">
        <x:v>Hướng tới Cộng đồng ASEAN Đoàn kết, Vững mạnh và Rộng mở</x:v>
      </x:c>
      <x:c r="I299" s="30" t="str">
        <x:v>https://web.mofa.gov.vn/web/guest/tin-chi-tiet/chi-tiet/-huong-toi-cong-dong-asean-doan-ket-vung-manh-va-rong-mo--139.html</x:v>
      </x:c>
      <x:c r="J299" s="11" t="str">
        <x:v>Nguồn dẫn trong hồ sơ cũ; không phải xác nhận đã tìm được mục từ giải nghĩa trực tiếp.</x:v>
      </x:c>
      <x:c r="K299" s="11" t="str">
        <x:v>2026-10-28</x:v>
      </x:c>
    </x:row>
    <x:row r="300" ht="57" customHeight="1">
      <x:c r="A300" s="11" t="str">
        <x:v>M008</x:v>
      </x:c>
      <x:c r="B300" s="11" t="str">
        <x:v>Bổ sung</x:v>
      </x:c>
      <x:c r="C300" s="11" t="str">
        <x:v>ASEAN+3 / 아세안+3</x:v>
      </x:c>
      <x:c r="D300" s="11" t="str">
        <x:v>Xem dòng VI/KO</x:v>
      </x:c>
      <x:c r="E300" s="11" t="str">
        <x:v>Căn cứ nghĩa làm việc</x:v>
      </x:c>
      <x:c r="F300" s="11" t="str">
        <x:v>VI</x:v>
      </x:c>
      <x:c r="G300" s="11" t="str">
        <x:v>S122</x:v>
      </x:c>
      <x:c r="H300" s="11" t="str">
        <x:v>Thông tin cơ bản về Cộng đồng ASEAN</x:v>
      </x:c>
      <x:c r="I300" s="30" t="str">
        <x:v>https://mofa.gov.vn/tin-chi-tiet/chi-tiet/thong-tin-co-ban-ve-cong-dong-asean-589.html</x:v>
      </x:c>
      <x:c r="J300" s="11" t="str">
        <x:v>Nguồn dẫn trong hồ sơ cũ; không phải xác nhận đã tìm được mục từ giải nghĩa trực tiếp.</x:v>
      </x:c>
      <x:c r="K300" s="11" t="str">
        <x:v>2026-10-28</x:v>
      </x:c>
    </x:row>
    <x:row r="301" ht="57" customHeight="1">
      <x:c r="A301" s="11" t="str">
        <x:v>M008</x:v>
      </x:c>
      <x:c r="B301" s="11" t="str">
        <x:v>Bổ sung</x:v>
      </x:c>
      <x:c r="C301" s="11" t="str">
        <x:v>ASEAN+3 / 아세안+3</x:v>
      </x:c>
      <x:c r="D301" s="11" t="str">
        <x:v>Xem dòng VI/KO</x:v>
      </x:c>
      <x:c r="E301" s="11" t="str">
        <x:v>Căn cứ nghĩa làm việc</x:v>
      </x:c>
      <x:c r="F301" s="11" t="str">
        <x:v>VI</x:v>
      </x:c>
      <x:c r="G301" s="11" t="str">
        <x:v>S123</x:v>
      </x:c>
      <x:c r="H301" s="11" t="str">
        <x:v>Khẳng định mạnh mẽ vai trò của ASEAN và các cơ chế do ASEAN dẫn dắt trong thúc đẩy đối thoại và hợp tác xây dựng lòng tin ở khu vực</x:v>
      </x:c>
      <x:c r="I301" s="30" t="str">
        <x:v>https://web.mofa.gov.vn/vi/web/guest/tin-chi-tiet/chi-tiet/khang-dinh-manh-me-vai-tro-cua-asean-va-cac-co-che-do-asean-dan-dat-trong-thuc-day-doi-thoai-va-hop-tac-xay-dung-long-tin-o-khu-vuc-60405-140.html</x:v>
      </x:c>
      <x:c r="J301" s="11" t="str">
        <x:v>Nguồn dẫn trong hồ sơ cũ; không phải xác nhận đã tìm được mục từ giải nghĩa trực tiếp.</x:v>
      </x:c>
      <x:c r="K301" s="11" t="str">
        <x:v>2026-10-28</x:v>
      </x:c>
    </x:row>
    <x:row r="302" ht="57" customHeight="1">
      <x:c r="A302" s="11" t="str">
        <x:v>M010</x:v>
      </x:c>
      <x:c r="B302" s="11" t="str">
        <x:v>VI</x:v>
      </x:c>
      <x:c r="C302" s="11" t="str">
        <x:v>Diễn đàn khu vực ASEAN (ARF)</x:v>
      </x:c>
      <x:c r="D302" s="11" t="str">
        <x:v>Tên riêng: có nguồn về đối tượng</x:v>
      </x:c>
      <x:c r="E302" s="11" t="str">
        <x:v>* Diễn giải mô tả EN</x:v>
      </x:c>
      <x:c r="F302" s="11" t="str">
        <x:v>EN</x:v>
      </x:c>
      <x:c r="G302" s="11" t="str">
        <x:v>S125</x:v>
      </x:c>
      <x:c r="H302" s="11" t="str">
        <x:v>ASEAN Regional Forum — About ARF</x:v>
      </x:c>
      <x:c r="I302" s="30" t="str">
        <x:v>https://aseanregionalforum.asean.org/about-Arf/</x:v>
      </x:c>
      <x:c r="J302" s="11" t="str">
        <x:v>Chưa xác minh định nghĩa độc lập của nguyên biểu thức/nghĩa chọn trong ngôn ngữ này. Nguồn dẫn trong hồ sơ cũ; không phải xác nhận đã tìm được mục từ giải nghĩa trực tiếp.</x:v>
      </x:c>
      <x:c r="K302" s="11" t="str">
        <x:v>2026-10-28</x:v>
      </x:c>
    </x:row>
    <x:row r="303" ht="57" customHeight="1">
      <x:c r="A303" s="11" t="str">
        <x:v>M010</x:v>
      </x:c>
      <x:c r="B303" s="11" t="str">
        <x:v>KO</x:v>
      </x:c>
      <x:c r="C303" s="11" t="str">
        <x:v>아세안지역포럼</x:v>
      </x:c>
      <x:c r="D303" s="11" t="str">
        <x:v>Tên riêng: có nguồn về đối tượng</x:v>
      </x:c>
      <x:c r="E303" s="11" t="str">
        <x:v>* Diễn giải mô tả EN</x:v>
      </x:c>
      <x:c r="F303" s="11" t="str">
        <x:v>EN</x:v>
      </x:c>
      <x:c r="G303" s="11" t="str">
        <x:v>S125</x:v>
      </x:c>
      <x:c r="H303" s="11" t="str">
        <x:v>ASEAN Regional Forum — About ARF</x:v>
      </x:c>
      <x:c r="I303" s="30" t="str">
        <x:v>https://aseanregionalforum.asean.org/about-Arf/</x:v>
      </x:c>
      <x:c r="J303" s="11" t="str">
        <x:v>Chưa xác minh định nghĩa độc lập của nguyên biểu thức/nghĩa chọn trong ngôn ngữ này. Nguồn dẫn trong hồ sơ cũ; không phải xác nhận đã tìm được mục từ giải nghĩa trực tiếp.</x:v>
      </x:c>
      <x:c r="K303" s="11" t="str">
        <x:v>2026-10-28</x:v>
      </x:c>
    </x:row>
    <x:row r="304" ht="57" customHeight="1">
      <x:c r="A304" s="11" t="str">
        <x:v>M010</x:v>
      </x:c>
      <x:c r="B304" s="11" t="str">
        <x:v>Bổ sung</x:v>
      </x:c>
      <x:c r="C304" s="11" t="str">
        <x:v>Diễn đàn khu vực ASEAN (ARF) / 아세안지역포럼</x:v>
      </x:c>
      <x:c r="D304" s="11" t="str">
        <x:v>Xem dòng VI/KO</x:v>
      </x:c>
      <x:c r="E304" s="11" t="str">
        <x:v>Căn cứ nghĩa làm việc</x:v>
      </x:c>
      <x:c r="F304" s="11" t="str">
        <x:v>VI</x:v>
      </x:c>
      <x:c r="G304" s="11" t="str">
        <x:v>S122</x:v>
      </x:c>
      <x:c r="H304" s="11" t="str">
        <x:v>Thông tin cơ bản về Cộng đồng ASEAN</x:v>
      </x:c>
      <x:c r="I304" s="30" t="str">
        <x:v>https://mofa.gov.vn/tin-chi-tiet/chi-tiet/thong-tin-co-ban-ve-cong-dong-asean-589.html</x:v>
      </x:c>
      <x:c r="J304" s="11" t="str">
        <x:v>Nguồn dẫn trong hồ sơ cũ; không phải xác nhận đã tìm được mục từ giải nghĩa trực tiếp.</x:v>
      </x:c>
      <x:c r="K304" s="11" t="str">
        <x:v>2026-10-28</x:v>
      </x:c>
    </x:row>
    <x:row r="305" ht="57" customHeight="1">
      <x:c r="A305" s="11" t="str">
        <x:v>M010</x:v>
      </x:c>
      <x:c r="B305" s="11" t="str">
        <x:v>Bổ sung</x:v>
      </x:c>
      <x:c r="C305" s="11" t="str">
        <x:v>Diễn đàn khu vực ASEAN (ARF) / 아세안지역포럼</x:v>
      </x:c>
      <x:c r="D305" s="11" t="str">
        <x:v>Xem dòng VI/KO</x:v>
      </x:c>
      <x:c r="E305" s="11" t="str">
        <x:v>Căn cứ nghĩa làm việc</x:v>
      </x:c>
      <x:c r="F305" s="11" t="str">
        <x:v>EN</x:v>
      </x:c>
      <x:c r="G305" s="11" t="str">
        <x:v>S120</x:v>
      </x:c>
      <x:c r="H305" s="11" t="str">
        <x:v>ASEAN Outlook on the Indo-Pacific</x:v>
      </x:c>
      <x:c r="I305" s="30" t="str">
        <x:v>https://www.asean.org/wp-content/uploads/2019/06/ASEAN-Outlook-on-the-Indo-Pacific_FINAL_22062019.pdf</x:v>
      </x:c>
      <x:c r="J305" s="11" t="str">
        <x:v>Nguồn dẫn trong hồ sơ cũ; không phải xác nhận đã tìm được mục từ giải nghĩa trực tiếp.</x:v>
      </x:c>
      <x:c r="K305" s="11" t="str">
        <x:v>2026-10-28</x:v>
      </x:c>
    </x:row>
    <x:row r="306" ht="57" customHeight="1">
      <x:c r="A306" s="11" t="str">
        <x:v>T134</x:v>
      </x:c>
      <x:c r="B306" s="11" t="str">
        <x:v>VI</x:v>
      </x:c>
      <x:c r="C306" s="11" t="str">
        <x:v>đối tác chiến lược</x:v>
      </x:c>
      <x:c r="D306" s="11" t="str">
        <x:v>CẦN TRA — chưa xác minh mục từ</x:v>
      </x:c>
      <x:c r="E306" s="11" t="str">
        <x:v>* Nghĩa làm việc; cần nguồn định nghĩa</x:v>
      </x:c>
      <x:c r="F306" s="11" t="str">
        <x:v>VI</x:v>
      </x:c>
      <x:c r="G306" s="11" t="str">
        <x:v>S103</x:v>
      </x:c>
      <x:c r="H306" s="11" t="str">
        <x:v>Triển khai quan hệ đối tác chiến lược, đối tác toàn diện của Việt Nam</x:v>
      </x:c>
      <x:c r="I306" s="30" t="str">
        <x:v>https://mofa.gov.vn/tin-chi-tiet/chi-tiet/trien-khai-quan-he-doi-tac-chien-luoc-doi-tac-toan-dien-cua-viet-nam-279.html</x:v>
      </x:c>
      <x:c r="J306" s="11" t="str">
        <x:v>Chưa xác minh định nghĩa độc lập của nguyên biểu thức/nghĩa chọn trong ngôn ngữ này. Nguồn dẫn trong hồ sơ cũ; không phải xác nhận đã tìm được mục từ giải nghĩa trực tiếp.</x:v>
      </x:c>
      <x:c r="K306" s="11" t="str">
        <x:v>2026-10-28</x:v>
      </x:c>
    </x:row>
    <x:row r="307" ht="57" customHeight="1">
      <x:c r="A307" s="11" t="str">
        <x:v>T134</x:v>
      </x:c>
      <x:c r="B307" s="11" t="str">
        <x:v>KO</x:v>
      </x:c>
      <x:c r="C307" s="11" t="str">
        <x:v>전략적 동반자 관계</x:v>
      </x:c>
      <x:c r="D307" s="11" t="str">
        <x:v>CẦN TRA — chưa xác minh mục từ</x:v>
      </x:c>
      <x:c r="E307" s="11" t="str">
        <x:v>* Nghĩa làm việc; cần nguồn định nghĩa</x:v>
      </x:c>
      <x:c r="F307" s="11" t="str">
        <x:v>VI</x:v>
      </x:c>
      <x:c r="G307" s="11" t="str">
        <x:v>S103</x:v>
      </x:c>
      <x:c r="H307" s="11" t="str">
        <x:v>Diễn đạt tiếng Hàn từ nghĩa làm việc; Triển khai quan hệ đối tác chiến lược, đối tác toàn diện của Việt Nam</x:v>
      </x:c>
      <x:c r="I307" s="30" t="str">
        <x:v>https://mofa.gov.vn/tin-chi-tiet/chi-tiet/trien-khai-quan-he-doi-tac-chien-luoc-doi-tac-toan-dien-cua-viet-nam-279.html</x:v>
      </x:c>
      <x:c r="J307" s="11" t="str">
        <x:v>Chưa xác minh định nghĩa độc lập của nguyên biểu thức/nghĩa chọn trong ngôn ngữ này. Nguồn dẫn trong hồ sơ cũ; không phải xác nhận đã tìm được mục từ giải nghĩa trực tiếp.</x:v>
      </x:c>
      <x:c r="K307" s="11" t="str">
        <x:v>2026-10-28</x:v>
      </x:c>
    </x:row>
    <x:row r="308" ht="57" customHeight="1">
      <x:c r="A308" s="11" t="str">
        <x:v>T137</x:v>
      </x:c>
      <x:c r="B308" s="11" t="str">
        <x:v>VI</x:v>
      </x:c>
      <x:c r="C308" s="11" t="str">
        <x:v>đối tác chiến lược toàn diện</x:v>
      </x:c>
      <x:c r="D308" s="11" t="str">
        <x:v>CẦN TRA — chưa xác minh mục từ</x:v>
      </x:c>
      <x:c r="E308" s="11" t="str">
        <x:v>* Nghĩa làm việc; cần nguồn định nghĩa</x:v>
      </x:c>
      <x:c r="F308" s="11" t="str">
        <x:v>VI</x:v>
      </x:c>
      <x:c r="G308" s="11" t="str">
        <x:v>S106</x:v>
      </x:c>
      <x:c r="H308" s="11" t="str">
        <x:v>Tuyên bố chung Việt Nam – Hàn Quốc về quan hệ đối tác chiến lược toàn diện</x:v>
      </x:c>
      <x:c r="I308" s="30" t="str">
        <x:v>https://vpctn.gov.vn/tin-tuc-su-kien/hoat-dong-cua-chu-tich-nuoc/tuyen-bo-chung-viet-nam-han-quoc-ve-quan-he-doi-tac-chien-luoc-toan-dien.html</x:v>
      </x:c>
      <x:c r="J308" s="11" t="str">
        <x:v>Chưa xác minh định nghĩa độc lập của nguyên biểu thức/nghĩa chọn trong ngôn ngữ này. Nguồn dẫn trong hồ sơ cũ; không phải xác nhận đã tìm được mục từ giải nghĩa trực tiếp.</x:v>
      </x:c>
      <x:c r="K308" s="11" t="str">
        <x:v>2026-10-28</x:v>
      </x:c>
    </x:row>
    <x:row r="309" ht="57" customHeight="1">
      <x:c r="A309" s="11" t="str">
        <x:v>T137</x:v>
      </x:c>
      <x:c r="B309" s="11" t="str">
        <x:v>KO</x:v>
      </x:c>
      <x:c r="C309" s="11" t="str">
        <x:v>포괄적 전략적 동반자 관계</x:v>
      </x:c>
      <x:c r="D309" s="11" t="str">
        <x:v>CẦN TRA — chưa xác minh mục từ</x:v>
      </x:c>
      <x:c r="E309" s="11" t="str">
        <x:v>* Nghĩa làm việc; cần nguồn định nghĩa</x:v>
      </x:c>
      <x:c r="F309" s="11" t="str">
        <x:v>VI</x:v>
      </x:c>
      <x:c r="G309" s="11" t="str">
        <x:v>S106</x:v>
      </x:c>
      <x:c r="H309" s="11" t="str">
        <x:v>Diễn đạt tiếng Hàn từ nghĩa làm việc; Tuyên bố chung Việt Nam – Hàn Quốc về quan hệ đối tác chiến lược toàn diện</x:v>
      </x:c>
      <x:c r="I309" s="30" t="str">
        <x:v>https://vpctn.gov.vn/tin-tuc-su-kien/hoat-dong-cua-chu-tich-nuoc/tuyen-bo-chung-viet-nam-han-quoc-ve-quan-he-doi-tac-chien-luoc-toan-dien.html</x:v>
      </x:c>
      <x:c r="J309" s="11" t="str">
        <x:v>Chưa xác minh định nghĩa độc lập của nguyên biểu thức/nghĩa chọn trong ngôn ngữ này. Nguồn dẫn trong hồ sơ cũ; không phải xác nhận đã tìm được mục từ giải nghĩa trực tiếp.</x:v>
      </x:c>
      <x:c r="K309" s="11" t="str">
        <x:v>2026-10-28</x:v>
      </x:c>
    </x:row>
    <x:row r="310" ht="57" customHeight="1">
      <x:c r="A310" s="11" t="str">
        <x:v>T163</x:v>
      </x:c>
      <x:c r="B310" s="11" t="str">
        <x:v>VI</x:v>
      </x:c>
      <x:c r="C310" s="11" t="str">
        <x:v>đối tác hợp tác chiến lược toàn diện</x:v>
      </x:c>
      <x:c r="D310" s="11" t="str">
        <x:v>CẦN TRA — chưa xác minh mục từ</x:v>
      </x:c>
      <x:c r="E310" s="11" t="str">
        <x:v>* Nghĩa làm việc; cần nguồn định nghĩa</x:v>
      </x:c>
      <x:c r="F310" s="11" t="str">
        <x:v>VI</x:v>
      </x:c>
      <x:c r="G310" s="11" t="str">
        <x:v>S126</x:v>
      </x:c>
      <x:c r="H310" s="11" t="str">
        <x:v>Tăng cường và làm sâu sắc hơn nữa quan hệ Đối tác hợp tác chiến lược toàn diện Việt Nam-Trung Quốc trong giai đoạn mới</x:v>
      </x:c>
      <x:c r="I310" s="30" t="str">
        <x:v>https://mofa.gov.vn/tin-chi-tiet/chi-tiet/-tang-cuong-va-lam-sau-sac-hon-nua-quan-he-doi-tac-hop-tac-chien-luoc-toan-dien-viet-nam-trung-quoc-trong-giai-doan-moi--139.html</x:v>
      </x:c>
      <x:c r="J310" s="11" t="str">
        <x:v>Chưa xác minh định nghĩa độc lập của nguyên biểu thức/nghĩa chọn trong ngôn ngữ này. Nguồn dẫn trong hồ sơ định nghĩa làm việc: DIP_D32: Tiêu đề; đoạn về Tuyên bố chung 13 điểm</x:v>
      </x:c>
      <x:c r="K310" s="11" t="str">
        <x:v>2026-10-28</x:v>
      </x:c>
    </x:row>
    <x:row r="311" ht="57" customHeight="1">
      <x:c r="A311" s="11" t="str">
        <x:v>T163</x:v>
      </x:c>
      <x:c r="B311" s="11" t="str">
        <x:v>KO</x:v>
      </x:c>
      <x:c r="C311" s="11" t="str">
        <x:v>포괄적 전략적 협력 동반자 관계</x:v>
      </x:c>
      <x:c r="D311" s="11" t="str">
        <x:v>CẦN TRA — chưa xác minh mục từ</x:v>
      </x:c>
      <x:c r="E311" s="11" t="str">
        <x:v>* Nghĩa làm việc; cần nguồn định nghĩa</x:v>
      </x:c>
      <x:c r="F311" s="11" t="str">
        <x:v>VI</x:v>
      </x:c>
      <x:c r="G311" s="11" t="str">
        <x:v>S126</x:v>
      </x:c>
      <x:c r="H311" s="11" t="str">
        <x:v>Diễn đạt tiếng Hàn từ nghĩa làm việc; Tăng cường và làm sâu sắc hơn nữa quan hệ Đối tác hợp tác chiến lược toàn diện Việt Nam-Trung Quốc trong giai đoạn mới</x:v>
      </x:c>
      <x:c r="I311" s="30" t="str">
        <x:v>https://mofa.gov.vn/tin-chi-tiet/chi-tiet/-tang-cuong-va-lam-sau-sac-hon-nua-quan-he-doi-tac-hop-tac-chien-luoc-toan-dien-viet-nam-trung-quoc-trong-giai-doan-moi--139.html</x:v>
      </x:c>
      <x:c r="J311" s="11" t="str">
        <x:v>Chưa xác minh định nghĩa độc lập của nguyên biểu thức/nghĩa chọn trong ngôn ngữ này. Nguồn dẫn trong hồ sơ định nghĩa làm việc: DIP_D32: Tiêu đề; đoạn về Tuyên bố chung 13 điểm</x:v>
      </x:c>
      <x:c r="K311" s="11" t="str">
        <x:v>2026-10-28</x:v>
      </x:c>
    </x:row>
    <x:row r="312" ht="57" customHeight="1">
      <x:c r="A312" s="11" t="str">
        <x:v>T150</x:v>
      </x:c>
      <x:c r="B312" s="11" t="str">
        <x:v>VI</x:v>
      </x:c>
      <x:c r="C312" s="11" t="str">
        <x:v>đối tác toàn diện</x:v>
      </x:c>
      <x:c r="D312" s="11" t="str">
        <x:v>CẦN TRA — chưa xác minh mục từ</x:v>
      </x:c>
      <x:c r="E312" s="11" t="str">
        <x:v>* Nghĩa làm việc; cần nguồn định nghĩa</x:v>
      </x:c>
      <x:c r="F312" s="11" t="str">
        <x:v>VI</x:v>
      </x:c>
      <x:c r="G312" s="11" t="str">
        <x:v>S103</x:v>
      </x:c>
      <x:c r="H312" s="11" t="str">
        <x:v>Triển khai quan hệ đối tác chiến lược, đối tác toàn diện của Việt Nam</x:v>
      </x:c>
      <x:c r="I312" s="30" t="str">
        <x:v>https://mofa.gov.vn/tin-chi-tiet/chi-tiet/trien-khai-quan-he-doi-tac-chien-luoc-doi-tac-toan-dien-cua-viet-nam-279.html</x:v>
      </x:c>
      <x:c r="J312" s="11" t="str">
        <x:v>Chưa xác minh định nghĩa độc lập của nguyên biểu thức/nghĩa chọn trong ngôn ngữ này. Nguồn dẫn trong hồ sơ cũ; không phải xác nhận đã tìm được mục từ giải nghĩa trực tiếp.</x:v>
      </x:c>
      <x:c r="K312" s="11" t="str">
        <x:v>2026-10-28</x:v>
      </x:c>
    </x:row>
    <x:row r="313" ht="57" customHeight="1">
      <x:c r="A313" s="11" t="str">
        <x:v>T150</x:v>
      </x:c>
      <x:c r="B313" s="11" t="str">
        <x:v>KO</x:v>
      </x:c>
      <x:c r="C313" s="11" t="str">
        <x:v>포괄적 동반자 관계</x:v>
      </x:c>
      <x:c r="D313" s="11" t="str">
        <x:v>CẦN TRA — chưa xác minh mục từ</x:v>
      </x:c>
      <x:c r="E313" s="11" t="str">
        <x:v>* Nghĩa làm việc; cần nguồn định nghĩa</x:v>
      </x:c>
      <x:c r="F313" s="11" t="str">
        <x:v>VI</x:v>
      </x:c>
      <x:c r="G313" s="11" t="str">
        <x:v>S103</x:v>
      </x:c>
      <x:c r="H313" s="11" t="str">
        <x:v>Diễn đạt tiếng Hàn từ nghĩa làm việc; Triển khai quan hệ đối tác chiến lược, đối tác toàn diện của Việt Nam</x:v>
      </x:c>
      <x:c r="I313" s="30" t="str">
        <x:v>https://mofa.gov.vn/tin-chi-tiet/chi-tiet/trien-khai-quan-he-doi-tac-chien-luoc-doi-tac-toan-dien-cua-viet-nam-279.html</x:v>
      </x:c>
      <x:c r="J313" s="11" t="str">
        <x:v>Chưa xác minh định nghĩa độc lập của nguyên biểu thức/nghĩa chọn trong ngôn ngữ này. Nguồn dẫn trong hồ sơ cũ; không phải xác nhận đã tìm được mục từ giải nghĩa trực tiếp.</x:v>
      </x:c>
      <x:c r="K313" s="11" t="str">
        <x:v>2026-10-28</x:v>
      </x:c>
    </x:row>
    <x:row r="314" ht="57" customHeight="1">
      <x:c r="A314" s="11" t="str">
        <x:v>T161</x:v>
      </x:c>
      <x:c r="B314" s="11" t="str">
        <x:v>VI</x:v>
      </x:c>
      <x:c r="C314" s="11" t="str">
        <x:v>đối thoại chiến lược</x:v>
      </x:c>
      <x:c r="D314" s="11" t="str">
        <x:v>CẦN TRA — chưa xác minh mục từ</x:v>
      </x:c>
      <x:c r="E314" s="11" t="str">
        <x:v>* Mô tả chính thức</x:v>
      </x:c>
      <x:c r="F314" s="11" t="str">
        <x:v>VI</x:v>
      </x:c>
      <x:c r="G314" s="11" t="str">
        <x:v>S128</x:v>
      </x:c>
      <x:c r="H314" s="11" t="str">
        <x:v>Bộ Ngoại giao — Hội nghị lần thứ nhất Đối thoại chiến lược cấp Bộ trưởng Ngoại giao, Quốc phòng, Công an Việt Nam–Trung Quốc</x:v>
      </x:c>
      <x:c r="I314" s="30" t="str">
        <x:v>https://web.mofa.gov.vn/web/guest/tin-chi-tiet/chi-tiet/hoi-nghi-lan-thu-nhat-doi-thoai-chien-luoc-cap-bo-truong-ngoai-giao-quoc-phong-cong-an-viet-nam-trung-quoc-59104-1073.html</x:v>
      </x:c>
      <x:c r="J314" s="11" t="str">
        <x:v>Chưa xác minh định nghĩa độc lập của nguyên biểu thức/nghĩa chọn trong ngôn ngữ này. Nguồn được kiểm tra ở lượt trước, phân biệt cơ chế 3+3 với hội nghị lần thứ nhất. Không phải định nghĩa từ điển cho mọi đối thoại chiến lược.</x:v>
      </x:c>
      <x:c r="K314" s="11" t="str">
        <x:v>2026-10-28</x:v>
      </x:c>
    </x:row>
    <x:row r="315" ht="57" customHeight="1">
      <x:c r="A315" s="11" t="str">
        <x:v>T161</x:v>
      </x:c>
      <x:c r="B315" s="11" t="str">
        <x:v>KO</x:v>
      </x:c>
      <x:c r="C315" s="11" t="str">
        <x:v>전략대화</x:v>
      </x:c>
      <x:c r="D315" s="11" t="str">
        <x:v>CẦN TRA — chưa xác minh mục từ</x:v>
      </x:c>
      <x:c r="E315" s="11" t="str">
        <x:v>* Diễn giải mô tả VI</x:v>
      </x:c>
      <x:c r="F315" s="11" t="str">
        <x:v>VI</x:v>
      </x:c>
      <x:c r="G315" s="11" t="str">
        <x:v>S128</x:v>
      </x:c>
      <x:c r="H315" s="11" t="str">
        <x:v>Bộ Ngoại giao — Hội nghị lần thứ nhất Đối thoại chiến lược cấp Bộ trưởng Ngoại giao, Quốc phòng, Công an Việt Nam–Trung Quốc</x:v>
      </x:c>
      <x:c r="I315" s="30" t="str">
        <x:v>https://web.mofa.gov.vn/web/guest/tin-chi-tiet/chi-tiet/hoi-nghi-lan-thu-nhat-doi-thoai-chien-luoc-cap-bo-truong-ngoai-giao-quoc-phong-cong-an-viet-nam-trung-quoc-59104-1073.html</x:v>
      </x:c>
      <x:c r="J315" s="11" t="str">
        <x:v>Chưa xác minh định nghĩa độc lập của nguyên biểu thức/nghĩa chọn trong ngôn ngữ này. Nguồn được kiểm tra ở lượt trước, phân biệt cơ chế 3+3 với hội nghị lần thứ nhất. Không phải định nghĩa từ điển cho mọi đối thoại chiến lược.</x:v>
      </x:c>
      <x:c r="K315" s="11" t="str">
        <x:v>2026-10-28</x:v>
      </x:c>
    </x:row>
    <x:row r="316" ht="57" customHeight="1">
      <x:c r="A316" s="11" t="str">
        <x:v>T161</x:v>
      </x:c>
      <x:c r="B316" s="11" t="str">
        <x:v>Bổ sung</x:v>
      </x:c>
      <x:c r="C316" s="11" t="str">
        <x:v>đối thoại chiến lược / 전략대화</x:v>
      </x:c>
      <x:c r="D316" s="11" t="str">
        <x:v>Xem dòng VI/KO</x:v>
      </x:c>
      <x:c r="E316" s="11" t="str">
        <x:v>Căn cứ nghĩa làm việc</x:v>
      </x:c>
      <x:c r="F316" s="11" t="str">
        <x:v>VI</x:v>
      </x:c>
      <x:c r="G316" s="11" t="str">
        <x:v>S127</x:v>
      </x:c>
      <x:c r="H316" s="11" t="str">
        <x:v>Đối thoại Chiến lược Việt Nam – Anh lần thứ 8</x:v>
      </x:c>
      <x:c r="I316" s="30" t="str">
        <x:v>https://web.mofa.gov.vn/vi/web/guest/tin-chi-tiet/chi-tiet/-doi-thoai-chien-luoc-viet-nam-anh-lan-thu-8--140.html</x:v>
      </x:c>
      <x:c r="J316" s="11" t="str">
        <x:v>Nguồn dẫn trong hồ sơ cũ; không phải xác nhận đã tìm được mục từ giải nghĩa trực tiếp.</x:v>
      </x:c>
      <x:c r="K316" s="11" t="str">
        <x:v>2026-10-28</x:v>
      </x:c>
    </x:row>
    <x:row r="317" ht="57" customHeight="1">
      <x:c r="A317" s="11" t="str">
        <x:v>M009</x:v>
      </x:c>
      <x:c r="B317" s="11" t="str">
        <x:v>VI</x:v>
      </x:c>
      <x:c r="C317" s="11" t="str">
        <x:v>Hội nghị cấp cao Đông Á (EAS)</x:v>
      </x:c>
      <x:c r="D317" s="11" t="str">
        <x:v>Tên riêng: có nguồn về đối tượng</x:v>
      </x:c>
      <x:c r="E317" s="11" t="str">
        <x:v>* Diễn giải mô tả KO</x:v>
      </x:c>
      <x:c r="F317" s="11" t="str">
        <x:v>KO</x:v>
      </x:c>
      <x:c r="G317" s="11" t="str">
        <x:v>S129</x:v>
      </x:c>
      <x:c r="H317" s="11" t="str">
        <x:v>대한민국 외교부 — 제15차 동아시아정상회의 외교장관회의 참석 결과</x:v>
      </x:c>
      <x:c r="I317" s="30" t="str">
        <x:v>https://www.mofa.go.kr/www/brd/m_4080/view.do?page=26&amp;pitem=50&amp;seq=376224</x:v>
      </x:c>
      <x:c r="J317" s="11" t="str">
        <x:v>Chưa xác minh định nghĩa độc lập của nguyên biểu thức/nghĩa chọn trong ngôn ngữ này. Chú thích EAS là cơ chế tham vấn chiến lược giữa lãnh đạo ASEAN và các nước lớn, ra đời năm 2005.</x:v>
      </x:c>
      <x:c r="K317" s="11" t="str">
        <x:v>2026-10-28</x:v>
      </x:c>
    </x:row>
    <x:row r="318" ht="57" customHeight="1">
      <x:c r="A318" s="11" t="str">
        <x:v>M009</x:v>
      </x:c>
      <x:c r="B318" s="11" t="str">
        <x:v>KO</x:v>
      </x:c>
      <x:c r="C318" s="11" t="str">
        <x:v>동아시아정상회의</x:v>
      </x:c>
      <x:c r="D318" s="11" t="str">
        <x:v>Tên riêng: có nguồn về đối tượng</x:v>
      </x:c>
      <x:c r="E318" s="11" t="str">
        <x:v>* Mô tả chính thức</x:v>
      </x:c>
      <x:c r="F318" s="11" t="str">
        <x:v>KO</x:v>
      </x:c>
      <x:c r="G318" s="11" t="str">
        <x:v>S129</x:v>
      </x:c>
      <x:c r="H318" s="11" t="str">
        <x:v>대한민국 외교부 — 제15차 동아시아정상회의 외교장관회의 참석 결과</x:v>
      </x:c>
      <x:c r="I318" s="30" t="str">
        <x:v>https://www.mofa.go.kr/www/brd/m_4080/view.do?page=26&amp;pitem=50&amp;seq=376224</x:v>
      </x:c>
      <x:c r="J318" s="11" t="str">
        <x:v>Chưa xác minh định nghĩa độc lập của nguyên biểu thức/nghĩa chọn trong ngôn ngữ này. Chú thích EAS là cơ chế tham vấn chiến lược giữa lãnh đạo ASEAN và các nước lớn, ra đời năm 2005.</x:v>
      </x:c>
      <x:c r="K318" s="11" t="str">
        <x:v>2026-10-28</x:v>
      </x:c>
    </x:row>
    <x:row r="319" ht="57" customHeight="1">
      <x:c r="A319" s="11" t="str">
        <x:v>M009</x:v>
      </x:c>
      <x:c r="B319" s="11" t="str">
        <x:v>Bổ sung</x:v>
      </x:c>
      <x:c r="C319" s="11" t="str">
        <x:v>Hội nghị cấp cao Đông Á (EAS) / 동아시아정상회의</x:v>
      </x:c>
      <x:c r="D319" s="11" t="str">
        <x:v>Xem dòng VI/KO</x:v>
      </x:c>
      <x:c r="E319" s="11" t="str">
        <x:v>Căn cứ nghĩa làm việc</x:v>
      </x:c>
      <x:c r="F319" s="11" t="str">
        <x:v>VI</x:v>
      </x:c>
      <x:c r="G319" s="11" t="str">
        <x:v>S119</x:v>
      </x:c>
      <x:c r="H319" s="11" t="str">
        <x:v>Hướng tới Cộng đồng ASEAN Đoàn kết, Vững mạnh và Rộng mở</x:v>
      </x:c>
      <x:c r="I319" s="30" t="str">
        <x:v>https://web.mofa.gov.vn/web/guest/tin-chi-tiet/chi-tiet/-huong-toi-cong-dong-asean-doan-ket-vung-manh-va-rong-mo--139.html</x:v>
      </x:c>
      <x:c r="J319" s="11" t="str">
        <x:v>Nguồn dẫn trong hồ sơ cũ; không phải xác nhận đã tìm được mục từ giải nghĩa trực tiếp.</x:v>
      </x:c>
      <x:c r="K319" s="11" t="str">
        <x:v>2026-10-28</x:v>
      </x:c>
    </x:row>
    <x:row r="320" ht="57" customHeight="1">
      <x:c r="A320" s="11" t="str">
        <x:v>T143</x:v>
      </x:c>
      <x:c r="B320" s="11" t="str">
        <x:v>VI</x:v>
      </x:c>
      <x:c r="C320" s="11" t="str">
        <x:v>quan hệ ngoại giao</x:v>
      </x:c>
      <x:c r="D320" s="11" t="str">
        <x:v>CẦN TRA — chưa xác minh mục từ</x:v>
      </x:c>
      <x:c r="E320" s="11" t="str">
        <x:v>* Nghĩa làm việc; cần nguồn định nghĩa</x:v>
      </x:c>
      <x:c r="F320" s="11" t="str">
        <x:v>VI</x:v>
      </x:c>
      <x:c r="G320" s="11" t="str">
        <x:v>S106</x:v>
      </x:c>
      <x:c r="H320" s="11" t="str">
        <x:v>Tuyên bố chung Việt Nam – Hàn Quốc về quan hệ đối tác chiến lược toàn diện</x:v>
      </x:c>
      <x:c r="I320" s="30" t="str">
        <x:v>https://vpctn.gov.vn/tin-tuc-su-kien/hoat-dong-cua-chu-tich-nuoc/tuyen-bo-chung-viet-nam-han-quoc-ve-quan-he-doi-tac-chien-luoc-toan-dien.html</x:v>
      </x:c>
      <x:c r="J320" s="11" t="str">
        <x:v>Chưa xác minh định nghĩa độc lập của nguyên biểu thức/nghĩa chọn trong ngôn ngữ này. Nguồn dẫn trong hồ sơ cũ; không phải xác nhận đã tìm được mục từ giải nghĩa trực tiếp.</x:v>
      </x:c>
      <x:c r="K320" s="11" t="str">
        <x:v>2026-10-28</x:v>
      </x:c>
    </x:row>
    <x:row r="321" ht="57" customHeight="1">
      <x:c r="A321" s="11" t="str">
        <x:v>T143</x:v>
      </x:c>
      <x:c r="B321" s="11" t="str">
        <x:v>KO</x:v>
      </x:c>
      <x:c r="C321" s="11" t="str">
        <x:v>외교관계</x:v>
      </x:c>
      <x:c r="D321" s="11" t="str">
        <x:v>CẦN TRA — chưa xác minh mục từ</x:v>
      </x:c>
      <x:c r="E321" s="11" t="str">
        <x:v>* Nghĩa làm việc; cần nguồn định nghĩa</x:v>
      </x:c>
      <x:c r="F321" s="11" t="str">
        <x:v>VI</x:v>
      </x:c>
      <x:c r="G321" s="11" t="str">
        <x:v>S106</x:v>
      </x:c>
      <x:c r="H321" s="11" t="str">
        <x:v>Diễn đạt tiếng Hàn từ nghĩa làm việc; Tuyên bố chung Việt Nam – Hàn Quốc về quan hệ đối tác chiến lược toàn diện</x:v>
      </x:c>
      <x:c r="I321" s="30" t="str">
        <x:v>https://vpctn.gov.vn/tin-tuc-su-kien/hoat-dong-cua-chu-tich-nuoc/tuyen-bo-chung-viet-nam-han-quoc-ve-quan-he-doi-tac-chien-luoc-toan-dien.html</x:v>
      </x:c>
      <x:c r="J321" s="11" t="str">
        <x:v>Chưa xác minh định nghĩa độc lập của nguyên biểu thức/nghĩa chọn trong ngôn ngữ này. Nguồn dẫn trong hồ sơ cũ; không phải xác nhận đã tìm được mục từ giải nghĩa trực tiếp.</x:v>
      </x:c>
      <x:c r="K321" s="11" t="str">
        <x:v>2026-10-28</x:v>
      </x:c>
    </x:row>
    <x:row r="322" ht="57" customHeight="1">
      <x:c r="A322" s="11" t="str">
        <x:v>T001</x:v>
      </x:c>
      <x:c r="B322" s="11" t="str">
        <x:v>VI</x:v>
      </x:c>
      <x:c r="C322" s="11" t="str">
        <x:v>bầu cử</x:v>
      </x:c>
      <x:c r="D322" s="11" t="str">
        <x:v>CẦN TRA — chưa xác minh mục từ</x:v>
      </x:c>
      <x:c r="E322" s="11" t="str">
        <x:v>* Nghĩa làm việc; cần nguồn định nghĩa</x:v>
      </x:c>
      <x:c r="F322" s="11" t="str">
        <x:v>VI</x:v>
      </x:c>
      <x:c r="G322" s="11" t="str">
        <x:v>S014</x:v>
      </x:c>
      <x:c r="H322" s="11" t="str">
        <x:v>Luật Bầu cử đại biểu Quốc hội và đại biểu Hội đồng nhân dân 85/2015/QH13</x:v>
      </x:c>
      <x:c r="I322" s="30" t="str">
        <x:v>https://btllang.bqp.vn/van-ban/vbpq-do-nha-nuoc-ban-hanh/4826-luat-bau-cu-dai-bieu-quoc-hoi-va-dai-bieu-hoi-dong-nhan-dan-2015.html</x:v>
      </x:c>
      <x:c r="J322" s="11" t="str">
        <x:v>Chưa xác minh định nghĩa độc lập của nguyên biểu thức/nghĩa chọn trong ngôn ngữ này. Đối chiếu trong hồ sơ cũ;</x:v>
      </x:c>
      <x:c r="K322" s="11" t="str">
        <x:v>2026-10-28</x:v>
      </x:c>
    </x:row>
    <x:row r="323" ht="57" customHeight="1">
      <x:c r="A323" s="11" t="str">
        <x:v>T001</x:v>
      </x:c>
      <x:c r="B323" s="11" t="str">
        <x:v>KO</x:v>
      </x:c>
      <x:c r="C323" s="11" t="str">
        <x:v>선거</x:v>
      </x:c>
      <x:c r="D323" s="11" t="str">
        <x:v>Có mục từ và đã đọc nghĩa</x:v>
      </x:c>
      <x:c r="E323" s="11" t="str">
        <x:v>Mục từ có nghĩa [KO]</x:v>
      </x:c>
      <x:c r="F323" s="11" t="str">
        <x:v>KO</x:v>
      </x:c>
      <x:c r="G323" s="11" t="str">
        <x:v>S130</x:v>
      </x:c>
      <x:c r="H323" s="11" t="str">
        <x:v>국립국어원 한국어기초사전 — 선거</x:v>
      </x:c>
      <x:c r="I323" s="30" t="str">
        <x:v>https://krdict.korean.go.kr/kor/dicSearch/SearchView?ParaWordNo=16617</x:v>
      </x:c>
      <x:c r="J323" s="11" t="str">
        <x:v>Đã đọc nguồn giải nghĩa bằng ngôn ngữ này; vẫn đối chiếu nghĩa chọn và ghi chú.</x:v>
      </x:c>
      <x:c r="K323" s="11" t="str">
        <x:v>2026-10-28</x:v>
      </x:c>
    </x:row>
    <x:row r="324" ht="57" customHeight="1">
      <x:c r="A324" s="11" t="str">
        <x:v>T004</x:v>
      </x:c>
      <x:c r="B324" s="11" t="str">
        <x:v>VI</x:v>
      </x:c>
      <x:c r="C324" s="11" t="str">
        <x:v>bầu cử đại biểu Quốc hội</x:v>
      </x:c>
      <x:c r="D324" s="11" t="str">
        <x:v>CẦN TRA — chưa xác minh mục từ</x:v>
      </x:c>
      <x:c r="E324" s="11" t="str">
        <x:v>* Nghĩa làm việc; cần nguồn định nghĩa</x:v>
      </x:c>
      <x:c r="F324" s="11" t="str">
        <x:v>VI</x:v>
      </x:c>
      <x:c r="G324" s="11" t="str">
        <x:v>S014</x:v>
      </x:c>
      <x:c r="H324" s="11" t="str">
        <x:v>Luật Bầu cử đại biểu Quốc hội và đại biểu Hội đồng nhân dân 85/2015/QH13</x:v>
      </x:c>
      <x:c r="I324" s="30" t="str">
        <x:v>https://btllang.bqp.vn/van-ban/vbpq-do-nha-nuoc-ban-hanh/4826-luat-bau-cu-dai-bieu-quoc-hoi-va-dai-bieu-hoi-dong-nhan-dan-2015.html</x:v>
      </x:c>
      <x:c r="J324" s="11" t="str">
        <x:v>Chưa xác minh định nghĩa độc lập của nguyên biểu thức/nghĩa chọn trong ngôn ngữ này. Đối chiếu trong hồ sơ cũ;</x:v>
      </x:c>
      <x:c r="K324" s="11" t="str">
        <x:v>2026-10-28</x:v>
      </x:c>
    </x:row>
    <x:row r="325" ht="57" customHeight="1">
      <x:c r="A325" s="11" t="str">
        <x:v>T004</x:v>
      </x:c>
      <x:c r="B325" s="11" t="str">
        <x:v>KO</x:v>
      </x:c>
      <x:c r="C325" s="11" t="str">
        <x:v>국회 의원 선거</x:v>
      </x:c>
      <x:c r="D325" s="11" t="str">
        <x:v>CẦN TRA — chưa xác minh mục từ</x:v>
      </x:c>
      <x:c r="E325" s="11" t="str">
        <x:v>* Nghĩa làm việc; cần nguồn định nghĩa</x:v>
      </x:c>
      <x:c r="F325" s="11" t="str">
        <x:v>VI</x:v>
      </x:c>
      <x:c r="G325" s="11" t="str">
        <x:v>S014</x:v>
      </x:c>
      <x:c r="H325" s="11" t="str">
        <x:v>Diễn đạt tiếng Hàn từ nghĩa làm việc; Luật Bầu cử đại biểu Quốc hội và đại biểu Hội đồng nhân dân 85/2015/QH13</x:v>
      </x:c>
      <x:c r="I325" s="30" t="str">
        <x:v>https://btllang.bqp.vn/van-ban/vbpq-do-nha-nuoc-ban-hanh/4826-luat-bau-cu-dai-bieu-quoc-hoi-va-dai-bieu-hoi-dong-nhan-dan-2015.html</x:v>
      </x:c>
      <x:c r="J325" s="11" t="str">
        <x:v>Chưa xác minh định nghĩa độc lập của nguyên biểu thức/nghĩa chọn trong ngôn ngữ này. Đối chiếu trong hồ sơ cũ;</x:v>
      </x:c>
      <x:c r="K325" s="11" t="str">
        <x:v>2026-10-28</x:v>
      </x:c>
    </x:row>
    <x:row r="326" ht="57" customHeight="1">
      <x:c r="A326" s="11" t="str">
        <x:v>T041</x:v>
      </x:c>
      <x:c r="B326" s="11" t="str">
        <x:v>VI</x:v>
      </x:c>
      <x:c r="C326" s="11" t="str">
        <x:v>cải cách hành chính</x:v>
      </x:c>
      <x:c r="D326" s="11" t="str">
        <x:v>CẦN TRA — chưa xác minh mục từ</x:v>
      </x:c>
      <x:c r="E326" s="11" t="str">
        <x:v>* Nghĩa làm việc; cần nguồn định nghĩa</x:v>
      </x:c>
      <x:c r="F326" s="11" t="str">
        <x:v>VI</x:v>
      </x:c>
      <x:c r="G326" s="11" t="str">
        <x:v>S131</x:v>
      </x:c>
      <x:c r="H326" s="11" t="str">
        <x:v>Chương trình tổng thể cải cách hành chính Nhà nước giai đoạn 2021-2030 (Nghị quyết 76/NQ-CP)</x:v>
      </x:c>
      <x:c r="I326" s="30" t="str">
        <x:v>https://cms.baochinhphu.vn/chuong-trinh-tong-the-cai-cach-hanh-chinh-nha-nuoc-giai-doan-2021-2030-102296149.htm</x:v>
      </x:c>
      <x:c r="J326" s="11" t="str">
        <x:v>Chưa xác minh định nghĩa độc lập của nguyên biểu thức/nghĩa chọn trong ngôn ngữ này. Nguồn dẫn trong hồ sơ định nghĩa làm việc: POL_CCHC: Mục tiêu và sáu nội dung cải cách của chương trình 2021–2030</x:v>
      </x:c>
      <x:c r="K326" s="11" t="str">
        <x:v>2026-10-28</x:v>
      </x:c>
    </x:row>
    <x:row r="327" ht="57" customHeight="1">
      <x:c r="A327" s="11" t="str">
        <x:v>T041</x:v>
      </x:c>
      <x:c r="B327" s="11" t="str">
        <x:v>KO</x:v>
      </x:c>
      <x:c r="C327" s="11" t="str">
        <x:v>행정 개혁</x:v>
      </x:c>
      <x:c r="D327" s="11" t="str">
        <x:v>CẦN TRA — chưa xác minh mục từ</x:v>
      </x:c>
      <x:c r="E327" s="11" t="str">
        <x:v>* Nghĩa làm việc; cần nguồn định nghĩa</x:v>
      </x:c>
      <x:c r="F327" s="11" t="str">
        <x:v>VI</x:v>
      </x:c>
      <x:c r="G327" s="11" t="str">
        <x:v>S131</x:v>
      </x:c>
      <x:c r="H327" s="11" t="str">
        <x:v>Diễn đạt tiếng Hàn từ nghĩa làm việc; Chương trình tổng thể cải cách hành chính Nhà nước giai đoạn 2021-2030 (Nghị quyết 76/NQ-CP)</x:v>
      </x:c>
      <x:c r="I327" s="30" t="str">
        <x:v>https://cms.baochinhphu.vn/chuong-trinh-tong-the-cai-cach-hanh-chinh-nha-nuoc-giai-doan-2021-2030-102296149.htm</x:v>
      </x:c>
      <x:c r="J327" s="11" t="str">
        <x:v>Chưa xác minh định nghĩa độc lập của nguyên biểu thức/nghĩa chọn trong ngôn ngữ này. Nguồn dẫn trong hồ sơ định nghĩa làm việc: POL_CCHC: Mục tiêu và sáu nội dung cải cách của chương trình 2021–2030</x:v>
      </x:c>
      <x:c r="K327" s="11" t="str">
        <x:v>2026-10-28</x:v>
      </x:c>
    </x:row>
    <x:row r="328" ht="57" customHeight="1">
      <x:c r="A328" s="11" t="str">
        <x:v>T060</x:v>
      </x:c>
      <x:c r="B328" s="11" t="str">
        <x:v>VI</x:v>
      </x:c>
      <x:c r="C328" s="11" t="str">
        <x:v>cải cách thể chế</x:v>
      </x:c>
      <x:c r="D328" s="11" t="str">
        <x:v>CẦN TRA — chưa xác minh mục từ</x:v>
      </x:c>
      <x:c r="E328" s="11" t="str">
        <x:v>* Nghĩa làm việc; cần nguồn định nghĩa</x:v>
      </x:c>
      <x:c r="F328" s="11" t="str">
        <x:v>VI</x:v>
      </x:c>
      <x:c r="G328" s="11" t="str">
        <x:v>S131</x:v>
      </x:c>
      <x:c r="H328" s="11" t="str">
        <x:v>Chương trình tổng thể cải cách hành chính Nhà nước giai đoạn 2021-2030 (Nghị quyết 76/NQ-CP)</x:v>
      </x:c>
      <x:c r="I328" s="30" t="str">
        <x:v>https://cms.baochinhphu.vn/chuong-trinh-tong-the-cai-cach-hanh-chinh-nha-nuoc-giai-doan-2021-2030-102296149.htm</x:v>
      </x:c>
      <x:c r="J328" s="11" t="str">
        <x:v>Chưa xác minh định nghĩa độc lập của nguyên biểu thức/nghĩa chọn trong ngôn ngữ này. Nguồn dẫn trong hồ sơ định nghĩa làm việc: POL_CCHC: Mục tiêu và sáu nội dung cải cách của chương trình 2021–2030</x:v>
      </x:c>
      <x:c r="K328" s="11" t="str">
        <x:v>2026-10-28</x:v>
      </x:c>
    </x:row>
    <x:row r="329" ht="57" customHeight="1">
      <x:c r="A329" s="11" t="str">
        <x:v>T060</x:v>
      </x:c>
      <x:c r="B329" s="11" t="str">
        <x:v>KO</x:v>
      </x:c>
      <x:c r="C329" s="11" t="str">
        <x:v>제도 개혁</x:v>
      </x:c>
      <x:c r="D329" s="11" t="str">
        <x:v>CẦN TRA — chưa xác minh mục từ</x:v>
      </x:c>
      <x:c r="E329" s="11" t="str">
        <x:v>* Nghĩa làm việc; cần nguồn định nghĩa</x:v>
      </x:c>
      <x:c r="F329" s="11" t="str">
        <x:v>VI</x:v>
      </x:c>
      <x:c r="G329" s="11" t="str">
        <x:v>S131</x:v>
      </x:c>
      <x:c r="H329" s="11" t="str">
        <x:v>Diễn đạt tiếng Hàn từ nghĩa làm việc; Chương trình tổng thể cải cách hành chính Nhà nước giai đoạn 2021-2030 (Nghị quyết 76/NQ-CP)</x:v>
      </x:c>
      <x:c r="I329" s="30" t="str">
        <x:v>https://cms.baochinhphu.vn/chuong-trinh-tong-the-cai-cach-hanh-chinh-nha-nuoc-giai-doan-2021-2030-102296149.htm</x:v>
      </x:c>
      <x:c r="J329" s="11" t="str">
        <x:v>Chưa xác minh định nghĩa độc lập của nguyên biểu thức/nghĩa chọn trong ngôn ngữ này. Nguồn dẫn trong hồ sơ định nghĩa làm việc: POL_CCHC: Mục tiêu và sáu nội dung cải cách của chương trình 2021–2030</x:v>
      </x:c>
      <x:c r="K329" s="11" t="str">
        <x:v>2026-10-28</x:v>
      </x:c>
    </x:row>
    <x:row r="330" ht="57" customHeight="1">
      <x:c r="A330" s="11" t="str">
        <x:v>M047</x:v>
      </x:c>
      <x:c r="B330" s="11" t="str">
        <x:v>VI</x:v>
      </x:c>
      <x:c r="C330" s="11" t="str">
        <x:v>chào xã giao</x:v>
      </x:c>
      <x:c r="D330" s="11" t="str">
        <x:v>CẦN TRA — chưa xác minh mục từ</x:v>
      </x:c>
      <x:c r="E330" s="11" t="str">
        <x:v>* Nghĩa làm việc; cần nguồn định nghĩa</x:v>
      </x:c>
      <x:c r="F330" s="11" t="str">
        <x:v>VI</x:v>
      </x:c>
      <x:c r="G330" s="11" t="str">
        <x:v>S132</x:v>
      </x:c>
      <x:c r="H330" s="11" t="str">
        <x:v>Bộ trưởng Ngoại giao Bùi Thanh Sơn tiếp Đại sứ Cuba chào xã giao</x:v>
      </x:c>
      <x:c r="I330" s="30" t="str">
        <x:v>https://web.mofa.gov.vn/vi/web/guest/tin-chi-tiet/chi-tiet/-bo-truong-ngoai-giao-bui-thanh-son-tiep-dai-su-cuba-chao-xa-giao--139.html</x:v>
      </x:c>
      <x:c r="J330" s="11" t="str">
        <x:v>Chưa xác minh định nghĩa độc lập của nguyên biểu thức/nghĩa chọn trong ngôn ngữ này. Nguồn dẫn trong hồ sơ định nghĩa làm việc: DIP_D30: Tiêu đề; đoạn đầu</x:v>
      </x:c>
      <x:c r="K330" s="11" t="str">
        <x:v>2026-10-28</x:v>
      </x:c>
    </x:row>
    <x:row r="331" ht="57" customHeight="1">
      <x:c r="A331" s="11" t="str">
        <x:v>M047</x:v>
      </x:c>
      <x:c r="B331" s="11" t="str">
        <x:v>KO</x:v>
      </x:c>
      <x:c r="C331" s="11" t="str">
        <x:v>예방할</x:v>
      </x:c>
      <x:c r="D331" s="11" t="str">
        <x:v>CẦN TRA — chưa xác minh mục từ</x:v>
      </x:c>
      <x:c r="E331" s="11" t="str">
        <x:v>Định nghĩa chuyên ngành [KO]</x:v>
      </x:c>
      <x:c r="F331" s="11" t="str">
        <x:v>KO</x:v>
      </x:c>
      <x:c r="G331" s="11" t="str">
        <x:v>S133</x:v>
      </x:c>
      <x:c r="H331" s="11" t="str">
        <x:v>국방일보 — Giải thích cách dùng thuật ngữ đối ngoại, 16/09/2026</x:v>
      </x:c>
      <x:c r="I331" s="30" t="str">
        <x:v>https://kookbang.dema.mil.kr/newsWeb/20260916/1/ATCE_CTGR_0050020000/view.do</x:v>
      </x:c>
      <x:c r="J331" s="11" t="str">
        <x:v>Đã đọc nguồn giải nghĩa bằng ngôn ngữ này; vẫn đối chiếu nghĩa chọn và ghi chú.</x:v>
      </x:c>
      <x:c r="K331" s="11" t="str">
        <x:v>2026-10-28</x:v>
      </x:c>
    </x:row>
    <x:row r="332" ht="57" customHeight="1">
      <x:c r="A332" s="11" t="str">
        <x:v>T025</x:v>
      </x:c>
      <x:c r="B332" s="11" t="str">
        <x:v>VI</x:v>
      </x:c>
      <x:c r="C332" s="11" t="str">
        <x:v>Đại hội đại biểu toàn quốc</x:v>
      </x:c>
      <x:c r="D332" s="11" t="str">
        <x:v>CẦN TRA — chưa xác minh mục từ</x:v>
      </x:c>
      <x:c r="E332" s="11" t="str">
        <x:v>* Nghĩa làm việc; cần nguồn định nghĩa</x:v>
      </x:c>
      <x:c r="F332" s="11" t="str">
        <x:v>VI</x:v>
      </x:c>
      <x:c r="G332" s="11" t="str">
        <x:v>S021</x:v>
      </x:c>
      <x:c r="H332" s="11" t="str">
        <x:v>Điều lệ Đảng (do Đại hội đại biểu toàn quốc lần thứ XI của Đảng thông qua)</x:v>
      </x:c>
      <x:c r="I332" s="30" t="str">
        <x:v>https://tulieuvankien.dangcongsan.vn/ban-chap-hanh-trung-uong-dang/dai-hoi-dang/lan-thu-xi/dieu-le-dang-do-dai-hoi-dai-bieu-toan-quoc-lan-thu-xi-cua-dang-thong-qua-1472</x:v>
      </x:c>
      <x:c r="J332" s="11" t="str">
        <x:v>Chưa xác minh định nghĩa độc lập của nguyên biểu thức/nghĩa chọn trong ngôn ngữ này. Đối chiếu trong hồ sơ cũ;</x:v>
      </x:c>
      <x:c r="K332" s="11" t="str">
        <x:v>2026-10-28</x:v>
      </x:c>
    </x:row>
    <x:row r="333" ht="57" customHeight="1">
      <x:c r="A333" s="11" t="str">
        <x:v>T025</x:v>
      </x:c>
      <x:c r="B333" s="11" t="str">
        <x:v>KO</x:v>
      </x:c>
      <x:c r="C333" s="11" t="str">
        <x:v>전국대회</x:v>
      </x:c>
      <x:c r="D333" s="11" t="str">
        <x:v>CẦN TRA — chưa xác minh mục từ</x:v>
      </x:c>
      <x:c r="E333" s="11" t="str">
        <x:v>* Nghĩa làm việc; cần nguồn định nghĩa</x:v>
      </x:c>
      <x:c r="F333" s="11" t="str">
        <x:v>VI</x:v>
      </x:c>
      <x:c r="G333" s="11" t="str">
        <x:v>S021</x:v>
      </x:c>
      <x:c r="H333" s="11" t="str">
        <x:v>Diễn đạt tiếng Hàn từ nghĩa làm việc; Điều lệ Đảng (do Đại hội đại biểu toàn quốc lần thứ XI của Đảng thông qua)</x:v>
      </x:c>
      <x:c r="I333" s="30" t="str">
        <x:v>https://tulieuvankien.dangcongsan.vn/ban-chap-hanh-trung-uong-dang/dai-hoi-dang/lan-thu-xi/dieu-le-dang-do-dai-hoi-dai-bieu-toan-quoc-lan-thu-xi-cua-dang-thong-qua-1472</x:v>
      </x:c>
      <x:c r="J333" s="11" t="str">
        <x:v>Chưa xác minh định nghĩa độc lập của nguyên biểu thức/nghĩa chọn trong ngôn ngữ này. Đối chiếu trong hồ sơ cũ;</x:v>
      </x:c>
      <x:c r="K333" s="11" t="str">
        <x:v>2026-10-28</x:v>
      </x:c>
    </x:row>
    <x:row r="334" ht="57" customHeight="1">
      <x:c r="A334" s="11" t="str">
        <x:v>T012</x:v>
      </x:c>
      <x:c r="B334" s="11" t="str">
        <x:v>VI</x:v>
      </x:c>
      <x:c r="C334" s="11" t="str">
        <x:v>đề cử</x:v>
      </x:c>
      <x:c r="D334" s="11" t="str">
        <x:v>CẦN TRA — chưa xác minh mục từ</x:v>
      </x:c>
      <x:c r="E334" s="11" t="str">
        <x:v>* Nghĩa làm việc; cần nguồn định nghĩa</x:v>
      </x:c>
      <x:c r="F334" s="11" t="str">
        <x:v>VI</x:v>
      </x:c>
      <x:c r="G334" s="11" t="str">
        <x:v>S134</x:v>
      </x:c>
      <x:c r="H334" s="11" t="str">
        <x:v>Quy chế bầu cử trong Đảng: Đề cử và thủ tục đề cử; Quyết định 190-QĐ/TW</x:v>
      </x:c>
      <x:c r="I334" s="30" t="str">
        <x:v>https://xaydungchinhsach.chinhphu.vn/quy-che-bau-cu-trong-dang-de-cu-va-thu-tuc-de-cu-11924102214425572.htm</x:v>
      </x:c>
      <x:c r="J334" s="11" t="str">
        <x:v>Chưa xác minh định nghĩa độc lập của nguyên biểu thức/nghĩa chọn trong ngôn ngữ này. Nguồn dẫn trong hồ sơ định nghĩa làm việc: POL_DECU: Mục Đề cử và thủ tục đề cử, các điểm a–g</x:v>
      </x:c>
      <x:c r="K334" s="11" t="str">
        <x:v>2026-10-28</x:v>
      </x:c>
    </x:row>
    <x:row r="335" ht="57" customHeight="1">
      <x:c r="A335" s="11" t="str">
        <x:v>T012</x:v>
      </x:c>
      <x:c r="B335" s="11" t="str">
        <x:v>KO</x:v>
      </x:c>
      <x:c r="C335" s="11" t="str">
        <x:v>지명한</x:v>
      </x:c>
      <x:c r="D335" s="11" t="str">
        <x:v>CẦN TRA — chưa xác minh mục từ</x:v>
      </x:c>
      <x:c r="E335" s="11" t="str">
        <x:v>* Nghĩa làm việc; cần nguồn định nghĩa</x:v>
      </x:c>
      <x:c r="F335" s="11" t="str">
        <x:v>VI</x:v>
      </x:c>
      <x:c r="G335" s="11" t="str">
        <x:v>S134</x:v>
      </x:c>
      <x:c r="H335" s="11" t="str">
        <x:v>Diễn đạt tiếng Hàn từ nghĩa làm việc; Quy chế bầu cử trong Đảng: Đề cử và thủ tục đề cử; Quyết định 190-QĐ/TW</x:v>
      </x:c>
      <x:c r="I335" s="30" t="str">
        <x:v>https://xaydungchinhsach.chinhphu.vn/quy-che-bau-cu-trong-dang-de-cu-va-thu-tuc-de-cu-11924102214425572.htm</x:v>
      </x:c>
      <x:c r="J335" s="11" t="str">
        <x:v>Chưa xác minh định nghĩa độc lập của nguyên biểu thức/nghĩa chọn trong ngôn ngữ này. Nguồn dẫn trong hồ sơ định nghĩa làm việc: POL_DECU: Mục Đề cử và thủ tục đề cử, các điểm a–g</x:v>
      </x:c>
      <x:c r="K335" s="11" t="str">
        <x:v>2026-10-28</x:v>
      </x:c>
    </x:row>
    <x:row r="336" ht="57" customHeight="1">
      <x:c r="A336" s="11" t="str">
        <x:v>T153</x:v>
      </x:c>
      <x:c r="B336" s="11" t="str">
        <x:v>VI</x:v>
      </x:c>
      <x:c r="C336" s="11" t="str">
        <x:v>điện đàm</x:v>
      </x:c>
      <x:c r="D336" s="11" t="str">
        <x:v>CẦN TRA — chưa xác minh mục từ</x:v>
      </x:c>
      <x:c r="E336" s="11" t="str">
        <x:v>* Nghĩa làm việc; cần nguồn định nghĩa</x:v>
      </x:c>
      <x:c r="F336" s="11" t="str">
        <x:v>VI</x:v>
      </x:c>
      <x:c r="G336" s="11" t="str">
        <x:v>S135</x:v>
      </x:c>
      <x:c r="H336" s="11" t="str">
        <x:v>Phó Thủ tướng Chính phủ, Bộ trưởng Ngoại giao Bùi Thanh Sơn điện đàm với Bộ trưởng Ngoại giao Hàn Quốc Cho Hyun</x:v>
      </x:c>
      <x:c r="I336" s="30" t="str">
        <x:v>https://web.mofa.gov.vn/web/guest/tin-chi-tiet/chi-tiet/pho-thu-tuong-chinh-phu-bo-truong-ngoai-giao-bui-thanh-son-dien-dam-voi-bo-truong-ngoai-giao-han-quoc-cho-hyun-57358-139.html</x:v>
      </x:c>
      <x:c r="J336" s="11" t="str">
        <x:v>Chưa xác minh định nghĩa độc lập của nguyên biểu thức/nghĩa chọn trong ngôn ngữ này. Nguồn dẫn trong hồ sơ định nghĩa làm việc: DIP_D31: Tiêu đề; đoạn mở đầu
S09: trang in 87/PDF 87</x:v>
      </x:c>
      <x:c r="K336" s="11" t="str">
        <x:v>2026-10-28</x:v>
      </x:c>
    </x:row>
    <x:row r="337" ht="57" customHeight="1">
      <x:c r="A337" s="11" t="str">
        <x:v>T153</x:v>
      </x:c>
      <x:c r="B337" s="11" t="str">
        <x:v>KO</x:v>
      </x:c>
      <x:c r="C337" s="11" t="str">
        <x:v>전화 회담</x:v>
      </x:c>
      <x:c r="D337" s="11" t="str">
        <x:v>CẦN TRA — chưa xác minh mục từ</x:v>
      </x:c>
      <x:c r="E337" s="11" t="str">
        <x:v>* Nghĩa làm việc; cần nguồn định nghĩa</x:v>
      </x:c>
      <x:c r="F337" s="11" t="str">
        <x:v>VI</x:v>
      </x:c>
      <x:c r="G337" s="11" t="str">
        <x:v>S135</x:v>
      </x:c>
      <x:c r="H337" s="11" t="str">
        <x:v>Diễn đạt tiếng Hàn từ nghĩa làm việc; Phó Thủ tướng Chính phủ, Bộ trưởng Ngoại giao Bùi Thanh Sơn điện đàm với Bộ trưởng Ngoại giao Hàn Quốc Cho Hyun</x:v>
      </x:c>
      <x:c r="I337" s="30" t="str">
        <x:v>https://web.mofa.gov.vn/web/guest/tin-chi-tiet/chi-tiet/pho-thu-tuong-chinh-phu-bo-truong-ngoai-giao-bui-thanh-son-dien-dam-voi-bo-truong-ngoai-giao-han-quoc-cho-hyun-57358-139.html</x:v>
      </x:c>
      <x:c r="J337" s="11" t="str">
        <x:v>Chưa xác minh định nghĩa độc lập của nguyên biểu thức/nghĩa chọn trong ngôn ngữ này. Nguồn dẫn trong hồ sơ định nghĩa làm việc: DIP_D31: Tiêu đề; đoạn mở đầu
S09: trang in 87/PDF 87</x:v>
      </x:c>
      <x:c r="K337" s="11" t="str">
        <x:v>2026-10-28</x:v>
      </x:c>
    </x:row>
    <x:row r="338" ht="57" customHeight="1">
      <x:c r="A338" s="11" t="str">
        <x:v>T016</x:v>
      </x:c>
      <x:c r="B338" s="11" t="str">
        <x:v>VI</x:v>
      </x:c>
      <x:c r="C338" s="11" t="str">
        <x:v>Đổi mới</x:v>
      </x:c>
      <x:c r="D338" s="11" t="str">
        <x:v>CẦN TRA — chưa xác minh mục từ</x:v>
      </x:c>
      <x:c r="E338" s="11" t="str">
        <x:v>* Nghĩa làm việc; cần nguồn định nghĩa</x:v>
      </x:c>
      <x:c r="F338" s="11" t="str">
        <x:v>VI</x:v>
      </x:c>
      <x:c r="G338" s="11" t="str">
        <x:v>S136</x:v>
      </x:c>
      <x:c r="H338" s="11" t="str">
        <x:v>Phát triển hài hòa giữa kinh tế và xã hội ở Việt Nam qua 20 năm đổi mới</x:v>
      </x:c>
      <x:c r="I338" s="30" t="str">
        <x:v>https://tulieuvankien.dangcongsan.vn/van-kien-tu-lieu-ve-dang/gioi-thieu-van-kien-dang/phat-trien-hai-hoa-giua-kinh-te-va-xa-hoi-o-viet-nam-qua-20-nam-doi-moi-925</x:v>
      </x:c>
      <x:c r="J338" s="11" t="str">
        <x:v>Chưa xác minh định nghĩa độc lập của nguyên biểu thức/nghĩa chọn trong ngôn ngữ này. Nguồn dẫn trong hồ sơ định nghĩa làm việc: POL_DM: Đoạn đường lối đổi mới toàn diện bắt đầu Đại hội VI (1986)</x:v>
      </x:c>
      <x:c r="K338" s="11" t="str">
        <x:v>2026-10-28</x:v>
      </x:c>
    </x:row>
    <x:row r="339" ht="57" customHeight="1">
      <x:c r="A339" s="11" t="str">
        <x:v>T016</x:v>
      </x:c>
      <x:c r="B339" s="11" t="str">
        <x:v>KO</x:v>
      </x:c>
      <x:c r="C339" s="11" t="str">
        <x:v>도이머이(혁신)</x:v>
      </x:c>
      <x:c r="D339" s="11" t="str">
        <x:v>CẦN TRA — chưa xác minh mục từ</x:v>
      </x:c>
      <x:c r="E339" s="11" t="str">
        <x:v>* Nghĩa làm việc; cần nguồn định nghĩa</x:v>
      </x:c>
      <x:c r="F339" s="11" t="str">
        <x:v>VI</x:v>
      </x:c>
      <x:c r="G339" s="11" t="str">
        <x:v>S136</x:v>
      </x:c>
      <x:c r="H339" s="11" t="str">
        <x:v>Diễn đạt tiếng Hàn từ nghĩa làm việc; Phát triển hài hòa giữa kinh tế và xã hội ở Việt Nam qua 20 năm đổi mới</x:v>
      </x:c>
      <x:c r="I339" s="30" t="str">
        <x:v>https://tulieuvankien.dangcongsan.vn/van-kien-tu-lieu-ve-dang/gioi-thieu-van-kien-dang/phat-trien-hai-hoa-giua-kinh-te-va-xa-hoi-o-viet-nam-qua-20-nam-doi-moi-925</x:v>
      </x:c>
      <x:c r="J339" s="11" t="str">
        <x:v>Chưa xác minh định nghĩa độc lập của nguyên biểu thức/nghĩa chọn trong ngôn ngữ này. Nguồn dẫn trong hồ sơ định nghĩa làm việc: POL_DM: Đoạn đường lối đổi mới toàn diện bắt đầu Đại hội VI (1986)</x:v>
      </x:c>
      <x:c r="K339" s="11" t="str">
        <x:v>2026-10-28</x:v>
      </x:c>
    </x:row>
    <x:row r="340" ht="57" customHeight="1">
      <x:c r="A340" s="11" t="str">
        <x:v>T160</x:v>
      </x:c>
      <x:c r="B340" s="11" t="str">
        <x:v>VI</x:v>
      </x:c>
      <x:c r="C340" s="11" t="str">
        <x:v>đối ngoại quốc phòng</x:v>
      </x:c>
      <x:c r="D340" s="11" t="str">
        <x:v>CẦN TRA — chưa xác minh mục từ</x:v>
      </x:c>
      <x:c r="E340" s="11" t="str">
        <x:v>* Nghĩa làm việc; cần nguồn định nghĩa</x:v>
      </x:c>
      <x:c r="F340" s="11" t="str">
        <x:v>VI</x:v>
      </x:c>
      <x:c r="G340" s="11" t="str">
        <x:v>S137</x:v>
      </x:c>
      <x:c r="H340" s="11" t="str">
        <x:v>Một số định hướng lớn về công tác đối ngoại quốc phòng năm 2025</x:v>
      </x:c>
      <x:c r="I340" s="30" t="str">
        <x:v>https://www.mod.gov.vn/home/detail?current=true&amp;urile=wcm%3Apath%3A%2Fmod%2Fsa-mod-site%2Fsa-qlcddh%2Fsa-qlcddh-cddh%2Fmot-so-dinh-huong-lon-ve-cong-tac-doi-ngoai-quoc-phong-nam-2025</x:v>
      </x:c>
      <x:c r="J340" s="11" t="str">
        <x:v>Chưa xác minh định nghĩa độc lập của nguyên biểu thức/nghĩa chọn trong ngôn ngữ này. Nguồn dẫn trong hồ sơ định nghĩa làm việc: DIP_D24: Định hướng triển khai hợp tác với đối tác</x:v>
      </x:c>
      <x:c r="K340" s="11" t="str">
        <x:v>2026-10-28</x:v>
      </x:c>
    </x:row>
    <x:row r="341" ht="57" customHeight="1">
      <x:c r="A341" s="11" t="str">
        <x:v>T160</x:v>
      </x:c>
      <x:c r="B341" s="11" t="str">
        <x:v>KO</x:v>
      </x:c>
      <x:c r="C341" s="11" t="str">
        <x:v>국방 외교</x:v>
      </x:c>
      <x:c r="D341" s="11" t="str">
        <x:v>CẦN TRA — chưa xác minh mục từ</x:v>
      </x:c>
      <x:c r="E341" s="11" t="str">
        <x:v>* Nghĩa làm việc; cần nguồn định nghĩa</x:v>
      </x:c>
      <x:c r="F341" s="11" t="str">
        <x:v>VI</x:v>
      </x:c>
      <x:c r="G341" s="11" t="str">
        <x:v>S137</x:v>
      </x:c>
      <x:c r="H341" s="11" t="str">
        <x:v>Diễn đạt tiếng Hàn từ nghĩa làm việc; Một số định hướng lớn về công tác đối ngoại quốc phòng năm 2025</x:v>
      </x:c>
      <x:c r="I341" s="30" t="str">
        <x:v>https://www.mod.gov.vn/home/detail?current=true&amp;urile=wcm%3Apath%3A%2Fmod%2Fsa-mod-site%2Fsa-qlcddh%2Fsa-qlcddh-cddh%2Fmot-so-dinh-huong-lon-ve-cong-tac-doi-ngoai-quoc-phong-nam-2025</x:v>
      </x:c>
      <x:c r="J341" s="11" t="str">
        <x:v>Chưa xác minh định nghĩa độc lập của nguyên biểu thức/nghĩa chọn trong ngôn ngữ này. Nguồn dẫn trong hồ sơ định nghĩa làm việc: DIP_D24: Định hướng triển khai hợp tác với đối tác</x:v>
      </x:c>
      <x:c r="K341" s="11" t="str">
        <x:v>2026-10-28</x:v>
      </x:c>
    </x:row>
    <x:row r="342" ht="72" customHeight="1">
      <x:c r="A342" s="11" t="str">
        <x:v>T165</x:v>
      </x:c>
      <x:c r="B342" s="11" t="str">
        <x:v>VI</x:v>
      </x:c>
      <x:c r="C342" s="11" t="str">
        <x:v>đối thoại chính sách</x:v>
      </x:c>
      <x:c r="D342" s="11" t="str">
        <x:v>CẦN TRA — chưa xác minh mục từ</x:v>
      </x:c>
      <x:c r="E342" s="11" t="str">
        <x:v>* Nghĩa làm việc; cần nguồn định nghĩa</x:v>
      </x:c>
      <x:c r="F342" s="11" t="str">
        <x:v>VI</x:v>
      </x:c>
      <x:c r="G342" s="11" t="str">
        <x:v>S138</x:v>
      </x:c>
      <x:c r="H342" s="11" t="str">
        <x:v>Quyền Bộ trưởng Ngoại giao Lê Hoài Trung tham dự Bàn tròn Đối thoại Chính sách tại Đại học Columbia, Hoa Kỳ</x:v>
      </x:c>
      <x:c r="I342" s="30" t="str">
        <x:v>https://vnembassy-singapore.mofa.gov.vn/vi/web/guest/tin-chi-tiet/chi-tiet/quyen-bo-truong-ngoai-giao-le-hoai-trung-tham-du-ban-tron-doi-thoai-chinh-sach-tai-dai-hoc-columbia-hoa-ky-57584-1073.html</x:v>
      </x:c>
      <x:c r="J342" s="11" t="str">
        <x:v>Chưa xác minh định nghĩa độc lập của nguyên biểu thức/nghĩa chọn trong ngôn ngữ này. Nguồn dẫn trong hồ sơ định nghĩa làm việc: DIP_D40: Tên sự kiện; đoạn các giáo sư đưa khuyến nghị và phát biểu của Quyền Bộ trưởng
DIP_D41: Đoạn mở đầu, thành phần dự và nội dung hợp tác ASEM</x:v>
      </x:c>
      <x:c r="K342" s="11" t="str">
        <x:v>2026-10-28</x:v>
      </x:c>
    </x:row>
    <x:row r="343" ht="72" customHeight="1">
      <x:c r="A343" s="11" t="str">
        <x:v>T165</x:v>
      </x:c>
      <x:c r="B343" s="11" t="str">
        <x:v>KO</x:v>
      </x:c>
      <x:c r="C343" s="11" t="str">
        <x:v>정책 대화</x:v>
      </x:c>
      <x:c r="D343" s="11" t="str">
        <x:v>CẦN TRA — chưa xác minh mục từ</x:v>
      </x:c>
      <x:c r="E343" s="11" t="str">
        <x:v>* Nghĩa làm việc; cần nguồn định nghĩa</x:v>
      </x:c>
      <x:c r="F343" s="11" t="str">
        <x:v>VI</x:v>
      </x:c>
      <x:c r="G343" s="11" t="str">
        <x:v>S138</x:v>
      </x:c>
      <x:c r="H343" s="11" t="str">
        <x:v>Diễn đạt tiếng Hàn từ nghĩa làm việc; Quyền Bộ trưởng Ngoại giao Lê Hoài Trung tham dự Bàn tròn Đối thoại Chính sách tại Đại học Columbia, Hoa Kỳ</x:v>
      </x:c>
      <x:c r="I343" s="30" t="str">
        <x:v>https://vnembassy-singapore.mofa.gov.vn/vi/web/guest/tin-chi-tiet/chi-tiet/quyen-bo-truong-ngoai-giao-le-hoai-trung-tham-du-ban-tron-doi-thoai-chinh-sach-tai-dai-hoc-columbia-hoa-ky-57584-1073.html</x:v>
      </x:c>
      <x:c r="J343" s="11" t="str">
        <x:v>Chưa xác minh định nghĩa độc lập của nguyên biểu thức/nghĩa chọn trong ngôn ngữ này. Nguồn dẫn trong hồ sơ định nghĩa làm việc: DIP_D40: Tên sự kiện; đoạn các giáo sư đưa khuyến nghị và phát biểu của Quyền Bộ trưởng
DIP_D41: Đoạn mở đầu, thành phần dự và nội dung hợp tác ASEM</x:v>
      </x:c>
      <x:c r="K343" s="11" t="str">
        <x:v>2026-10-28</x:v>
      </x:c>
    </x:row>
    <x:row r="344" ht="57" customHeight="1">
      <x:c r="A344" s="11" t="str">
        <x:v>T165</x:v>
      </x:c>
      <x:c r="B344" s="11" t="str">
        <x:v>Bổ sung</x:v>
      </x:c>
      <x:c r="C344" s="11" t="str">
        <x:v>đối thoại chính sách / 정책 대화</x:v>
      </x:c>
      <x:c r="D344" s="11" t="str">
        <x:v>Xem dòng VI/KO</x:v>
      </x:c>
      <x:c r="E344" s="11" t="str">
        <x:v>Căn cứ nghĩa làm việc</x:v>
      </x:c>
      <x:c r="F344" s="11" t="str">
        <x:v>VI</x:v>
      </x:c>
      <x:c r="G344" s="11" t="str">
        <x:v>S139</x:v>
      </x:c>
      <x:c r="H344" s="11" t="str">
        <x:v>Bộ trưởng Ngoại giao Bùi Thanh Sơn chủ trì Đối thoại chính sách cao cấp ASEM</x:v>
      </x:c>
      <x:c r="I344" s="30" t="str">
        <x:v>https://web.mofa.gov.vn/vi/web/guest/tin-chi-tiet/chi-tiet/-bo-truong-ngoai-giao-bui-thanh-son-chu-tri-doi-thoai-chinh-sach-cao-cap-asem--139.html</x:v>
      </x:c>
      <x:c r="J344" s="11" t="str">
        <x:v>Nguồn dẫn trong hồ sơ định nghĩa làm việc: DIP_D40: Tên sự kiện; đoạn các giáo sư đưa khuyến nghị và phát biểu của Quyền Bộ trưởng
DIP_D41: Đoạn mở đầu, thành phần dự và nội dung hợp tác ASEM</x:v>
      </x:c>
      <x:c r="K344" s="11" t="str">
        <x:v>2026-10-28</x:v>
      </x:c>
    </x:row>
    <x:row r="345" ht="57" customHeight="1">
      <x:c r="A345" s="11" t="str">
        <x:v>T040</x:v>
      </x:c>
      <x:c r="B345" s="11" t="str">
        <x:v>VI</x:v>
      </x:c>
      <x:c r="C345" s="11" t="str">
        <x:v>giải phóng dân tộc</x:v>
      </x:c>
      <x:c r="D345" s="11" t="str">
        <x:v>CẦN TRA — chưa xác minh mục từ</x:v>
      </x:c>
      <x:c r="E345" s="11" t="str">
        <x:v>* Nghĩa làm việc; cần nguồn định nghĩa</x:v>
      </x:c>
      <x:c r="F345" s="11" t="str">
        <x:v>VI</x:v>
      </x:c>
      <x:c r="G345" s="11" t="str">
        <x:v>S100</x:v>
      </x:c>
      <x:c r="H345" s="11" t="str">
        <x:v>Cương lĩnh xây dựng đất nước trong thời kỳ quá độ lên chủ nghĩa xã hội (Bổ sung, phát triển năm 2011)</x:v>
      </x:c>
      <x:c r="I345" s="30" t="str">
        <x:v>https://tulieuvankien.dangcongsan.vn/ban-chap-hanh-trung-uong-dang/dai-hoi-dang/lan-thu-xi/cuong-linh-xay-dung-dat-nuoc-trong-thoi-ky-qua-do-len-chu-nghia-xa-hoi-bo-sung-phat-trien-nam-2011-1528</x:v>
      </x:c>
      <x:c r="J345" s="11" t="str">
        <x:v>Chưa xác minh định nghĩa độc lập của nguyên biểu thức/nghĩa chọn trong ngôn ngữ này. Nguồn dẫn trong hồ sơ cũ; không phải xác nhận đã tìm được mục từ giải nghĩa trực tiếp.</x:v>
      </x:c>
      <x:c r="K345" s="11" t="str">
        <x:v>2026-10-28</x:v>
      </x:c>
    </x:row>
    <x:row r="346" ht="57" customHeight="1">
      <x:c r="A346" s="11" t="str">
        <x:v>T040</x:v>
      </x:c>
      <x:c r="B346" s="11" t="str">
        <x:v>KO</x:v>
      </x:c>
      <x:c r="C346" s="11" t="str">
        <x:v>민족 해방</x:v>
      </x:c>
      <x:c r="D346" s="11" t="str">
        <x:v>CẦN TRA — chưa xác minh mục từ</x:v>
      </x:c>
      <x:c r="E346" s="11" t="str">
        <x:v>* Nghĩa làm việc; cần nguồn định nghĩa</x:v>
      </x:c>
      <x:c r="F346" s="11" t="str">
        <x:v>VI</x:v>
      </x:c>
      <x:c r="G346" s="11" t="str">
        <x:v>S100</x:v>
      </x:c>
      <x:c r="H346" s="11" t="str">
        <x:v>Diễn đạt tiếng Hàn từ nghĩa làm việc; Cương lĩnh xây dựng đất nước trong thời kỳ quá độ lên chủ nghĩa xã hội (Bổ sung, phát triển năm 2011)</x:v>
      </x:c>
      <x:c r="I346" s="30" t="str">
        <x:v>https://tulieuvankien.dangcongsan.vn/ban-chap-hanh-trung-uong-dang/dai-hoi-dang/lan-thu-xi/cuong-linh-xay-dung-dat-nuoc-trong-thoi-ky-qua-do-len-chu-nghia-xa-hoi-bo-sung-phat-trien-nam-2011-1528</x:v>
      </x:c>
      <x:c r="J346" s="11" t="str">
        <x:v>Chưa xác minh định nghĩa độc lập của nguyên biểu thức/nghĩa chọn trong ngôn ngữ này. Nguồn dẫn trong hồ sơ cũ; không phải xác nhận đã tìm được mục từ giải nghĩa trực tiếp.</x:v>
      </x:c>
      <x:c r="K346" s="11" t="str">
        <x:v>2026-10-28</x:v>
      </x:c>
    </x:row>
    <x:row r="347" ht="57" customHeight="1">
      <x:c r="A347" s="11" t="str">
        <x:v>T010</x:v>
      </x:c>
      <x:c r="B347" s="11" t="str">
        <x:v>VI</x:v>
      </x:c>
      <x:c r="C347" s="11" t="str">
        <x:v>giám sát tối cao</x:v>
      </x:c>
      <x:c r="D347" s="11" t="str">
        <x:v>CẦN TRA — chưa xác minh mục từ</x:v>
      </x:c>
      <x:c r="E347" s="11" t="str">
        <x:v>* Nghĩa làm việc; cần nguồn định nghĩa</x:v>
      </x:c>
      <x:c r="F347" s="11" t="str">
        <x:v>VI</x:v>
      </x:c>
      <x:c r="G347" s="11" t="str">
        <x:v>S140</x:v>
      </x:c>
      <x:c r="H347" s="11" t="str">
        <x:v>Luật 87/2015/QH13; Công báo số 1239 + 1240 ngày 28-12-2015</x:v>
      </x:c>
      <x:c r="I347" s="30" t="str">
        <x:v>https://thongtinphapluat.bacgiang.gov.vn/documents/249229/997340/1504138623219_104164111484_VanBanGoc_87.2015.QH13.pdf/80225c29-d1d6-4074-a010-f966d98cead7</x:v>
      </x:c>
      <x:c r="J347" s="11" t="str">
        <x:v>Chưa xác minh định nghĩa độc lập của nguyên biểu thức/nghĩa chọn trong ngôn ngữ này. Nguồn dẫn trong hồ sơ định nghĩa làm việc: POL_GS_PDF: Điều 2 khoản 3</x:v>
      </x:c>
      <x:c r="K347" s="11" t="str">
        <x:v>2026-10-28</x:v>
      </x:c>
    </x:row>
    <x:row r="348" ht="57" customHeight="1">
      <x:c r="A348" s="11" t="str">
        <x:v>T010</x:v>
      </x:c>
      <x:c r="B348" s="11" t="str">
        <x:v>KO</x:v>
      </x:c>
      <x:c r="C348" s="11" t="str">
        <x:v>최고 감독</x:v>
      </x:c>
      <x:c r="D348" s="11" t="str">
        <x:v>CẦN TRA — chưa xác minh mục từ</x:v>
      </x:c>
      <x:c r="E348" s="11" t="str">
        <x:v>* Nghĩa làm việc; cần nguồn định nghĩa</x:v>
      </x:c>
      <x:c r="F348" s="11" t="str">
        <x:v>VI</x:v>
      </x:c>
      <x:c r="G348" s="11" t="str">
        <x:v>S140</x:v>
      </x:c>
      <x:c r="H348" s="11" t="str">
        <x:v>Diễn đạt tiếng Hàn từ nghĩa làm việc; Luật 87/2015/QH13; Công báo số 1239 + 1240 ngày 28-12-2015</x:v>
      </x:c>
      <x:c r="I348" s="30" t="str">
        <x:v>https://thongtinphapluat.bacgiang.gov.vn/documents/249229/997340/1504138623219_104164111484_VanBanGoc_87.2015.QH13.pdf/80225c29-d1d6-4074-a010-f966d98cead7</x:v>
      </x:c>
      <x:c r="J348" s="11" t="str">
        <x:v>Chưa xác minh định nghĩa độc lập của nguyên biểu thức/nghĩa chọn trong ngôn ngữ này. Nguồn dẫn trong hồ sơ định nghĩa làm việc: POL_GS_PDF: Điều 2 khoản 3</x:v>
      </x:c>
      <x:c r="K348" s="11" t="str">
        <x:v>2026-10-28</x:v>
      </x:c>
    </x:row>
    <x:row r="349" ht="72" customHeight="1">
      <x:c r="A349" s="11" t="str">
        <x:v>T141</x:v>
      </x:c>
      <x:c r="B349" s="11" t="str">
        <x:v>VI</x:v>
      </x:c>
      <x:c r="C349" s="11" t="str">
        <x:v>hội đàm</x:v>
      </x:c>
      <x:c r="D349" s="11" t="str">
        <x:v>CẦN TRA — chưa xác minh mục từ</x:v>
      </x:c>
      <x:c r="E349" s="11" t="str">
        <x:v>* Nghĩa làm việc; cần nguồn định nghĩa</x:v>
      </x:c>
      <x:c r="F349" s="11" t="str">
        <x:v>VI</x:v>
      </x:c>
      <x:c r="G349" s="11" t="str">
        <x:v>S141</x:v>
      </x:c>
      <x:c r="H349" s="11" t="str">
        <x:v>Nghị định 18/2022/NĐ-CP về Nghi lễ đối ngoại</x:v>
      </x:c>
      <x:c r="I349" s="30" t="str">
        <x:v>https://vbpl.vn/bongoaigiao/Pages/vbpq-toanvan.aspx?ItemID=154119&amp;dvid=211</x:v>
      </x:c>
      <x:c r="J349" s="11" t="str">
        <x:v>Chưa xác minh định nghĩa độc lập của nguyên biểu thức/nghĩa chọn trong ngôn ngữ này. Nguồn dẫn trong hồ sơ định nghĩa làm việc: DIP_D01: Điều 3 khoản 7; Điều 6 khoản 3
S09: trang in 88/PDF 88</x:v>
      </x:c>
      <x:c r="K349" s="11" t="str">
        <x:v>2026-10-28</x:v>
      </x:c>
    </x:row>
    <x:row r="350" ht="72" customHeight="1">
      <x:c r="A350" s="11" t="str">
        <x:v>T141</x:v>
      </x:c>
      <x:c r="B350" s="11" t="str">
        <x:v>KO</x:v>
      </x:c>
      <x:c r="C350" s="11" t="str">
        <x:v>회담</x:v>
      </x:c>
      <x:c r="D350" s="11" t="str">
        <x:v>CẦN TRA — chưa xác minh mục từ</x:v>
      </x:c>
      <x:c r="E350" s="11" t="str">
        <x:v>* Nghĩa làm việc; cần nguồn định nghĩa</x:v>
      </x:c>
      <x:c r="F350" s="11" t="str">
        <x:v>VI</x:v>
      </x:c>
      <x:c r="G350" s="11" t="str">
        <x:v>S141</x:v>
      </x:c>
      <x:c r="H350" s="11" t="str">
        <x:v>Diễn đạt tiếng Hàn từ nghĩa làm việc; Nghị định 18/2022/NĐ-CP về Nghi lễ đối ngoại</x:v>
      </x:c>
      <x:c r="I350" s="30" t="str">
        <x:v>https://vbpl.vn/bongoaigiao/Pages/vbpq-toanvan.aspx?ItemID=154119&amp;dvid=211</x:v>
      </x:c>
      <x:c r="J350" s="11" t="str">
        <x:v>Chưa xác minh định nghĩa độc lập của nguyên biểu thức/nghĩa chọn trong ngôn ngữ này. Nguồn dẫn trong hồ sơ định nghĩa làm việc: DIP_D01: Điều 3 khoản 7; Điều 6 khoản 3
S09: trang in 88/PDF 88</x:v>
      </x:c>
      <x:c r="K350" s="11" t="str">
        <x:v>2026-10-28</x:v>
      </x:c>
    </x:row>
    <x:row r="351" ht="72" customHeight="1">
      <x:c r="A351" s="11" t="str">
        <x:v>T148</x:v>
      </x:c>
      <x:c r="B351" s="11" t="str">
        <x:v>VI</x:v>
      </x:c>
      <x:c r="C351" s="11" t="str">
        <x:v>hội nghị cấp cao</x:v>
      </x:c>
      <x:c r="D351" s="11" t="str">
        <x:v>CẦN TRA — chưa xác minh mục từ</x:v>
      </x:c>
      <x:c r="E351" s="11" t="str">
        <x:v>* Nghĩa làm việc; cần nguồn định nghĩa</x:v>
      </x:c>
      <x:c r="F351" s="11" t="str">
        <x:v>VI</x:v>
      </x:c>
      <x:c r="G351" s="11" t="str">
        <x:v>S142</x:v>
      </x:c>
      <x:c r="H351" s="11" t="str">
        <x:v>Thông tin cơ bản về cộng đồng Pháp ngữ và quan hệ với Việt Nam</x:v>
      </x:c>
      <x:c r="I351" s="30" t="str">
        <x:v>https://new.mofa.gov.vn/tin-chi-tiet/chi-tiet/thong-tin-co-ban-ve-cong-dong-phap-ngu-va-quan-he-voi-viet-nam-257.html</x:v>
      </x:c>
      <x:c r="J351" s="11" t="str">
        <x:v>Chưa xác minh định nghĩa độc lập của nguyên biểu thức/nghĩa chọn trong ngôn ngữ này. Nguồn dẫn trong hồ sơ định nghĩa làm việc: DIP_D45: II.1.a Hội nghị cấp cao (Sommet)
DIP_D47: Đoạn mở đầu mô tả Hội nghị cấp cao về hành động khí hậu</x:v>
      </x:c>
      <x:c r="K351" s="11" t="str">
        <x:v>2026-10-28</x:v>
      </x:c>
    </x:row>
    <x:row r="352" ht="72" customHeight="1">
      <x:c r="A352" s="11" t="str">
        <x:v>T148</x:v>
      </x:c>
      <x:c r="B352" s="11" t="str">
        <x:v>KO</x:v>
      </x:c>
      <x:c r="C352" s="11" t="str">
        <x:v>정상회의</x:v>
      </x:c>
      <x:c r="D352" s="11" t="str">
        <x:v>CẦN TRA — chưa xác minh mục từ</x:v>
      </x:c>
      <x:c r="E352" s="11" t="str">
        <x:v>* Nghĩa làm việc; cần nguồn định nghĩa</x:v>
      </x:c>
      <x:c r="F352" s="11" t="str">
        <x:v>VI</x:v>
      </x:c>
      <x:c r="G352" s="11" t="str">
        <x:v>S142</x:v>
      </x:c>
      <x:c r="H352" s="11" t="str">
        <x:v>Diễn đạt tiếng Hàn từ nghĩa làm việc; Thông tin cơ bản về cộng đồng Pháp ngữ và quan hệ với Việt Nam</x:v>
      </x:c>
      <x:c r="I352" s="30" t="str">
        <x:v>https://new.mofa.gov.vn/tin-chi-tiet/chi-tiet/thong-tin-co-ban-ve-cong-dong-phap-ngu-va-quan-he-voi-viet-nam-257.html</x:v>
      </x:c>
      <x:c r="J352" s="11" t="str">
        <x:v>Chưa xác minh định nghĩa độc lập của nguyên biểu thức/nghĩa chọn trong ngôn ngữ này. Nguồn dẫn trong hồ sơ định nghĩa làm việc: DIP_D45: II.1.a Hội nghị cấp cao (Sommet)
DIP_D47: Đoạn mở đầu mô tả Hội nghị cấp cao về hành động khí hậu</x:v>
      </x:c>
      <x:c r="K352" s="11" t="str">
        <x:v>2026-10-28</x:v>
      </x:c>
    </x:row>
    <x:row r="353" ht="57" customHeight="1">
      <x:c r="A353" s="11" t="str">
        <x:v>T148</x:v>
      </x:c>
      <x:c r="B353" s="11" t="str">
        <x:v>Bổ sung</x:v>
      </x:c>
      <x:c r="C353" s="11" t="str">
        <x:v>hội nghị cấp cao / 정상회의</x:v>
      </x:c>
      <x:c r="D353" s="11" t="str">
        <x:v>Xem dòng VI/KO</x:v>
      </x:c>
      <x:c r="E353" s="11" t="str">
        <x:v>Căn cứ nghĩa làm việc</x:v>
      </x:c>
      <x:c r="F353" s="11" t="str">
        <x:v>VI</x:v>
      </x:c>
      <x:c r="G353" s="11" t="str">
        <x:v>S143</x:v>
      </x:c>
      <x:c r="H353" s="11" t="str">
        <x:v>Chủ tịch nước phát biểu tại sự kiện cấp cao toàn cầu đặc biệt về Hành động khí hậu</x:v>
      </x:c>
      <x:c r="I353" s="30" t="str">
        <x:v>https://vnembassy-helsinki.mofa.gov.vn/vi/web/guest/tin-chi-tiet/chi-tiet/chu-tich-nuoc-phat-bieu-tai-su-kien-cap-cao-toan-cau-dac-biet-ve-hanh-dong-khi-hau-57605-138.html</x:v>
      </x:c>
      <x:c r="J353" s="11" t="str">
        <x:v>Nguồn dẫn trong hồ sơ định nghĩa làm việc: DIP_D45: II.1.a Hội nghị cấp cao (Sommet)
DIP_D47: Đoạn mở đầu mô tả Hội nghị cấp cao về hành động khí hậu</x:v>
      </x:c>
      <x:c r="K353" s="11" t="str">
        <x:v>2026-10-28</x:v>
      </x:c>
    </x:row>
    <x:row r="354" ht="57" customHeight="1">
      <x:c r="A354" s="11" t="str">
        <x:v>M004</x:v>
      </x:c>
      <x:c r="B354" s="11" t="str">
        <x:v>VI</x:v>
      </x:c>
      <x:c r="C354" s="11" t="str">
        <x:v>Hội nghị cấp cao APEC</x:v>
      </x:c>
      <x:c r="D354" s="11" t="str">
        <x:v>CẦN TRA — chưa xác minh mục từ</x:v>
      </x:c>
      <x:c r="E354" s="11" t="str">
        <x:v>* Nghĩa làm việc; cần nguồn định nghĩa</x:v>
      </x:c>
      <x:c r="F354" s="11" t="str">
        <x:v>VI</x:v>
      </x:c>
      <x:c r="G354" s="11" t="str">
        <x:v>S144</x:v>
      </x:c>
      <x:c r="H354" s="11" t="str">
        <x:v>Chủ tịch nước Lương Cường dự Hội nghị Cấp cao APEC lần thứ 31</x:v>
      </x:c>
      <x:c r="I354" s="30" t="str">
        <x:v>https://vpctn.gov.vn/tin-tuc-su-kien/hoat-dong-cua-chu-tich-nuoc/chu-tich-nuoc-luong-cuong-du-hoi-nghi-cap-cao-apec-lan-thu-31.html</x:v>
      </x:c>
      <x:c r="J354" s="11" t="str">
        <x:v>Chưa xác minh định nghĩa độc lập của nguyên biểu thức/nghĩa chọn trong ngôn ngữ này. Nguồn dẫn trong hồ sơ định nghĩa làm việc: DIP_D29: Tiêu đề; mở đầu</x:v>
      </x:c>
      <x:c r="K354" s="11" t="str">
        <x:v>2026-10-28</x:v>
      </x:c>
    </x:row>
    <x:row r="355" ht="57" customHeight="1">
      <x:c r="A355" s="11" t="str">
        <x:v>M004</x:v>
      </x:c>
      <x:c r="B355" s="11" t="str">
        <x:v>KO</x:v>
      </x:c>
      <x:c r="C355" s="11" t="str">
        <x:v>APEC 정상회의</x:v>
      </x:c>
      <x:c r="D355" s="11" t="str">
        <x:v>CẦN TRA — chưa xác minh mục từ</x:v>
      </x:c>
      <x:c r="E355" s="11" t="str">
        <x:v>* Nghĩa làm việc; cần nguồn định nghĩa</x:v>
      </x:c>
      <x:c r="F355" s="11" t="str">
        <x:v>VI</x:v>
      </x:c>
      <x:c r="G355" s="11" t="str">
        <x:v>S144</x:v>
      </x:c>
      <x:c r="H355" s="11" t="str">
        <x:v>Diễn đạt tiếng Hàn từ nghĩa làm việc; Chủ tịch nước Lương Cường dự Hội nghị Cấp cao APEC lần thứ 31</x:v>
      </x:c>
      <x:c r="I355" s="30" t="str">
        <x:v>https://vpctn.gov.vn/tin-tuc-su-kien/hoat-dong-cua-chu-tich-nuoc/chu-tich-nuoc-luong-cuong-du-hoi-nghi-cap-cao-apec-lan-thu-31.html</x:v>
      </x:c>
      <x:c r="J355" s="11" t="str">
        <x:v>Chưa xác minh định nghĩa độc lập của nguyên biểu thức/nghĩa chọn trong ngôn ngữ này. Nguồn dẫn trong hồ sơ định nghĩa làm việc: DIP_D29: Tiêu đề; mở đầu</x:v>
      </x:c>
      <x:c r="K355" s="11" t="str">
        <x:v>2026-10-28</x:v>
      </x:c>
    </x:row>
    <x:row r="356" ht="57" customHeight="1">
      <x:c r="A356" s="11" t="str">
        <x:v>M019</x:v>
      </x:c>
      <x:c r="B356" s="11" t="str">
        <x:v>VI</x:v>
      </x:c>
      <x:c r="C356" s="11" t="str">
        <x:v>Hội nghị cấp cao Mekong–Hàn Quốc</x:v>
      </x:c>
      <x:c r="D356" s="11" t="str">
        <x:v>CẦN TRA — chưa xác minh mục từ</x:v>
      </x:c>
      <x:c r="E356" s="11" t="str">
        <x:v>* Nghĩa làm việc; cần nguồn định nghĩa</x:v>
      </x:c>
      <x:c r="F356" s="11" t="str">
        <x:v>VI</x:v>
      </x:c>
      <x:c r="G356" s="11" t="str">
        <x:v>S145</x:v>
      </x:c>
      <x:c r="H356" s="11" t="str">
        <x:v>Mekong-Hàn Quốc nâng hợp tác lên cấp thượng đỉnh</x:v>
      </x:c>
      <x:c r="I356" s="30" t="str">
        <x:v>https://baochinhphu.vn/mekong-han-quoc-nang-hop-tac-len-cap-thuong-dinh-102264727.htm</x:v>
      </x:c>
      <x:c r="J356" s="11" t="str">
        <x:v>Chưa xác minh định nghĩa độc lập của nguyên biểu thức/nghĩa chọn trong ngôn ngữ này. Nguồn dẫn trong hồ sơ định nghĩa làm việc: DIP_D28: Tiêu đề; mở đầu</x:v>
      </x:c>
      <x:c r="K356" s="11" t="str">
        <x:v>2026-10-28</x:v>
      </x:c>
    </x:row>
    <x:row r="357" ht="57" customHeight="1">
      <x:c r="A357" s="11" t="str">
        <x:v>M019</x:v>
      </x:c>
      <x:c r="B357" s="11" t="str">
        <x:v>KO</x:v>
      </x:c>
      <x:c r="C357" s="11" t="str">
        <x:v>메콩-한 정상회의</x:v>
      </x:c>
      <x:c r="D357" s="11" t="str">
        <x:v>CẦN TRA — chưa xác minh mục từ</x:v>
      </x:c>
      <x:c r="E357" s="11" t="str">
        <x:v>* Nghĩa làm việc; cần nguồn định nghĩa</x:v>
      </x:c>
      <x:c r="F357" s="11" t="str">
        <x:v>VI</x:v>
      </x:c>
      <x:c r="G357" s="11" t="str">
        <x:v>S145</x:v>
      </x:c>
      <x:c r="H357" s="11" t="str">
        <x:v>Diễn đạt tiếng Hàn từ nghĩa làm việc; Mekong-Hàn Quốc nâng hợp tác lên cấp thượng đỉnh</x:v>
      </x:c>
      <x:c r="I357" s="30" t="str">
        <x:v>https://baochinhphu.vn/mekong-han-quoc-nang-hop-tac-len-cap-thuong-dinh-102264727.htm</x:v>
      </x:c>
      <x:c r="J357" s="11" t="str">
        <x:v>Chưa xác minh định nghĩa độc lập của nguyên biểu thức/nghĩa chọn trong ngôn ngữ này. Nguồn dẫn trong hồ sơ định nghĩa làm việc: DIP_D28: Tiêu đề; mở đầu</x:v>
      </x:c>
      <x:c r="K357" s="11" t="str">
        <x:v>2026-10-28</x:v>
      </x:c>
    </x:row>
    <x:row r="358" ht="57" customHeight="1">
      <x:c r="A358" s="11" t="str">
        <x:v>T138</x:v>
      </x:c>
      <x:c r="B358" s="11" t="str">
        <x:v>VI</x:v>
      </x:c>
      <x:c r="C358" s="11" t="str">
        <x:v>hội nhập quốc tế</x:v>
      </x:c>
      <x:c r="D358" s="11" t="str">
        <x:v>CẦN TRA — chưa xác minh mục từ</x:v>
      </x:c>
      <x:c r="E358" s="11" t="str">
        <x:v>* Nghĩa làm việc; cần nguồn định nghĩa</x:v>
      </x:c>
      <x:c r="F358" s="11" t="str">
        <x:v>VI</x:v>
      </x:c>
      <x:c r="G358" s="11" t="str">
        <x:v>S116</x:v>
      </x:c>
      <x:c r="H358" s="11" t="str">
        <x:v>Chủ động, tích cực triển khai Nghị quyết Đại hội Đảng toàn quốc lần thứ XIV trong công tác Đối ngoại</x:v>
      </x:c>
      <x:c r="I358" s="30" t="str">
        <x:v>https://mofa.gov.vn/vi/tin-chi-tiet/chi-tiet/chu-dong-tich-cuc-trien-khai-nghi-quyet-dai-hoi-dang-toan-quoc-lan-thu-xiv-trong-cong-tac-doi-ngoai-58834-140.html</x:v>
      </x:c>
      <x:c r="J358" s="11" t="str">
        <x:v>Chưa xác minh định nghĩa độc lập của nguyên biểu thức/nghĩa chọn trong ngôn ngữ này. Nguồn dẫn trong hồ sơ cũ; không phải xác nhận đã tìm được mục từ giải nghĩa trực tiếp.</x:v>
      </x:c>
      <x:c r="K358" s="11" t="str">
        <x:v>2026-10-28</x:v>
      </x:c>
    </x:row>
    <x:row r="359" ht="57" customHeight="1">
      <x:c r="A359" s="11" t="str">
        <x:v>T138</x:v>
      </x:c>
      <x:c r="B359" s="11" t="str">
        <x:v>KO</x:v>
      </x:c>
      <x:c r="C359" s="11" t="str">
        <x:v>국제 통합</x:v>
      </x:c>
      <x:c r="D359" s="11" t="str">
        <x:v>CẦN TRA — chưa xác minh mục từ</x:v>
      </x:c>
      <x:c r="E359" s="11" t="str">
        <x:v>* Nghĩa làm việc; cần nguồn định nghĩa</x:v>
      </x:c>
      <x:c r="F359" s="11" t="str">
        <x:v>VI</x:v>
      </x:c>
      <x:c r="G359" s="11" t="str">
        <x:v>S116</x:v>
      </x:c>
      <x:c r="H359" s="11" t="str">
        <x:v>Diễn đạt tiếng Hàn từ nghĩa làm việc; Chủ động, tích cực triển khai Nghị quyết Đại hội Đảng toàn quốc lần thứ XIV trong công tác Đối ngoại</x:v>
      </x:c>
      <x:c r="I359" s="30" t="str">
        <x:v>https://mofa.gov.vn/vi/tin-chi-tiet/chi-tiet/chu-dong-tich-cuc-trien-khai-nghi-quyet-dai-hoi-dang-toan-quoc-lan-thu-xiv-trong-cong-tac-doi-ngoai-58834-140.html</x:v>
      </x:c>
      <x:c r="J359" s="11" t="str">
        <x:v>Chưa xác minh định nghĩa độc lập của nguyên biểu thức/nghĩa chọn trong ngôn ngữ này. Nguồn dẫn trong hồ sơ cũ; không phải xác nhận đã tìm được mục từ giải nghĩa trực tiếp.</x:v>
      </x:c>
      <x:c r="K359" s="11" t="str">
        <x:v>2026-10-28</x:v>
      </x:c>
    </x:row>
    <x:row r="360" ht="57" customHeight="1">
      <x:c r="A360" s="11" t="str">
        <x:v>M003</x:v>
      </x:c>
      <x:c r="B360" s="11" t="str">
        <x:v>VI</x:v>
      </x:c>
      <x:c r="C360" s="11" t="str">
        <x:v>hợp tác đa phương</x:v>
      </x:c>
      <x:c r="D360" s="11" t="str">
        <x:v>CẦN TRA — chưa xác minh mục từ</x:v>
      </x:c>
      <x:c r="E360" s="11" t="str">
        <x:v>* Nghĩa làm việc; cần nguồn định nghĩa</x:v>
      </x:c>
      <x:c r="F360" s="11" t="str">
        <x:v>VI</x:v>
      </x:c>
      <x:c r="G360" s="11" t="str">
        <x:v>S146</x:v>
      </x:c>
      <x:c r="H360" s="11" t="str">
        <x:v>Đại sứ Việt Nam Angola Dương Chính Chức trả lời phỏng vấn về quan hệ Việt Nam – Angola</x:v>
      </x:c>
      <x:c r="I360" s="30" t="str">
        <x:v>https://web.mofa.gov.vn/web/guest/tin-chi-tiet/chi-tiet/dai-su-viet-nam-angola-duong-chinh-chuc-tra-loi-phong-van-ve-quan-he-viet-nam-angola-61180-1500.html</x:v>
      </x:c>
      <x:c r="J360" s="11" t="str">
        <x:v>Chưa xác minh định nghĩa độc lập của nguyên biểu thức/nghĩa chọn trong ngôn ngữ này. Nguồn dẫn trong hồ sơ định nghĩa làm việc: DIP_D38: Câu trả lời đầu, đoạn về phối hợp tại diễn đàn quốc tế</x:v>
      </x:c>
      <x:c r="K360" s="11" t="str">
        <x:v>2026-10-28</x:v>
      </x:c>
    </x:row>
    <x:row r="361" ht="57" customHeight="1">
      <x:c r="A361" s="11" t="str">
        <x:v>M003</x:v>
      </x:c>
      <x:c r="B361" s="11" t="str">
        <x:v>KO</x:v>
      </x:c>
      <x:c r="C361" s="11" t="str">
        <x:v>다자 협력</x:v>
      </x:c>
      <x:c r="D361" s="11" t="str">
        <x:v>CẦN TRA — chưa xác minh mục từ</x:v>
      </x:c>
      <x:c r="E361" s="11" t="str">
        <x:v>* Nghĩa làm việc; cần nguồn định nghĩa</x:v>
      </x:c>
      <x:c r="F361" s="11" t="str">
        <x:v>VI</x:v>
      </x:c>
      <x:c r="G361" s="11" t="str">
        <x:v>S146</x:v>
      </x:c>
      <x:c r="H361" s="11" t="str">
        <x:v>Diễn đạt tiếng Hàn từ nghĩa làm việc; Đại sứ Việt Nam Angola Dương Chính Chức trả lời phỏng vấn về quan hệ Việt Nam – Angola</x:v>
      </x:c>
      <x:c r="I361" s="30" t="str">
        <x:v>https://web.mofa.gov.vn/web/guest/tin-chi-tiet/chi-tiet/dai-su-viet-nam-angola-duong-chinh-chuc-tra-loi-phong-van-ve-quan-he-viet-nam-angola-61180-1500.html</x:v>
      </x:c>
      <x:c r="J361" s="11" t="str">
        <x:v>Chưa xác minh định nghĩa độc lập của nguyên biểu thức/nghĩa chọn trong ngôn ngữ này. Nguồn dẫn trong hồ sơ định nghĩa làm việc: DIP_D38: Câu trả lời đầu, đoạn về phối hợp tại diễn đàn quốc tế</x:v>
      </x:c>
      <x:c r="K361" s="11" t="str">
        <x:v>2026-10-28</x:v>
      </x:c>
    </x:row>
    <x:row r="362" ht="57" customHeight="1">
      <x:c r="A362" s="11" t="str">
        <x:v>M035</x:v>
      </x:c>
      <x:c r="B362" s="11" t="str">
        <x:v>VI</x:v>
      </x:c>
      <x:c r="C362" s="11" t="str">
        <x:v>hợp tác nghị viện</x:v>
      </x:c>
      <x:c r="D362" s="11" t="str">
        <x:v>CẦN TRA — chưa xác minh mục từ</x:v>
      </x:c>
      <x:c r="E362" s="11" t="str">
        <x:v>* Nghĩa làm việc; cần nguồn định nghĩa</x:v>
      </x:c>
      <x:c r="F362" s="11" t="str">
        <x:v>VI</x:v>
      </x:c>
      <x:c r="G362" s="11" t="str">
        <x:v>S147</x:v>
      </x:c>
      <x:c r="H362" s="11" t="str">
        <x:v>Tuyên bố chung về việc củng cố hơn nữa quan hệ đối tác chiến lược toàn diện Việt Nam – Nga trong giai đoạn mới</x:v>
      </x:c>
      <x:c r="I362" s="30" t="str">
        <x:v>https://web.mofa.gov.vn/vi/web/guest/tin-chi-tiet/chi-tiet/tuyen-bo-chung-ve-viec-cung-co-hon-nua-quan-he-doi-tac-chien-luoc-toan-dien-viet-nam-8211-nga-trong-giai-doan-moi-61960-138.html</x:v>
      </x:c>
      <x:c r="J362" s="11" t="str">
        <x:v>Chưa xác minh định nghĩa độc lập của nguyên biểu thức/nghĩa chọn trong ngôn ngữ này. Nguồn dẫn trong hồ sơ định nghĩa làm việc: DIP_D42: Đoạn bắt đầu Hai bên tiếp tục tăng cường hợp tác nghị viện</x:v>
      </x:c>
      <x:c r="K362" s="11" t="str">
        <x:v>2026-10-28</x:v>
      </x:c>
    </x:row>
    <x:row r="363" ht="57" customHeight="1">
      <x:c r="A363" s="11" t="str">
        <x:v>M035</x:v>
      </x:c>
      <x:c r="B363" s="11" t="str">
        <x:v>KO</x:v>
      </x:c>
      <x:c r="C363" s="11" t="str">
        <x:v>의회 협력</x:v>
      </x:c>
      <x:c r="D363" s="11" t="str">
        <x:v>CẦN TRA — chưa xác minh mục từ</x:v>
      </x:c>
      <x:c r="E363" s="11" t="str">
        <x:v>* Nghĩa làm việc; cần nguồn định nghĩa</x:v>
      </x:c>
      <x:c r="F363" s="11" t="str">
        <x:v>VI</x:v>
      </x:c>
      <x:c r="G363" s="11" t="str">
        <x:v>S147</x:v>
      </x:c>
      <x:c r="H363" s="11" t="str">
        <x:v>Diễn đạt tiếng Hàn từ nghĩa làm việc; Tuyên bố chung về việc củng cố hơn nữa quan hệ đối tác chiến lược toàn diện Việt Nam – Nga trong giai đoạn mới</x:v>
      </x:c>
      <x:c r="I363" s="30" t="str">
        <x:v>https://web.mofa.gov.vn/vi/web/guest/tin-chi-tiet/chi-tiet/tuyen-bo-chung-ve-viec-cung-co-hon-nua-quan-he-doi-tac-chien-luoc-toan-dien-viet-nam-8211-nga-trong-giai-doan-moi-61960-138.html</x:v>
      </x:c>
      <x:c r="J363" s="11" t="str">
        <x:v>Chưa xác minh định nghĩa độc lập của nguyên biểu thức/nghĩa chọn trong ngôn ngữ này. Nguồn dẫn trong hồ sơ định nghĩa làm việc: DIP_D42: Đoạn bắt đầu Hai bên tiếp tục tăng cường hợp tác nghị viện</x:v>
      </x:c>
      <x:c r="K363" s="11" t="str">
        <x:v>2026-10-28</x:v>
      </x:c>
    </x:row>
    <x:row r="364" ht="72" customHeight="1">
      <x:c r="A364" s="11" t="str">
        <x:v>T178</x:v>
      </x:c>
      <x:c r="B364" s="11" t="str">
        <x:v>VI</x:v>
      </x:c>
      <x:c r="C364" s="11" t="str">
        <x:v>hợp tác quốc phòng</x:v>
      </x:c>
      <x:c r="D364" s="11" t="str">
        <x:v>CẦN TRA — chưa xác minh mục từ</x:v>
      </x:c>
      <x:c r="E364" s="11" t="str">
        <x:v>* Nghĩa làm việc; cần nguồn định nghĩa</x:v>
      </x:c>
      <x:c r="F364" s="11" t="str">
        <x:v>VI</x:v>
      </x:c>
      <x:c r="G364" s="11" t="str">
        <x:v>S148</x:v>
      </x:c>
      <x:c r="H364" s="11" t="str">
        <x:v>Việt Nam và Hoa Kỳ tiến hành đối thoại chính sách quốc phòng lần thứ 2</x:v>
      </x:c>
      <x:c r="I364" s="30" t="str">
        <x:v>https://mofa.gov.vn/tin-chi-tiet/chi-tiet/viet-nam-va-hoa-ky-tien-hanh-doi-thoai-chinh-sach-quoc-phong-lan-thu-2-170.html</x:v>
      </x:c>
      <x:c r="J364" s="11" t="str">
        <x:v>Chưa xác minh định nghĩa độc lập của nguyên biểu thức/nghĩa chọn trong ngôn ngữ này. Nguồn dẫn trong hồ sơ định nghĩa làm việc: DIP_D43: Các đoạn kết quả, Bản ghi nhớ và năm lĩnh vực ưu tiên
DIP_D46: Nhan đề; đoạn Các lĩnh vực ưu tiên trong quan hệ quốc phòng</x:v>
      </x:c>
      <x:c r="K364" s="11" t="str">
        <x:v>2026-10-28</x:v>
      </x:c>
    </x:row>
    <x:row r="365" ht="72" customHeight="1">
      <x:c r="A365" s="11" t="str">
        <x:v>T178</x:v>
      </x:c>
      <x:c r="B365" s="11" t="str">
        <x:v>KO</x:v>
      </x:c>
      <x:c r="C365" s="11" t="str">
        <x:v>국방 협력</x:v>
      </x:c>
      <x:c r="D365" s="11" t="str">
        <x:v>CẦN TRA — chưa xác minh mục từ</x:v>
      </x:c>
      <x:c r="E365" s="11" t="str">
        <x:v>* Nghĩa làm việc; cần nguồn định nghĩa</x:v>
      </x:c>
      <x:c r="F365" s="11" t="str">
        <x:v>VI</x:v>
      </x:c>
      <x:c r="G365" s="11" t="str">
        <x:v>S148</x:v>
      </x:c>
      <x:c r="H365" s="11" t="str">
        <x:v>Diễn đạt tiếng Hàn từ nghĩa làm việc; Việt Nam và Hoa Kỳ tiến hành đối thoại chính sách quốc phòng lần thứ 2</x:v>
      </x:c>
      <x:c r="I365" s="30" t="str">
        <x:v>https://mofa.gov.vn/tin-chi-tiet/chi-tiet/viet-nam-va-hoa-ky-tien-hanh-doi-thoai-chinh-sach-quoc-phong-lan-thu-2-170.html</x:v>
      </x:c>
      <x:c r="J365" s="11" t="str">
        <x:v>Chưa xác minh định nghĩa độc lập của nguyên biểu thức/nghĩa chọn trong ngôn ngữ này. Nguồn dẫn trong hồ sơ định nghĩa làm việc: DIP_D43: Các đoạn kết quả, Bản ghi nhớ và năm lĩnh vực ưu tiên
DIP_D46: Nhan đề; đoạn Các lĩnh vực ưu tiên trong quan hệ quốc phòng</x:v>
      </x:c>
      <x:c r="K365" s="11" t="str">
        <x:v>2026-10-28</x:v>
      </x:c>
    </x:row>
    <x:row r="366" ht="57" customHeight="1">
      <x:c r="A366" s="11" t="str">
        <x:v>T178</x:v>
      </x:c>
      <x:c r="B366" s="11" t="str">
        <x:v>Bổ sung</x:v>
      </x:c>
      <x:c r="C366" s="11" t="str">
        <x:v>hợp tác quốc phòng / 국방 협력</x:v>
      </x:c>
      <x:c r="D366" s="11" t="str">
        <x:v>Xem dòng VI/KO</x:v>
      </x:c>
      <x:c r="E366" s="11" t="str">
        <x:v>Căn cứ nghĩa làm việc</x:v>
      </x:c>
      <x:c r="F366" s="11" t="str">
        <x:v>VI</x:v>
      </x:c>
      <x:c r="G366" s="11" t="str">
        <x:v>S149</x:v>
      </x:c>
      <x:c r="H366" s="11" t="str">
        <x:v>Đối ngoại và hợp tác quốc phòng</x:v>
      </x:c>
      <x:c r="I366" s="30" t="str">
        <x:v>https://www.mod.gov.vn/wcm/connect/mod/sa-mod-site/sa-qpvn/sa_qpvn_dnqp/sa-qpvn-dnqp-ctcs/6d8c6363-6755-451f-8fd6-a68f8b06adc7</x:v>
      </x:c>
      <x:c r="J366" s="11" t="str">
        <x:v>Nguồn dẫn trong hồ sơ định nghĩa làm việc: DIP_D43: Các đoạn kết quả, Bản ghi nhớ và năm lĩnh vực ưu tiên
DIP_D46: Nhan đề; đoạn Các lĩnh vực ưu tiên trong quan hệ quốc phòng</x:v>
      </x:c>
      <x:c r="K366" s="11" t="str">
        <x:v>2026-10-28</x:v>
      </x:c>
    </x:row>
    <x:row r="367" ht="57" customHeight="1">
      <x:c r="A367" s="11" t="str">
        <x:v>T030</x:v>
      </x:c>
      <x:c r="B367" s="11" t="str">
        <x:v>VI</x:v>
      </x:c>
      <x:c r="C367" s="11" t="str">
        <x:v>lập pháp</x:v>
      </x:c>
      <x:c r="D367" s="11" t="str">
        <x:v>CẦN TRA — chưa xác minh mục từ</x:v>
      </x:c>
      <x:c r="E367" s="11" t="str">
        <x:v>* Nghĩa làm việc; cần nguồn định nghĩa</x:v>
      </x:c>
      <x:c r="F367" s="11" t="str">
        <x:v>VI</x:v>
      </x:c>
      <x:c r="G367" s="11" t="str">
        <x:v>S096</x:v>
      </x:c>
      <x:c r="H367" s="11" t="str">
        <x:v>Hiến pháp nước Cộng hòa xã hội chủ nghĩa Việt Nam (2013)</x:v>
      </x:c>
      <x:c r="I367" s="30" t="str">
        <x:v>https://xaydungchinhsach.chinhphu.vn/toan-van-hien-phap-nuoc-cong-hoa-xa-hoi-chu-nghia-viet-nam-119231225213002261.htm</x:v>
      </x:c>
      <x:c r="J367" s="11" t="str">
        <x:v>Chưa xác minh định nghĩa độc lập của nguyên biểu thức/nghĩa chọn trong ngôn ngữ này. Nguồn dẫn trong hồ sơ cũ; không phải xác nhận đã tìm được mục từ giải nghĩa trực tiếp.</x:v>
      </x:c>
      <x:c r="K367" s="11" t="str">
        <x:v>2026-10-28</x:v>
      </x:c>
    </x:row>
    <x:row r="368" ht="57" customHeight="1">
      <x:c r="A368" s="11" t="str">
        <x:v>T030</x:v>
      </x:c>
      <x:c r="B368" s="11" t="str">
        <x:v>KO</x:v>
      </x:c>
      <x:c r="C368" s="11" t="str">
        <x:v>입법</x:v>
      </x:c>
      <x:c r="D368" s="11" t="str">
        <x:v>Có mục từ và đã đọc nghĩa</x:v>
      </x:c>
      <x:c r="E368" s="11" t="str">
        <x:v>Mục từ có nghĩa [KO]</x:v>
      </x:c>
      <x:c r="F368" s="11" t="str">
        <x:v>KO</x:v>
      </x:c>
      <x:c r="G368" s="11" t="str">
        <x:v>S150</x:v>
      </x:c>
      <x:c r="H368" s="11" t="str">
        <x:v>국립국어원 한국어기초사전 — 입법</x:v>
      </x:c>
      <x:c r="I368" s="30" t="str">
        <x:v>https://krdict.korean.go.kr/eng/dicSearch/SearchView?ParaWordNo=91533</x:v>
      </x:c>
      <x:c r="J368" s="11" t="str">
        <x:v>Đã đọc nguồn giải nghĩa bằng ngôn ngữ này; vẫn đối chiếu nghĩa chọn và ghi chú.</x:v>
      </x:c>
      <x:c r="K368" s="11" t="str">
        <x:v>2026-10-28</x:v>
      </x:c>
    </x:row>
    <x:row r="369" ht="72" customHeight="1">
      <x:c r="A369" s="11" t="str">
        <x:v>M012</x:v>
      </x:c>
      <x:c r="B369" s="11" t="str">
        <x:v>VI</x:v>
      </x:c>
      <x:c r="C369" s="11" t="str">
        <x:v>lễ đón chính thức</x:v>
      </x:c>
      <x:c r="D369" s="11" t="str">
        <x:v>CẦN TRA — chưa xác minh mục từ</x:v>
      </x:c>
      <x:c r="E369" s="11" t="str">
        <x:v>* Nghĩa làm việc; cần nguồn định nghĩa</x:v>
      </x:c>
      <x:c r="F369" s="11" t="str">
        <x:v>VI</x:v>
      </x:c>
      <x:c r="G369" s="11" t="str">
        <x:v>S141</x:v>
      </x:c>
      <x:c r="H369" s="11" t="str">
        <x:v>Nghị định 18/2022/NĐ-CP về Nghi lễ đối ngoại</x:v>
      </x:c>
      <x:c r="I369" s="30" t="str">
        <x:v>https://vbpl.vn/bongoaigiao/Pages/vbpq-toanvan.aspx?ItemID=154119&amp;dvid=211</x:v>
      </x:c>
      <x:c r="J369" s="11" t="str">
        <x:v>Chưa xác minh định nghĩa độc lập của nguyên biểu thức/nghĩa chọn trong ngôn ngữ này. Nguồn dẫn trong hồ sơ định nghĩa làm việc: DIP_D01: Điều 3 khoản 7; Điều 6 khoản 3
S09: trang in 88/PDF 88</x:v>
      </x:c>
      <x:c r="K369" s="11" t="str">
        <x:v>2026-10-28</x:v>
      </x:c>
    </x:row>
    <x:row r="370" ht="72" customHeight="1">
      <x:c r="A370" s="11" t="str">
        <x:v>M012</x:v>
      </x:c>
      <x:c r="B370" s="11" t="str">
        <x:v>KO</x:v>
      </x:c>
      <x:c r="C370" s="11" t="str">
        <x:v>공식 환영식</x:v>
      </x:c>
      <x:c r="D370" s="11" t="str">
        <x:v>CẦN TRA — chưa xác minh mục từ</x:v>
      </x:c>
      <x:c r="E370" s="11" t="str">
        <x:v>* Nghĩa làm việc; cần nguồn định nghĩa</x:v>
      </x:c>
      <x:c r="F370" s="11" t="str">
        <x:v>VI</x:v>
      </x:c>
      <x:c r="G370" s="11" t="str">
        <x:v>S141</x:v>
      </x:c>
      <x:c r="H370" s="11" t="str">
        <x:v>Diễn đạt tiếng Hàn từ nghĩa làm việc; Nghị định 18/2022/NĐ-CP về Nghi lễ đối ngoại</x:v>
      </x:c>
      <x:c r="I370" s="30" t="str">
        <x:v>https://vbpl.vn/bongoaigiao/Pages/vbpq-toanvan.aspx?ItemID=154119&amp;dvid=211</x:v>
      </x:c>
      <x:c r="J370" s="11" t="str">
        <x:v>Chưa xác minh định nghĩa độc lập của nguyên biểu thức/nghĩa chọn trong ngôn ngữ này. Nguồn dẫn trong hồ sơ định nghĩa làm việc: DIP_D01: Điều 3 khoản 7; Điều 6 khoản 3
S09: trang in 88/PDF 88</x:v>
      </x:c>
      <x:c r="K370" s="11" t="str">
        <x:v>2026-10-28</x:v>
      </x:c>
    </x:row>
    <x:row r="371" ht="57" customHeight="1">
      <x:c r="A371" s="11" t="str">
        <x:v>T146</x:v>
      </x:c>
      <x:c r="B371" s="11" t="str">
        <x:v>VI</x:v>
      </x:c>
      <x:c r="C371" s="11" t="str">
        <x:v>nâng cấp quan hệ</x:v>
      </x:c>
      <x:c r="D371" s="11" t="str">
        <x:v>CẦN TRA — chưa xác minh mục từ</x:v>
      </x:c>
      <x:c r="E371" s="11" t="str">
        <x:v>* Nghĩa làm việc; cần nguồn định nghĩa</x:v>
      </x:c>
      <x:c r="F371" s="11" t="str">
        <x:v>VI</x:v>
      </x:c>
      <x:c r="G371" s="11" t="str">
        <x:v>S106</x:v>
      </x:c>
      <x:c r="H371" s="11" t="str">
        <x:v>Tuyên bố chung Việt Nam – Hàn Quốc về quan hệ đối tác chiến lược toàn diện</x:v>
      </x:c>
      <x:c r="I371" s="30" t="str">
        <x:v>https://vpctn.gov.vn/tin-tuc-su-kien/hoat-dong-cua-chu-tich-nuoc/tuyen-bo-chung-viet-nam-han-quoc-ve-quan-he-doi-tac-chien-luoc-toan-dien.html</x:v>
      </x:c>
      <x:c r="J371" s="11" t="str">
        <x:v>Chưa xác minh định nghĩa độc lập của nguyên biểu thức/nghĩa chọn trong ngôn ngữ này. Nguồn dẫn trong hồ sơ cũ; không phải xác nhận đã tìm được mục từ giải nghĩa trực tiếp.</x:v>
      </x:c>
      <x:c r="K371" s="11" t="str">
        <x:v>2026-10-28</x:v>
      </x:c>
    </x:row>
    <x:row r="372" ht="57" customHeight="1">
      <x:c r="A372" s="11" t="str">
        <x:v>T146</x:v>
      </x:c>
      <x:c r="B372" s="11" t="str">
        <x:v>KO</x:v>
      </x:c>
      <x:c r="C372" s="11" t="str">
        <x:v>관계가 포괄적 전략적 동반자 관계로 격상된</x:v>
      </x:c>
      <x:c r="D372" s="11" t="str">
        <x:v>CẦN TRA — chưa xác minh mục từ</x:v>
      </x:c>
      <x:c r="E372" s="11" t="str">
        <x:v>* Nghĩa làm việc; cần nguồn định nghĩa</x:v>
      </x:c>
      <x:c r="F372" s="11" t="str">
        <x:v>VI</x:v>
      </x:c>
      <x:c r="G372" s="11" t="str">
        <x:v>S106</x:v>
      </x:c>
      <x:c r="H372" s="11" t="str">
        <x:v>Diễn đạt tiếng Hàn từ nghĩa làm việc; Tuyên bố chung Việt Nam – Hàn Quốc về quan hệ đối tác chiến lược toàn diện</x:v>
      </x:c>
      <x:c r="I372" s="30" t="str">
        <x:v>https://vpctn.gov.vn/tin-tuc-su-kien/hoat-dong-cua-chu-tich-nuoc/tuyen-bo-chung-viet-nam-han-quoc-ve-quan-he-doi-tac-chien-luoc-toan-dien.html</x:v>
      </x:c>
      <x:c r="J372" s="11" t="str">
        <x:v>Chưa xác minh định nghĩa độc lập của nguyên biểu thức/nghĩa chọn trong ngôn ngữ này. Nguồn dẫn trong hồ sơ cũ; không phải xác nhận đã tìm được mục từ giải nghĩa trực tiếp.</x:v>
      </x:c>
      <x:c r="K372" s="11" t="str">
        <x:v>2026-10-28</x:v>
      </x:c>
    </x:row>
    <x:row r="373" ht="57" customHeight="1">
      <x:c r="A373" s="11" t="str">
        <x:v>T131</x:v>
      </x:c>
      <x:c r="B373" s="11" t="str">
        <x:v>VI</x:v>
      </x:c>
      <x:c r="C373" s="11" t="str">
        <x:v>ngoại giao</x:v>
      </x:c>
      <x:c r="D373" s="11" t="str">
        <x:v>CẦN TRA — chưa xác minh mục từ</x:v>
      </x:c>
      <x:c r="E373" s="11" t="str">
        <x:v>* Nghĩa làm việc; cần nguồn định nghĩa</x:v>
      </x:c>
      <x:c r="F373" s="11" t="str">
        <x:v>VI</x:v>
      </x:c>
      <x:c r="G373" s="11" t="str">
        <x:v>S151</x:v>
      </x:c>
      <x:c r="H373" s="11" t="str">
        <x:v>Nguyễn Minh Đức (2020), Ngoại giao phục vụ phát triển kinh tế ở Việt Nam thời kỳ Đổi mới: Tóm tắt luận án tiến sĩ, Học viện Ngoại giao</x:v>
      </x:c>
      <x:c r="I373" s="30" t="str">
        <x:v>https://static.dav.edu.vn/images/upload/2020/08/Tom-tat-Luan-an_NCS-Nguyen-Minh-Duc.pdf</x:v>
      </x:c>
      <x:c r="J373" s="11" t="str">
        <x:v>Chưa xác minh định nghĩa độc lập của nguyên biểu thức/nghĩa chọn trong ngôn ngữ này. Nguồn dẫn trong hồ sơ định nghĩa làm việc: DIP_D44: Mục 1.1.1.1, trang in 7 / trang PDF 9</x:v>
      </x:c>
      <x:c r="K373" s="11" t="str">
        <x:v>2026-10-28</x:v>
      </x:c>
    </x:row>
    <x:row r="374" ht="72" customHeight="1">
      <x:c r="A374" s="11" t="str">
        <x:v>T131</x:v>
      </x:c>
      <x:c r="B374" s="11" t="str">
        <x:v>KO</x:v>
      </x:c>
      <x:c r="C374" s="11" t="str">
        <x:v>외교</x:v>
      </x:c>
      <x:c r="D374" s="11" t="str">
        <x:v>CẦN TRA — chưa xác minh mục từ</x:v>
      </x:c>
      <x:c r="E374" s="11" t="str">
        <x:v>* Nghĩa làm việc; cần nguồn định nghĩa</x:v>
      </x:c>
      <x:c r="F374" s="11" t="str">
        <x:v>VI</x:v>
      </x:c>
      <x:c r="G374" s="11" t="str">
        <x:v>S151</x:v>
      </x:c>
      <x:c r="H374" s="11" t="str">
        <x:v>Diễn đạt tiếng Hàn từ nghĩa làm việc; Nguyễn Minh Đức (2020), Ngoại giao phục vụ phát triển kinh tế ở Việt Nam thời kỳ Đổi mới: Tóm tắt luận án tiến sĩ, Học viện Ngoại giao</x:v>
      </x:c>
      <x:c r="I374" s="30" t="str">
        <x:v>https://static.dav.edu.vn/images/upload/2020/08/Tom-tat-Luan-an_NCS-Nguyen-Minh-Duc.pdf</x:v>
      </x:c>
      <x:c r="J374" s="11" t="str">
        <x:v>Chưa xác minh định nghĩa độc lập của nguyên biểu thức/nghĩa chọn trong ngôn ngữ này. Nguồn dẫn trong hồ sơ định nghĩa làm việc: DIP_D44: Mục 1.1.1.1, trang in 7 / trang PDF 9</x:v>
      </x:c>
      <x:c r="K374" s="11" t="str">
        <x:v>2026-10-28</x:v>
      </x:c>
    </x:row>
    <x:row r="375" ht="57" customHeight="1">
      <x:c r="A375" s="11" t="str">
        <x:v>T172</x:v>
      </x:c>
      <x:c r="B375" s="11" t="str">
        <x:v>VI</x:v>
      </x:c>
      <x:c r="C375" s="11" t="str">
        <x:v>ngoại giao đa phương</x:v>
      </x:c>
      <x:c r="D375" s="11" t="str">
        <x:v>CẦN TRA — chưa xác minh mục từ</x:v>
      </x:c>
      <x:c r="E375" s="11" t="str">
        <x:v>* Nghĩa làm việc; cần nguồn định nghĩa</x:v>
      </x:c>
      <x:c r="F375" s="11" t="str">
        <x:v>VI</x:v>
      </x:c>
      <x:c r="G375" s="11" t="str">
        <x:v>S098</x:v>
      </x:c>
      <x:c r="H375" s="11" t="str">
        <x:v>Ngoại giao đa phương Việt Nam: Nhiệm vụ mới, tư duy mới, thành công mới</x:v>
      </x:c>
      <x:c r="I375" s="30" t="str">
        <x:v>https://scov.gov.vn/cong-tac-doi-ngoai/hoi-nghi-ngoai-giao-lan-thu-32/ngoai-giao-da-phuong-viet-nam-nhiem-vu-moi-tu-duy-moi-thanh-cong-moi.html</x:v>
      </x:c>
      <x:c r="J375" s="11" t="str">
        <x:v>Chưa xác minh định nghĩa độc lập của nguyên biểu thức/nghĩa chọn trong ngôn ngữ này. Nguồn dẫn trong hồ sơ cũ; không phải xác nhận đã tìm được mục từ giải nghĩa trực tiếp.</x:v>
      </x:c>
      <x:c r="K375" s="11" t="str">
        <x:v>2026-10-28</x:v>
      </x:c>
    </x:row>
    <x:row r="376" ht="57" customHeight="1">
      <x:c r="A376" s="11" t="str">
        <x:v>T172</x:v>
      </x:c>
      <x:c r="B376" s="11" t="str">
        <x:v>KO</x:v>
      </x:c>
      <x:c r="C376" s="11" t="str">
        <x:v>다자외교</x:v>
      </x:c>
      <x:c r="D376" s="11" t="str">
        <x:v>CẦN TRA — chưa xác minh mục từ</x:v>
      </x:c>
      <x:c r="E376" s="11" t="str">
        <x:v>* Nghĩa làm việc; cần nguồn định nghĩa</x:v>
      </x:c>
      <x:c r="F376" s="11" t="str">
        <x:v>VI</x:v>
      </x:c>
      <x:c r="G376" s="11" t="str">
        <x:v>S098</x:v>
      </x:c>
      <x:c r="H376" s="11" t="str">
        <x:v>Diễn đạt tiếng Hàn từ nghĩa làm việc; Ngoại giao đa phương Việt Nam: Nhiệm vụ mới, tư duy mới, thành công mới</x:v>
      </x:c>
      <x:c r="I376" s="30" t="str">
        <x:v>https://scov.gov.vn/cong-tac-doi-ngoai/hoi-nghi-ngoai-giao-lan-thu-32/ngoai-giao-da-phuong-viet-nam-nhiem-vu-moi-tu-duy-moi-thanh-cong-moi.html</x:v>
      </x:c>
      <x:c r="J376" s="11" t="str">
        <x:v>Chưa xác minh định nghĩa độc lập của nguyên biểu thức/nghĩa chọn trong ngôn ngữ này. Nguồn dẫn trong hồ sơ cũ; không phải xác nhận đã tìm được mục từ giải nghĩa trực tiếp.</x:v>
      </x:c>
      <x:c r="K376" s="11" t="str">
        <x:v>2026-10-28</x:v>
      </x:c>
    </x:row>
    <x:row r="377" ht="72" customHeight="1">
      <x:c r="A377" s="11" t="str">
        <x:v>T156</x:v>
      </x:c>
      <x:c r="B377" s="11" t="str">
        <x:v>VI</x:v>
      </x:c>
      <x:c r="C377" s="11" t="str">
        <x:v>ngoại giao kinh tế</x:v>
      </x:c>
      <x:c r="D377" s="11" t="str">
        <x:v>CẦN TRA — chưa xác minh mục từ</x:v>
      </x:c>
      <x:c r="E377" s="11" t="str">
        <x:v>* Nghĩa làm việc; cần nguồn định nghĩa</x:v>
      </x:c>
      <x:c r="F377" s="11" t="str">
        <x:v>VI</x:v>
      </x:c>
      <x:c r="G377" s="11" t="str">
        <x:v>S152</x:v>
      </x:c>
      <x:c r="H377" s="11" t="str">
        <x:v>Thủ tướng Chính phủ Phạm Minh Chính tham dự và phát biểu chỉ đạo Hội nghị Ngoại giao Kinh tế</x:v>
      </x:c>
      <x:c r="I377" s="30" t="str">
        <x:v>https://web.mofa.gov.vn/web/guest/tin-chi-tiet/chi-tiet/thu-tuong-chinh-phu-pham-minh-chinh-tham-du-va-phat-bieu-chi-dao-hoi-nghi-ngoai-giao-kinh-te-132.html</x:v>
      </x:c>
      <x:c r="J377" s="11" t="str">
        <x:v>Chưa xác minh định nghĩa độc lập của nguyên biểu thức/nghĩa chọn trong ngôn ngữ này. Nguồn dẫn trong hồ sơ định nghĩa làm việc: DIP_D20: Phiên toàn thể; phát biểu khai mạc
S09: trang in 89/PDF 89</x:v>
      </x:c>
      <x:c r="K377" s="11" t="str">
        <x:v>2026-10-28</x:v>
      </x:c>
    </x:row>
    <x:row r="378" ht="72" customHeight="1">
      <x:c r="A378" s="11" t="str">
        <x:v>T156</x:v>
      </x:c>
      <x:c r="B378" s="11" t="str">
        <x:v>KO</x:v>
      </x:c>
      <x:c r="C378" s="11" t="str">
        <x:v>경제외교</x:v>
      </x:c>
      <x:c r="D378" s="11" t="str">
        <x:v>CẦN TRA — chưa xác minh mục từ</x:v>
      </x:c>
      <x:c r="E378" s="11" t="str">
        <x:v>* Nghĩa làm việc; cần nguồn định nghĩa</x:v>
      </x:c>
      <x:c r="F378" s="11" t="str">
        <x:v>VI</x:v>
      </x:c>
      <x:c r="G378" s="11" t="str">
        <x:v>S152</x:v>
      </x:c>
      <x:c r="H378" s="11" t="str">
        <x:v>Diễn đạt tiếng Hàn từ nghĩa làm việc; Thủ tướng Chính phủ Phạm Minh Chính tham dự và phát biểu chỉ đạo Hội nghị Ngoại giao Kinh tế</x:v>
      </x:c>
      <x:c r="I378" s="30" t="str">
        <x:v>https://web.mofa.gov.vn/web/guest/tin-chi-tiet/chi-tiet/thu-tuong-chinh-phu-pham-minh-chinh-tham-du-va-phat-bieu-chi-dao-hoi-nghi-ngoai-giao-kinh-te-132.html</x:v>
      </x:c>
      <x:c r="J378" s="11" t="str">
        <x:v>Chưa xác minh định nghĩa độc lập của nguyên biểu thức/nghĩa chọn trong ngôn ngữ này. Nguồn dẫn trong hồ sơ định nghĩa làm việc: DIP_D20: Phiên toàn thể; phát biểu khai mạc
S09: trang in 89/PDF 89</x:v>
      </x:c>
      <x:c r="K378" s="11" t="str">
        <x:v>2026-10-28</x:v>
      </x:c>
    </x:row>
    <x:row r="379" ht="57" customHeight="1">
      <x:c r="A379" s="11" t="str">
        <x:v>T167</x:v>
      </x:c>
      <x:c r="B379" s="11" t="str">
        <x:v>VI</x:v>
      </x:c>
      <x:c r="C379" s="11" t="str">
        <x:v>ngoại giao nghị viện</x:v>
      </x:c>
      <x:c r="D379" s="11" t="str">
        <x:v>CẦN TRA — chưa xác minh mục từ</x:v>
      </x:c>
      <x:c r="E379" s="11" t="str">
        <x:v>* Nghĩa làm việc; cần nguồn định nghĩa</x:v>
      </x:c>
      <x:c r="F379" s="11" t="str">
        <x:v>EN</x:v>
      </x:c>
      <x:c r="G379" s="11" t="str">
        <x:v>S085</x:v>
      </x:c>
      <x:c r="H379" s="11" t="str">
        <x:v>About us – Inter-Parliamentary Union</x:v>
      </x:c>
      <x:c r="I379" s="30" t="str">
        <x:v>https://www.ipu.org/about-us</x:v>
      </x:c>
      <x:c r="J379" s="11" t="str">
        <x:v>Chưa xác minh định nghĩa độc lập của nguyên biểu thức/nghĩa chọn trong ngôn ngữ này. Đối chiếu trong hồ sơ cũ;</x:v>
      </x:c>
      <x:c r="K379" s="11" t="str">
        <x:v>2026-10-28</x:v>
      </x:c>
    </x:row>
    <x:row r="380" ht="57" customHeight="1">
      <x:c r="A380" s="11" t="str">
        <x:v>T167</x:v>
      </x:c>
      <x:c r="B380" s="11" t="str">
        <x:v>KO</x:v>
      </x:c>
      <x:c r="C380" s="11" t="str">
        <x:v>의회 외교</x:v>
      </x:c>
      <x:c r="D380" s="11" t="str">
        <x:v>CẦN TRA — chưa xác minh mục từ</x:v>
      </x:c>
      <x:c r="E380" s="11" t="str">
        <x:v>* Nghĩa làm việc; cần nguồn định nghĩa</x:v>
      </x:c>
      <x:c r="F380" s="11" t="str">
        <x:v>EN</x:v>
      </x:c>
      <x:c r="G380" s="11" t="str">
        <x:v>S085</x:v>
      </x:c>
      <x:c r="H380" s="11" t="str">
        <x:v>Diễn đạt tiếng Hàn từ nghĩa làm việc; About us – Inter-Parliamentary Union</x:v>
      </x:c>
      <x:c r="I380" s="30" t="str">
        <x:v>https://www.ipu.org/about-us</x:v>
      </x:c>
      <x:c r="J380" s="11" t="str">
        <x:v>Chưa xác minh định nghĩa độc lập của nguyên biểu thức/nghĩa chọn trong ngôn ngữ này. Đối chiếu trong hồ sơ cũ;</x:v>
      </x:c>
      <x:c r="K380" s="11" t="str">
        <x:v>2026-10-28</x:v>
      </x:c>
    </x:row>
    <x:row r="381" ht="57" customHeight="1">
      <x:c r="A381" s="11" t="str">
        <x:v>T167</x:v>
      </x:c>
      <x:c r="B381" s="11" t="str">
        <x:v>Bổ sung</x:v>
      </x:c>
      <x:c r="C381" s="11" t="str">
        <x:v>ngoại giao nghị viện / 의회 외교</x:v>
      </x:c>
      <x:c r="D381" s="11" t="str">
        <x:v>Xem dòng VI/KO</x:v>
      </x:c>
      <x:c r="E381" s="11" t="str">
        <x:v>Căn cứ nghĩa làm việc</x:v>
      </x:c>
      <x:c r="F381" s="11" t="str">
        <x:v>VI</x:v>
      </x:c>
      <x:c r="G381" s="11" t="str">
        <x:v>S153</x:v>
      </x:c>
      <x:c r="H381" s="11" t="str">
        <x:v>Khai mạc Đại hội đồng lần thứ 152 của Liên minh Nghị viện thế giới</x:v>
      </x:c>
      <x:c r="I381" s="30" t="str">
        <x:v>https://web.mofa.gov.vn/vi/web/guest/tin-chi-tiet/chi-tiet/khai-mac-dai-hoi-dong-lan-thu-152-cua-lien-minh-nghi-vien-the-gioi-59456-138.html</x:v>
      </x:c>
      <x:c r="J381" s="11" t="str">
        <x:v>Nguồn dẫn trong hồ sơ định nghĩa làm việc: DIP_D12: About us
DIP_D13: Phát biểu Tổng Thư ký IPU</x:v>
      </x:c>
      <x:c r="K381" s="11" t="str">
        <x:v>2026-10-28</x:v>
      </x:c>
    </x:row>
    <x:row r="382" ht="72" customHeight="1">
      <x:c r="A382" s="11" t="str">
        <x:v>T168</x:v>
      </x:c>
      <x:c r="B382" s="11" t="str">
        <x:v>VI</x:v>
      </x:c>
      <x:c r="C382" s="11" t="str">
        <x:v>ngoại giao nhân dân</x:v>
      </x:c>
      <x:c r="D382" s="11" t="str">
        <x:v>CẦN TRA — chưa xác minh mục từ</x:v>
      </x:c>
      <x:c r="E382" s="11" t="str">
        <x:v>* Nghĩa làm việc; cần nguồn định nghĩa</x:v>
      </x:c>
      <x:c r="F382" s="11" t="str">
        <x:v>VI</x:v>
      </x:c>
      <x:c r="G382" s="11" t="str">
        <x:v>S154</x:v>
      </x:c>
      <x:c r="H382" s="11" t="str">
        <x:v>Ngoại giao nhân dân tăng cường quan hệ Việt-Trung</x:v>
      </x:c>
      <x:c r="I382" s="30" t="str">
        <x:v>https://mofa.gov.vn/tin-chi-tiet/chi-tiet/ngoai-giao-nhan-dan-tang-cuong-quan-he-viet-trung-589.html</x:v>
      </x:c>
      <x:c r="J382" s="11" t="str">
        <x:v>Chưa xác minh định nghĩa độc lập của nguyên biểu thức/nghĩa chọn trong ngôn ngữ này. Nguồn dẫn trong hồ sơ định nghĩa làm việc: DIP_D23: Tiêu đề; nội dung hợp tác hai tổ chức hữu nghị
DIP_D38: Câu trả lời về vai trò Đại sứ quán, đoạn cuối</x:v>
      </x:c>
      <x:c r="K382" s="11" t="str">
        <x:v>2026-10-28</x:v>
      </x:c>
    </x:row>
    <x:row r="383" ht="72" customHeight="1">
      <x:c r="A383" s="11" t="str">
        <x:v>T168</x:v>
      </x:c>
      <x:c r="B383" s="11" t="str">
        <x:v>KO</x:v>
      </x:c>
      <x:c r="C383" s="11" t="str">
        <x:v>인민외교</x:v>
      </x:c>
      <x:c r="D383" s="11" t="str">
        <x:v>CẦN TRA — chưa xác minh mục từ</x:v>
      </x:c>
      <x:c r="E383" s="11" t="str">
        <x:v>* Nghĩa làm việc; cần nguồn định nghĩa</x:v>
      </x:c>
      <x:c r="F383" s="11" t="str">
        <x:v>VI</x:v>
      </x:c>
      <x:c r="G383" s="11" t="str">
        <x:v>S154</x:v>
      </x:c>
      <x:c r="H383" s="11" t="str">
        <x:v>Diễn đạt tiếng Hàn từ nghĩa làm việc; Ngoại giao nhân dân tăng cường quan hệ Việt-Trung</x:v>
      </x:c>
      <x:c r="I383" s="30" t="str">
        <x:v>https://mofa.gov.vn/tin-chi-tiet/chi-tiet/ngoai-giao-nhan-dan-tang-cuong-quan-he-viet-trung-589.html</x:v>
      </x:c>
      <x:c r="J383" s="11" t="str">
        <x:v>Chưa xác minh định nghĩa độc lập của nguyên biểu thức/nghĩa chọn trong ngôn ngữ này. Nguồn dẫn trong hồ sơ định nghĩa làm việc: DIP_D23: Tiêu đề; nội dung hợp tác hai tổ chức hữu nghị
DIP_D38: Câu trả lời về vai trò Đại sứ quán, đoạn cuối</x:v>
      </x:c>
      <x:c r="K383" s="11" t="str">
        <x:v>2026-10-28</x:v>
      </x:c>
    </x:row>
    <x:row r="384" ht="57" customHeight="1">
      <x:c r="A384" s="11" t="str">
        <x:v>T168</x:v>
      </x:c>
      <x:c r="B384" s="11" t="str">
        <x:v>Bổ sung</x:v>
      </x:c>
      <x:c r="C384" s="11" t="str">
        <x:v>ngoại giao nhân dân / 인민외교</x:v>
      </x:c>
      <x:c r="D384" s="11" t="str">
        <x:v>Xem dòng VI/KO</x:v>
      </x:c>
      <x:c r="E384" s="11" t="str">
        <x:v>Căn cứ nghĩa làm việc</x:v>
      </x:c>
      <x:c r="F384" s="11" t="str">
        <x:v>VI</x:v>
      </x:c>
      <x:c r="G384" s="11" t="str">
        <x:v>S146</x:v>
      </x:c>
      <x:c r="H384" s="11" t="str">
        <x:v>Đại sứ Việt Nam Angola Dương Chính Chức trả lời phỏng vấn về quan hệ Việt Nam – Angola</x:v>
      </x:c>
      <x:c r="I384" s="30" t="str">
        <x:v>https://web.mofa.gov.vn/web/guest/tin-chi-tiet/chi-tiet/dai-su-viet-nam-angola-duong-chinh-chuc-tra-loi-phong-van-ve-quan-he-viet-nam-angola-61180-1500.html</x:v>
      </x:c>
      <x:c r="J384" s="11" t="str">
        <x:v>Nguồn dẫn trong hồ sơ định nghĩa làm việc: DIP_D23: Tiêu đề; nội dung hợp tác hai tổ chức hữu nghị
DIP_D38: Câu trả lời về vai trò Đại sứ quán, đoạn cuối</x:v>
      </x:c>
      <x:c r="K384" s="11" t="str">
        <x:v>2026-10-28</x:v>
      </x:c>
    </x:row>
    <x:row r="385" ht="72" customHeight="1">
      <x:c r="A385" s="11" t="str">
        <x:v>T162</x:v>
      </x:c>
      <x:c r="B385" s="11" t="str">
        <x:v>VI</x:v>
      </x:c>
      <x:c r="C385" s="11" t="str">
        <x:v>ngoại giao văn hóa</x:v>
      </x:c>
      <x:c r="D385" s="11" t="str">
        <x:v>CẦN TRA — chưa xác minh mục từ</x:v>
      </x:c>
      <x:c r="E385" s="11" t="str">
        <x:v>* Nghĩa làm việc; cần nguồn định nghĩa</x:v>
      </x:c>
      <x:c r="F385" s="11" t="str">
        <x:v>VI</x:v>
      </x:c>
      <x:c r="G385" s="11" t="str">
        <x:v>S155</x:v>
      </x:c>
      <x:c r="H385" s="11" t="str">
        <x:v>Ngoại giao văn hóa – nền tảng tinh thần tạo nên bản sắc của ngoại giao Việt Nam, phục vụ phát triển bền vững đất nước</x:v>
      </x:c>
      <x:c r="I385" s="30" t="str">
        <x:v>https://mofahcm.gov.vn/tin-tuc/hoat-dong-doi-ngoai-cua-viet-nam/ngoai-giao-van-hoa-nen-tang-tinh-than-tao-nen-ban-sac-cua-ngoai-giao-viet-nam-phuc-vu-phat-trien-ben-vung-dat-nuoc</x:v>
      </x:c>
      <x:c r="J385" s="11" t="str">
        <x:v>Chưa xác minh định nghĩa độc lập của nguyên biểu thức/nghĩa chọn trong ngôn ngữ này. Nguồn dẫn trong hồ sơ định nghĩa làm việc: DIP_D21: Năm mục tiêu; phát biểu kết luận
S09: trang in 90/PDF 90</x:v>
      </x:c>
      <x:c r="K385" s="11" t="str">
        <x:v>2026-10-28</x:v>
      </x:c>
    </x:row>
    <x:row r="386" ht="72" customHeight="1">
      <x:c r="A386" s="11" t="str">
        <x:v>T162</x:v>
      </x:c>
      <x:c r="B386" s="11" t="str">
        <x:v>KO</x:v>
      </x:c>
      <x:c r="C386" s="11" t="str">
        <x:v>문화 외교</x:v>
      </x:c>
      <x:c r="D386" s="11" t="str">
        <x:v>CẦN TRA — chưa xác minh mục từ</x:v>
      </x:c>
      <x:c r="E386" s="11" t="str">
        <x:v>* Nghĩa làm việc; cần nguồn định nghĩa</x:v>
      </x:c>
      <x:c r="F386" s="11" t="str">
        <x:v>VI</x:v>
      </x:c>
      <x:c r="G386" s="11" t="str">
        <x:v>S155</x:v>
      </x:c>
      <x:c r="H386" s="11" t="str">
        <x:v>Diễn đạt tiếng Hàn từ nghĩa làm việc; Ngoại giao văn hóa – nền tảng tinh thần tạo nên bản sắc của ngoại giao Việt Nam, phục vụ phát triển bền vững đất nước</x:v>
      </x:c>
      <x:c r="I386" s="30" t="str">
        <x:v>https://mofahcm.gov.vn/tin-tuc/hoat-dong-doi-ngoai-cua-viet-nam/ngoai-giao-van-hoa-nen-tang-tinh-than-tao-nen-ban-sac-cua-ngoai-giao-viet-nam-phuc-vu-phat-trien-ben-vung-dat-nuoc</x:v>
      </x:c>
      <x:c r="J386" s="11" t="str">
        <x:v>Chưa xác minh định nghĩa độc lập của nguyên biểu thức/nghĩa chọn trong ngôn ngữ này. Nguồn dẫn trong hồ sơ định nghĩa làm việc: DIP_D21: Năm mục tiêu; phát biểu kết luận
S09: trang in 90/PDF 90</x:v>
      </x:c>
      <x:c r="K386" s="11" t="str">
        <x:v>2026-10-28</x:v>
      </x:c>
    </x:row>
    <x:row r="387" ht="57" customHeight="1">
      <x:c r="A387" s="11" t="str">
        <x:v>T032</x:v>
      </x:c>
      <x:c r="B387" s="11" t="str">
        <x:v>VI</x:v>
      </x:c>
      <x:c r="C387" s="11" t="str">
        <x:v>phòng, chống tham nhũng</x:v>
      </x:c>
      <x:c r="D387" s="11" t="str">
        <x:v>CẦN TRA — chưa xác minh mục từ</x:v>
      </x:c>
      <x:c r="E387" s="11" t="str">
        <x:v>* Nghĩa làm việc; cần nguồn định nghĩa</x:v>
      </x:c>
      <x:c r="F387" s="11" t="str">
        <x:v>VI</x:v>
      </x:c>
      <x:c r="G387" s="11" t="str">
        <x:v>S156</x:v>
      </x:c>
      <x:c r="H387" s="11" t="str">
        <x:v>Luật Phòng, chống tham nhũng 36/2018/QH14</x:v>
      </x:c>
      <x:c r="I387" s="30" t="str">
        <x:v>https://pbgdpl.moj.gov.vn/qt/tl-pbgdpl/Lists/DeCuong/Attachments/268/Lu%E1%BA%ADt%20ph%C3%B2ng%2C%20ch%E1%BB%91ng%20tham%20nh%C5%A9ng.pdf</x:v>
      </x:c>
      <x:c r="J387" s="11" t="str">
        <x:v>Chưa xác minh định nghĩa độc lập của nguyên biểu thức/nghĩa chọn trong ngôn ngữ này. Nguồn dẫn trong hồ sơ định nghĩa làm việc: POL_PCTN: Điều 1</x:v>
      </x:c>
      <x:c r="K387" s="11" t="str">
        <x:v>2026-10-28</x:v>
      </x:c>
    </x:row>
    <x:row r="388" ht="57" customHeight="1">
      <x:c r="A388" s="11" t="str">
        <x:v>T032</x:v>
      </x:c>
      <x:c r="B388" s="11" t="str">
        <x:v>KO</x:v>
      </x:c>
      <x:c r="C388" s="11" t="str">
        <x:v>부패 방지 및 통제</x:v>
      </x:c>
      <x:c r="D388" s="11" t="str">
        <x:v>CẦN TRA — chưa xác minh mục từ</x:v>
      </x:c>
      <x:c r="E388" s="11" t="str">
        <x:v>* Nghĩa làm việc; cần nguồn định nghĩa</x:v>
      </x:c>
      <x:c r="F388" s="11" t="str">
        <x:v>VI</x:v>
      </x:c>
      <x:c r="G388" s="11" t="str">
        <x:v>S156</x:v>
      </x:c>
      <x:c r="H388" s="11" t="str">
        <x:v>Diễn đạt tiếng Hàn từ nghĩa làm việc; Luật Phòng, chống tham nhũng 36/2018/QH14</x:v>
      </x:c>
      <x:c r="I388" s="30" t="str">
        <x:v>https://pbgdpl.moj.gov.vn/qt/tl-pbgdpl/Lists/DeCuong/Attachments/268/Lu%E1%BA%ADt%20ph%C3%B2ng%2C%20ch%E1%BB%91ng%20tham%20nh%C5%A9ng.pdf</x:v>
      </x:c>
      <x:c r="J388" s="11" t="str">
        <x:v>Chưa xác minh định nghĩa độc lập của nguyên biểu thức/nghĩa chọn trong ngôn ngữ này. Nguồn dẫn trong hồ sơ định nghĩa làm việc: POL_PCTN: Điều 1</x:v>
      </x:c>
      <x:c r="K388" s="11" t="str">
        <x:v>2026-10-28</x:v>
      </x:c>
    </x:row>
    <x:row r="389" ht="57" customHeight="1">
      <x:c r="A389" s="11" t="str">
        <x:v>T033</x:v>
      </x:c>
      <x:c r="B389" s="11" t="str">
        <x:v>VI</x:v>
      </x:c>
      <x:c r="C389" s="11" t="str">
        <x:v>quản lý nhà nước</x:v>
      </x:c>
      <x:c r="D389" s="11" t="str">
        <x:v>CẦN TRA — chưa xác minh mục từ</x:v>
      </x:c>
      <x:c r="E389" s="11" t="str">
        <x:v>* Nghĩa làm việc; cần nguồn định nghĩa</x:v>
      </x:c>
      <x:c r="F389" s="11" t="str">
        <x:v>VI</x:v>
      </x:c>
      <x:c r="G389" s="11" t="str">
        <x:v>S096</x:v>
      </x:c>
      <x:c r="H389" s="11" t="str">
        <x:v>Hiến pháp nước Cộng hòa xã hội chủ nghĩa Việt Nam (2013)</x:v>
      </x:c>
      <x:c r="I389" s="30" t="str">
        <x:v>https://xaydungchinhsach.chinhphu.vn/toan-van-hien-phap-nuoc-cong-hoa-xa-hoi-chu-nghia-viet-nam-119231225213002261.htm</x:v>
      </x:c>
      <x:c r="J389" s="11" t="str">
        <x:v>Chưa xác minh định nghĩa độc lập của nguyên biểu thức/nghĩa chọn trong ngôn ngữ này. Nguồn dẫn trong hồ sơ cũ; không phải xác nhận đã tìm được mục từ giải nghĩa trực tiếp.</x:v>
      </x:c>
      <x:c r="K389" s="11" t="str">
        <x:v>2026-10-28</x:v>
      </x:c>
    </x:row>
    <x:row r="390" ht="57" customHeight="1">
      <x:c r="A390" s="11" t="str">
        <x:v>T033</x:v>
      </x:c>
      <x:c r="B390" s="11" t="str">
        <x:v>KO</x:v>
      </x:c>
      <x:c r="C390" s="11" t="str">
        <x:v>국가 운영</x:v>
      </x:c>
      <x:c r="D390" s="11" t="str">
        <x:v>CẦN TRA — chưa xác minh mục từ</x:v>
      </x:c>
      <x:c r="E390" s="11" t="str">
        <x:v>* Nghĩa làm việc; cần nguồn định nghĩa</x:v>
      </x:c>
      <x:c r="F390" s="11" t="str">
        <x:v>VI</x:v>
      </x:c>
      <x:c r="G390" s="11" t="str">
        <x:v>S096</x:v>
      </x:c>
      <x:c r="H390" s="11" t="str">
        <x:v>Diễn đạt tiếng Hàn từ nghĩa làm việc; Hiến pháp nước Cộng hòa xã hội chủ nghĩa Việt Nam (2013)</x:v>
      </x:c>
      <x:c r="I390" s="30" t="str">
        <x:v>https://xaydungchinhsach.chinhphu.vn/toan-van-hien-phap-nuoc-cong-hoa-xa-hoi-chu-nghia-viet-nam-119231225213002261.htm</x:v>
      </x:c>
      <x:c r="J390" s="11" t="str">
        <x:v>Chưa xác minh định nghĩa độc lập của nguyên biểu thức/nghĩa chọn trong ngôn ngữ này. Nguồn dẫn trong hồ sơ cũ; không phải xác nhận đã tìm được mục từ giải nghĩa trực tiếp.</x:v>
      </x:c>
      <x:c r="K390" s="11" t="str">
        <x:v>2026-10-28</x:v>
      </x:c>
    </x:row>
    <x:row r="391" ht="57" customHeight="1">
      <x:c r="A391" s="11" t="str">
        <x:v>T045</x:v>
      </x:c>
      <x:c r="B391" s="11" t="str">
        <x:v>VI</x:v>
      </x:c>
      <x:c r="C391" s="11" t="str">
        <x:v>quản trị quốc gia</x:v>
      </x:c>
      <x:c r="D391" s="11" t="str">
        <x:v>CẦN TRA — chưa xác minh mục từ</x:v>
      </x:c>
      <x:c r="E391" s="11" t="str">
        <x:v>* Nghĩa làm việc; cần nguồn định nghĩa</x:v>
      </x:c>
      <x:c r="F391" s="11" t="str">
        <x:v>VI</x:v>
      </x:c>
      <x:c r="G391" s="11" t="str">
        <x:v>S157</x:v>
      </x:c>
      <x:c r="H391" s="11" t="str">
        <x:v>Nguyễn Huyền Hạnh, Xây dựng đội ngũ công chức, viên chức đáp ứng yêu cầu đổi mới quản trị quốc gia theo hướng hiện đại, hiệu lực, hiệu quả</x:v>
      </x:c>
      <x:c r="I391" s="30" t="str">
        <x:v>https://isol.moha.gov.vn/DATA/IMAGES/2025/10/05/43857-1019bantintt_so2_2025.pdf</x:v>
      </x:c>
      <x:c r="J391" s="11" t="str">
        <x:v>Chưa xác minh định nghĩa độc lập của nguyên biểu thức/nghĩa chọn trong ngôn ngữ này. Nguồn dẫn trong hồ sơ định nghĩa làm việc: POL_QTQG: Trang in 1; PDF trang 3 (chỉ số 2), đoạn mở đầu</x:v>
      </x:c>
      <x:c r="K391" s="11" t="str">
        <x:v>2026-10-28</x:v>
      </x:c>
    </x:row>
    <x:row r="392" ht="72" customHeight="1">
      <x:c r="A392" s="11" t="str">
        <x:v>T045</x:v>
      </x:c>
      <x:c r="B392" s="11" t="str">
        <x:v>KO</x:v>
      </x:c>
      <x:c r="C392" s="11" t="str">
        <x:v>국가 거버넌스</x:v>
      </x:c>
      <x:c r="D392" s="11" t="str">
        <x:v>CẦN TRA — chưa xác minh mục từ</x:v>
      </x:c>
      <x:c r="E392" s="11" t="str">
        <x:v>* Nghĩa làm việc; cần nguồn định nghĩa</x:v>
      </x:c>
      <x:c r="F392" s="11" t="str">
        <x:v>VI</x:v>
      </x:c>
      <x:c r="G392" s="11" t="str">
        <x:v>S157</x:v>
      </x:c>
      <x:c r="H392" s="11" t="str">
        <x:v>Diễn đạt tiếng Hàn từ nghĩa làm việc; Nguyễn Huyền Hạnh, Xây dựng đội ngũ công chức, viên chức đáp ứng yêu cầu đổi mới quản trị quốc gia theo hướng hiện đại, hiệu lực, hiệu quả</x:v>
      </x:c>
      <x:c r="I392" s="30" t="str">
        <x:v>https://isol.moha.gov.vn/DATA/IMAGES/2025/10/05/43857-1019bantintt_so2_2025.pdf</x:v>
      </x:c>
      <x:c r="J392" s="11" t="str">
        <x:v>Chưa xác minh định nghĩa độc lập của nguyên biểu thức/nghĩa chọn trong ngôn ngữ này. Nguồn dẫn trong hồ sơ định nghĩa làm việc: POL_QTQG: Trang in 1; PDF trang 3 (chỉ số 2), đoạn mở đầu</x:v>
      </x:c>
      <x:c r="K392" s="11" t="str">
        <x:v>2026-10-28</x:v>
      </x:c>
    </x:row>
    <x:row r="393" ht="57" customHeight="1">
      <x:c r="A393" s="11" t="str">
        <x:v>CGI004</x:v>
      </x:c>
      <x:c r="B393" s="11" t="str">
        <x:v>VI</x:v>
      </x:c>
      <x:c r="C393" s="11" t="str">
        <x:v>tái đắc cử</x:v>
      </x:c>
      <x:c r="D393" s="11" t="str">
        <x:v>CẦN TRA — chưa xác minh mục từ</x:v>
      </x:c>
      <x:c r="E393" s="11" t="str">
        <x:v>* Nghĩa làm việc; cần nguồn định nghĩa</x:v>
      </x:c>
      <x:c r="F393" s="11" t="str">
        <x:v>VI</x:v>
      </x:c>
      <x:c r="G393" s="11" t="str">
        <x:v>S158</x:v>
      </x:c>
      <x:c r="H393" s="11" t="str">
        <x:v>Ngữ liệu được dẫn trong Mã hóa 167: tái đắc cử</x:v>
      </x:c>
      <x:c r="I393" s="30" t="str">
        <x:v>https://nhandan.vn/dien-thu-chuc-mung-tong-bi-thu-ban-chap-hanh-trung-uong-dang-cong-san-viet-nam-khoa-xiv-to-lam-post938941.html</x:v>
      </x:c>
      <x:c r="J393" s="11" t="str">
        <x:v>Chưa xác minh định nghĩa độc lập của nguyên biểu thức/nghĩa chọn trong ngôn ngữ này. Chứng cứ cách dùng kế thừa hồ sơ; không phải định nghĩa từ điển độc lập.</x:v>
      </x:c>
      <x:c r="K393" s="11" t="str">
        <x:v>2026-10-28</x:v>
      </x:c>
    </x:row>
    <x:row r="394" ht="57" customHeight="1">
      <x:c r="A394" s="11" t="str">
        <x:v>CGI004</x:v>
      </x:c>
      <x:c r="B394" s="11" t="str">
        <x:v>KO</x:v>
      </x:c>
      <x:c r="C394" s="11" t="str">
        <x:v>재선</x:v>
      </x:c>
      <x:c r="D394" s="11" t="str">
        <x:v>CẦN TRA — chưa xác minh mục từ</x:v>
      </x:c>
      <x:c r="E394" s="11" t="str">
        <x:v>* Nghĩa làm việc; cần nguồn định nghĩa</x:v>
      </x:c>
      <x:c r="F394" s="11" t="str">
        <x:v>VI</x:v>
      </x:c>
      <x:c r="G394" s="11" t="str">
        <x:v>S158</x:v>
      </x:c>
      <x:c r="H394" s="11" t="str">
        <x:v>Diễn đạt tiếng Hàn từ nghĩa làm việc; Ngữ liệu được dẫn trong Mã hóa 167: tái đắc cử</x:v>
      </x:c>
      <x:c r="I394" s="30" t="str">
        <x:v>https://nhandan.vn/dien-thu-chuc-mung-tong-bi-thu-ban-chap-hanh-trung-uong-dang-cong-san-viet-nam-khoa-xiv-to-lam-post938941.html</x:v>
      </x:c>
      <x:c r="J394" s="11" t="str">
        <x:v>Chưa xác minh định nghĩa độc lập của nguyên biểu thức/nghĩa chọn trong ngôn ngữ này. Chứng cứ cách dùng kế thừa hồ sơ; không phải định nghĩa từ điển độc lập.</x:v>
      </x:c>
      <x:c r="K394" s="11" t="str">
        <x:v>2026-10-28</x:v>
      </x:c>
    </x:row>
    <x:row r="395" ht="72" customHeight="1">
      <x:c r="A395" s="11" t="str">
        <x:v>T136</x:v>
      </x:c>
      <x:c r="B395" s="11" t="str">
        <x:v>VI</x:v>
      </x:c>
      <x:c r="C395" s="11" t="str">
        <x:v>thăm cấp Nhà nước</x:v>
      </x:c>
      <x:c r="D395" s="11" t="str">
        <x:v>CẦN TRA — chưa xác minh mục từ</x:v>
      </x:c>
      <x:c r="E395" s="11" t="str">
        <x:v>* Nghĩa làm việc; cần nguồn định nghĩa</x:v>
      </x:c>
      <x:c r="F395" s="11" t="str">
        <x:v>VI</x:v>
      </x:c>
      <x:c r="G395" s="11" t="str">
        <x:v>S141</x:v>
      </x:c>
      <x:c r="H395" s="11" t="str">
        <x:v>Nghị định 18/2022/NĐ-CP về Nghi lễ đối ngoại</x:v>
      </x:c>
      <x:c r="I395" s="30" t="str">
        <x:v>https://vbpl.vn/bongoaigiao/Pages/vbpq-toanvan.aspx?ItemID=154119&amp;dvid=211</x:v>
      </x:c>
      <x:c r="J395" s="11" t="str">
        <x:v>Chưa xác minh định nghĩa độc lập của nguyên biểu thức/nghĩa chọn trong ngôn ngữ này. Nguồn dẫn trong hồ sơ định nghĩa làm việc: DIP_D01: Điều 3 khoản 7; Điều 6 khoản 3
S09: trang in 88/PDF 88</x:v>
      </x:c>
      <x:c r="K395" s="11" t="str">
        <x:v>2026-10-28</x:v>
      </x:c>
    </x:row>
    <x:row r="396" ht="72" customHeight="1">
      <x:c r="A396" s="11" t="str">
        <x:v>T136</x:v>
      </x:c>
      <x:c r="B396" s="11" t="str">
        <x:v>KO</x:v>
      </x:c>
      <x:c r="C396" s="11" t="str">
        <x:v>국빈 방문</x:v>
      </x:c>
      <x:c r="D396" s="11" t="str">
        <x:v>CẦN TRA — chưa xác minh mục từ</x:v>
      </x:c>
      <x:c r="E396" s="11" t="str">
        <x:v>* Nghĩa làm việc; cần nguồn định nghĩa</x:v>
      </x:c>
      <x:c r="F396" s="11" t="str">
        <x:v>VI</x:v>
      </x:c>
      <x:c r="G396" s="11" t="str">
        <x:v>S141</x:v>
      </x:c>
      <x:c r="H396" s="11" t="str">
        <x:v>Diễn đạt tiếng Hàn từ nghĩa làm việc; Nghị định 18/2022/NĐ-CP về Nghi lễ đối ngoại</x:v>
      </x:c>
      <x:c r="I396" s="30" t="str">
        <x:v>https://vbpl.vn/bongoaigiao/Pages/vbpq-toanvan.aspx?ItemID=154119&amp;dvid=211</x:v>
      </x:c>
      <x:c r="J396" s="11" t="str">
        <x:v>Chưa xác minh định nghĩa độc lập của nguyên biểu thức/nghĩa chọn trong ngôn ngữ này. Nguồn dẫn trong hồ sơ định nghĩa làm việc: DIP_D01: Điều 3 khoản 7; Điều 6 khoản 3
S09: trang in 88/PDF 88</x:v>
      </x:c>
      <x:c r="K396" s="11" t="str">
        <x:v>2026-10-28</x:v>
      </x:c>
    </x:row>
    <x:row r="397" ht="72" customHeight="1">
      <x:c r="A397" s="11" t="str">
        <x:v>T139</x:v>
      </x:c>
      <x:c r="B397" s="11" t="str">
        <x:v>VI</x:v>
      </x:c>
      <x:c r="C397" s="11" t="str">
        <x:v>thăm chính thức</x:v>
      </x:c>
      <x:c r="D397" s="11" t="str">
        <x:v>CẦN TRA — chưa xác minh mục từ</x:v>
      </x:c>
      <x:c r="E397" s="11" t="str">
        <x:v>* Nghĩa làm việc; cần nguồn định nghĩa</x:v>
      </x:c>
      <x:c r="F397" s="11" t="str">
        <x:v>VI</x:v>
      </x:c>
      <x:c r="G397" s="11" t="str">
        <x:v>S141</x:v>
      </x:c>
      <x:c r="H397" s="11" t="str">
        <x:v>Nghị định 18/2022/NĐ-CP về Nghi lễ đối ngoại</x:v>
      </x:c>
      <x:c r="I397" s="30" t="str">
        <x:v>https://vbpl.vn/bongoaigiao/Pages/vbpq-toanvan.aspx?ItemID=154119&amp;dvid=211</x:v>
      </x:c>
      <x:c r="J397" s="11" t="str">
        <x:v>Chưa xác minh định nghĩa độc lập của nguyên biểu thức/nghĩa chọn trong ngôn ngữ này. Nguồn dẫn trong hồ sơ định nghĩa làm việc: DIP_D01: Điều 3 khoản 7; Điều 6 khoản 3
S09: trang in 88/PDF 88</x:v>
      </x:c>
      <x:c r="K397" s="11" t="str">
        <x:v>2026-10-28</x:v>
      </x:c>
    </x:row>
    <x:row r="398" ht="72" customHeight="1">
      <x:c r="A398" s="11" t="str">
        <x:v>T139</x:v>
      </x:c>
      <x:c r="B398" s="11" t="str">
        <x:v>KO</x:v>
      </x:c>
      <x:c r="C398" s="11" t="str">
        <x:v>공식 방문</x:v>
      </x:c>
      <x:c r="D398" s="11" t="str">
        <x:v>CẦN TRA — chưa xác minh mục từ</x:v>
      </x:c>
      <x:c r="E398" s="11" t="str">
        <x:v>* Nghĩa làm việc; cần nguồn định nghĩa</x:v>
      </x:c>
      <x:c r="F398" s="11" t="str">
        <x:v>VI</x:v>
      </x:c>
      <x:c r="G398" s="11" t="str">
        <x:v>S141</x:v>
      </x:c>
      <x:c r="H398" s="11" t="str">
        <x:v>Diễn đạt tiếng Hàn từ nghĩa làm việc; Nghị định 18/2022/NĐ-CP về Nghi lễ đối ngoại</x:v>
      </x:c>
      <x:c r="I398" s="30" t="str">
        <x:v>https://vbpl.vn/bongoaigiao/Pages/vbpq-toanvan.aspx?ItemID=154119&amp;dvid=211</x:v>
      </x:c>
      <x:c r="J398" s="11" t="str">
        <x:v>Chưa xác minh định nghĩa độc lập của nguyên biểu thức/nghĩa chọn trong ngôn ngữ này. Nguồn dẫn trong hồ sơ định nghĩa làm việc: DIP_D01: Điều 3 khoản 7; Điều 6 khoản 3
S09: trang in 88/PDF 88</x:v>
      </x:c>
      <x:c r="K398" s="11" t="str">
        <x:v>2026-10-28</x:v>
      </x:c>
    </x:row>
    <x:row r="399" ht="57" customHeight="1">
      <x:c r="A399" s="11" t="str">
        <x:v>T144</x:v>
      </x:c>
      <x:c r="B399" s="11" t="str">
        <x:v>VI</x:v>
      </x:c>
      <x:c r="C399" s="11" t="str">
        <x:v>thiết lập quan hệ ngoại giao</x:v>
      </x:c>
      <x:c r="D399" s="11" t="str">
        <x:v>CẦN TRA — chưa xác minh mục từ</x:v>
      </x:c>
      <x:c r="E399" s="11" t="str">
        <x:v>* Nghĩa làm việc; cần nguồn định nghĩa</x:v>
      </x:c>
      <x:c r="F399" s="11" t="str">
        <x:v>VI</x:v>
      </x:c>
      <x:c r="G399" s="11" t="str">
        <x:v>S106</x:v>
      </x:c>
      <x:c r="H399" s="11" t="str">
        <x:v>Tuyên bố chung Việt Nam – Hàn Quốc về quan hệ đối tác chiến lược toàn diện</x:v>
      </x:c>
      <x:c r="I399" s="30" t="str">
        <x:v>https://vpctn.gov.vn/tin-tuc-su-kien/hoat-dong-cua-chu-tich-nuoc/tuyen-bo-chung-viet-nam-han-quoc-ve-quan-he-doi-tac-chien-luoc-toan-dien.html</x:v>
      </x:c>
      <x:c r="J399" s="11" t="str">
        <x:v>Chưa xác minh định nghĩa độc lập của nguyên biểu thức/nghĩa chọn trong ngôn ngữ này. Nguồn dẫn trong hồ sơ cũ; không phải xác nhận đã tìm được mục từ giải nghĩa trực tiếp.</x:v>
      </x:c>
      <x:c r="K399" s="11" t="str">
        <x:v>2026-10-28</x:v>
      </x:c>
    </x:row>
    <x:row r="400" ht="57" customHeight="1">
      <x:c r="A400" s="11" t="str">
        <x:v>T144</x:v>
      </x:c>
      <x:c r="B400" s="11" t="str">
        <x:v>KO</x:v>
      </x:c>
      <x:c r="C400" s="11" t="str">
        <x:v>수교</x:v>
      </x:c>
      <x:c r="D400" s="11" t="str">
        <x:v>CẦN TRA — chưa xác minh mục từ</x:v>
      </x:c>
      <x:c r="E400" s="11" t="str">
        <x:v>* Nghĩa làm việc; cần nguồn định nghĩa</x:v>
      </x:c>
      <x:c r="F400" s="11" t="str">
        <x:v>VI</x:v>
      </x:c>
      <x:c r="G400" s="11" t="str">
        <x:v>S106</x:v>
      </x:c>
      <x:c r="H400" s="11" t="str">
        <x:v>Diễn đạt tiếng Hàn từ nghĩa làm việc; Tuyên bố chung Việt Nam – Hàn Quốc về quan hệ đối tác chiến lược toàn diện</x:v>
      </x:c>
      <x:c r="I400" s="30" t="str">
        <x:v>https://vpctn.gov.vn/tin-tuc-su-kien/hoat-dong-cua-chu-tich-nuoc/tuyen-bo-chung-viet-nam-han-quoc-ve-quan-he-doi-tac-chien-luoc-toan-dien.html</x:v>
      </x:c>
      <x:c r="J400" s="11" t="str">
        <x:v>Chưa xác minh định nghĩa độc lập của nguyên biểu thức/nghĩa chọn trong ngôn ngữ này. Nguồn dẫn trong hồ sơ cũ; không phải xác nhận đã tìm được mục từ giải nghĩa trực tiếp.</x:v>
      </x:c>
      <x:c r="K400" s="11" t="str">
        <x:v>2026-10-28</x:v>
      </x:c>
    </x:row>
    <x:row r="401" ht="72" customHeight="1">
      <x:c r="A401" s="11" t="str">
        <x:v>T180</x:v>
      </x:c>
      <x:c r="B401" s="11" t="str">
        <x:v>VI</x:v>
      </x:c>
      <x:c r="C401" s="11" t="str">
        <x:v>thông tin đối ngoại</x:v>
      </x:c>
      <x:c r="D401" s="11" t="str">
        <x:v>CẦN TRA — chưa xác minh mục từ</x:v>
      </x:c>
      <x:c r="E401" s="11" t="str">
        <x:v>* Nghĩa làm việc; cần nguồn định nghĩa</x:v>
      </x:c>
      <x:c r="F401" s="11" t="str">
        <x:v>VI</x:v>
      </x:c>
      <x:c r="G401" s="11" t="str">
        <x:v>S155</x:v>
      </x:c>
      <x:c r="H401" s="11" t="str">
        <x:v>Ngoại giao văn hóa – nền tảng tinh thần tạo nên bản sắc của ngoại giao Việt Nam, phục vụ phát triển bền vững đất nước</x:v>
      </x:c>
      <x:c r="I401" s="30" t="str">
        <x:v>https://mofahcm.gov.vn/tin-tuc/hoat-dong-doi-ngoai-cua-viet-nam/ngoai-giao-van-hoa-nen-tang-tinh-than-tao-nen-ban-sac-cua-ngoai-giao-viet-nam-phuc-vu-phat-trien-ben-vung-dat-nuoc</x:v>
      </x:c>
      <x:c r="J401" s="11" t="str">
        <x:v>Chưa xác minh định nghĩa độc lập của nguyên biểu thức/nghĩa chọn trong ngôn ngữ này. Nguồn dẫn trong hồ sơ định nghĩa làm việc: DIP_D21: Năm mục tiêu; phát biểu kết luận
S09: trang in 90/PDF 90</x:v>
      </x:c>
      <x:c r="K401" s="11" t="str">
        <x:v>2026-10-28</x:v>
      </x:c>
    </x:row>
    <x:row r="402" ht="72" customHeight="1">
      <x:c r="A402" s="11" t="str">
        <x:v>T180</x:v>
      </x:c>
      <x:c r="B402" s="11" t="str">
        <x:v>KO</x:v>
      </x:c>
      <x:c r="C402" s="11" t="str">
        <x:v>대외 정보</x:v>
      </x:c>
      <x:c r="D402" s="11" t="str">
        <x:v>CẦN TRA — chưa xác minh mục từ</x:v>
      </x:c>
      <x:c r="E402" s="11" t="str">
        <x:v>* Nghĩa làm việc; cần nguồn định nghĩa</x:v>
      </x:c>
      <x:c r="F402" s="11" t="str">
        <x:v>VI</x:v>
      </x:c>
      <x:c r="G402" s="11" t="str">
        <x:v>S155</x:v>
      </x:c>
      <x:c r="H402" s="11" t="str">
        <x:v>Diễn đạt tiếng Hàn từ nghĩa làm việc; Ngoại giao văn hóa – nền tảng tinh thần tạo nên bản sắc của ngoại giao Việt Nam, phục vụ phát triển bền vững đất nước</x:v>
      </x:c>
      <x:c r="I402" s="30" t="str">
        <x:v>https://mofahcm.gov.vn/tin-tuc/hoat-dong-doi-ngoai-cua-viet-nam/ngoai-giao-van-hoa-nen-tang-tinh-than-tao-nen-ban-sac-cua-ngoai-giao-viet-nam-phuc-vu-phat-trien-ben-vung-dat-nuoc</x:v>
      </x:c>
      <x:c r="J402" s="11" t="str">
        <x:v>Chưa xác minh định nghĩa độc lập của nguyên biểu thức/nghĩa chọn trong ngôn ngữ này. Nguồn dẫn trong hồ sơ định nghĩa làm việc: DIP_D21: Năm mục tiêu; phát biểu kết luận
S09: trang in 90/PDF 90</x:v>
      </x:c>
      <x:c r="K402" s="11" t="str">
        <x:v>2026-10-28</x:v>
      </x:c>
    </x:row>
    <x:row r="403" ht="57" customHeight="1">
      <x:c r="A403" s="11" t="str">
        <x:v>M045</x:v>
      </x:c>
      <x:c r="B403" s="11" t="str">
        <x:v>VI</x:v>
      </x:c>
      <x:c r="C403" s="11" t="str">
        <x:v>thực thi pháp luật trên biển</x:v>
      </x:c>
      <x:c r="D403" s="11" t="str">
        <x:v>CẦN TRA — chưa xác minh mục từ</x:v>
      </x:c>
      <x:c r="E403" s="11" t="str">
        <x:v>* Nghĩa làm việc; cần nguồn định nghĩa</x:v>
      </x:c>
      <x:c r="F403" s="11" t="str">
        <x:v>VI</x:v>
      </x:c>
      <x:c r="G403" s="11" t="str">
        <x:v>S061</x:v>
      </x:c>
      <x:c r="H403" s="11" t="str">
        <x:v>Cảnh sát biển là nòng cốt thực thi pháp luật trên biển</x:v>
      </x:c>
      <x:c r="I403" s="30" t="str">
        <x:v>https://baochinhphu.vn/canh-sat-bien-la-nong-cot-thuc-thi-phap-luat-tren-bien-102248070.htm</x:v>
      </x:c>
      <x:c r="J403" s="11" t="str">
        <x:v>Chưa xác minh định nghĩa độc lập của nguyên biểu thức/nghĩa chọn trong ngôn ngữ này. Đối chiếu trong hồ sơ cũ;</x:v>
      </x:c>
      <x:c r="K403" s="11" t="str">
        <x:v>2026-10-28</x:v>
      </x:c>
    </x:row>
    <x:row r="404" ht="57" customHeight="1">
      <x:c r="A404" s="11" t="str">
        <x:v>M045</x:v>
      </x:c>
      <x:c r="B404" s="11" t="str">
        <x:v>KO</x:v>
      </x:c>
      <x:c r="C404" s="11" t="str">
        <x:v>해양 법 집행</x:v>
      </x:c>
      <x:c r="D404" s="11" t="str">
        <x:v>CẦN TRA — chưa xác minh mục từ</x:v>
      </x:c>
      <x:c r="E404" s="11" t="str">
        <x:v>* Nghĩa làm việc; cần nguồn định nghĩa</x:v>
      </x:c>
      <x:c r="F404" s="11" t="str">
        <x:v>VI</x:v>
      </x:c>
      <x:c r="G404" s="11" t="str">
        <x:v>S061</x:v>
      </x:c>
      <x:c r="H404" s="11" t="str">
        <x:v>Diễn đạt tiếng Hàn từ nghĩa làm việc; Cảnh sát biển là nòng cốt thực thi pháp luật trên biển</x:v>
      </x:c>
      <x:c r="I404" s="30" t="str">
        <x:v>https://baochinhphu.vn/canh-sat-bien-la-nong-cot-thuc-thi-phap-luat-tren-bien-102248070.htm</x:v>
      </x:c>
      <x:c r="J404" s="11" t="str">
        <x:v>Chưa xác minh định nghĩa độc lập của nguyên biểu thức/nghĩa chọn trong ngôn ngữ này. Đối chiếu trong hồ sơ cũ;</x:v>
      </x:c>
      <x:c r="K404" s="11" t="str">
        <x:v>2026-10-28</x:v>
      </x:c>
    </x:row>
    <x:row r="405" ht="57" customHeight="1">
      <x:c r="A405" s="11" t="str">
        <x:v>T069</x:v>
      </x:c>
      <x:c r="B405" s="11" t="str">
        <x:v>VI</x:v>
      </x:c>
      <x:c r="C405" s="11" t="str">
        <x:v>tinh giản biên chế</x:v>
      </x:c>
      <x:c r="D405" s="11" t="str">
        <x:v>CẦN TRA — chưa xác minh mục từ</x:v>
      </x:c>
      <x:c r="E405" s="11" t="str">
        <x:v>* Nghĩa làm việc; cần nguồn định nghĩa</x:v>
      </x:c>
      <x:c r="F405" s="11" t="str">
        <x:v>VI</x:v>
      </x:c>
      <x:c r="G405" s="11" t="str">
        <x:v>S159</x:v>
      </x:c>
      <x:c r="H405" s="11" t="str">
        <x:v>Nghị định 154/2025/NĐ-CP quy định về tinh giản biên chế</x:v>
      </x:c>
      <x:c r="I405" s="30" t="str">
        <x:v>https://xaydungchinhsach.chinhphu.vn/toan-van-nghi-dinh-154-2025-nd-cp-quy-dinh-ve-tinh-gian-bien-che-119250616125717711.htm</x:v>
      </x:c>
      <x:c r="J405" s="11" t="str">
        <x:v>Chưa xác minh định nghĩa độc lập của nguyên biểu thức/nghĩa chọn trong ngôn ngữ này. Nguồn dẫn trong hồ sơ định nghĩa làm việc: POL_TG: Đoạn giới thiệu phạm vi Nghị định 154/2025/NĐ-CP</x:v>
      </x:c>
      <x:c r="K405" s="11" t="str">
        <x:v>2026-10-28</x:v>
      </x:c>
    </x:row>
    <x:row r="406" ht="57" customHeight="1">
      <x:c r="A406" s="11" t="str">
        <x:v>T069</x:v>
      </x:c>
      <x:c r="B406" s="11" t="str">
        <x:v>KO</x:v>
      </x:c>
      <x:c r="C406" s="11" t="str">
        <x:v>인력 감축</x:v>
      </x:c>
      <x:c r="D406" s="11" t="str">
        <x:v>CẦN TRA — chưa xác minh mục từ</x:v>
      </x:c>
      <x:c r="E406" s="11" t="str">
        <x:v>* Nghĩa làm việc; cần nguồn định nghĩa</x:v>
      </x:c>
      <x:c r="F406" s="11" t="str">
        <x:v>VI</x:v>
      </x:c>
      <x:c r="G406" s="11" t="str">
        <x:v>S159</x:v>
      </x:c>
      <x:c r="H406" s="11" t="str">
        <x:v>Diễn đạt tiếng Hàn từ nghĩa làm việc; Nghị định 154/2025/NĐ-CP quy định về tinh giản biên chế</x:v>
      </x:c>
      <x:c r="I406" s="30" t="str">
        <x:v>https://xaydungchinhsach.chinhphu.vn/toan-van-nghi-dinh-154-2025-nd-cp-quy-dinh-ve-tinh-gian-bien-che-119250616125717711.htm</x:v>
      </x:c>
      <x:c r="J406" s="11" t="str">
        <x:v>Chưa xác minh định nghĩa độc lập của nguyên biểu thức/nghĩa chọn trong ngôn ngữ này. Nguồn dẫn trong hồ sơ định nghĩa làm việc: POL_TG: Đoạn giới thiệu phạm vi Nghị định 154/2025/NĐ-CP</x:v>
      </x:c>
      <x:c r="K406" s="11" t="str">
        <x:v>2026-10-28</x:v>
      </x:c>
    </x:row>
    <x:row r="407" ht="57" customHeight="1">
      <x:c r="A407" s="11" t="str">
        <x:v>T014</x:v>
      </x:c>
      <x:c r="B407" s="11" t="str">
        <x:v>VI</x:v>
      </x:c>
      <x:c r="C407" s="11" t="str">
        <x:v>tổng tuyển cử</x:v>
      </x:c>
      <x:c r="D407" s="11" t="str">
        <x:v>CẦN TRA — chưa xác minh mục từ</x:v>
      </x:c>
      <x:c r="E407" s="11" t="str">
        <x:v>* Nghĩa làm việc; cần nguồn định nghĩa</x:v>
      </x:c>
      <x:c r="F407" s="11" t="str">
        <x:v>VI</x:v>
      </x:c>
      <x:c r="G407" s="11" t="str">
        <x:v>S160</x:v>
      </x:c>
      <x:c r="H407" s="11" t="str">
        <x:v>Bài tư liệu của Cổng thông tin điện tử Quốc hội về Tổng tuyển cử đầu tiên và các Sắc lệnh 14-SL, 51-SL</x:v>
      </x:c>
      <x:c r="I407" s="30" t="str">
        <x:v>https://quochoi.vn/pages/tim-kiem.aspx?ItemID=51010</x:v>
      </x:c>
      <x:c r="J407" s="11" t="str">
        <x:v>Chưa xác minh định nghĩa độc lập của nguyên biểu thức/nghĩa chọn trong ngôn ngữ này. Nguồn dẫn trong hồ sơ định nghĩa làm việc: POL_TTC: Đoạn Sắc lệnh 14-SL và 51-SL năm 1945</x:v>
      </x:c>
      <x:c r="K407" s="11" t="str">
        <x:v>2026-10-28</x:v>
      </x:c>
    </x:row>
    <x:row r="408" ht="57" customHeight="1">
      <x:c r="A408" s="11" t="str">
        <x:v>T014</x:v>
      </x:c>
      <x:c r="B408" s="11" t="str">
        <x:v>KO</x:v>
      </x:c>
      <x:c r="C408" s="11" t="str">
        <x:v>총선</x:v>
      </x:c>
      <x:c r="D408" s="11" t="str">
        <x:v>CẦN TRA — chưa xác minh mục từ</x:v>
      </x:c>
      <x:c r="E408" s="11" t="str">
        <x:v>* Nghĩa làm việc; cần nguồn định nghĩa</x:v>
      </x:c>
      <x:c r="F408" s="11" t="str">
        <x:v>VI</x:v>
      </x:c>
      <x:c r="G408" s="11" t="str">
        <x:v>S160</x:v>
      </x:c>
      <x:c r="H408" s="11" t="str">
        <x:v>Diễn đạt tiếng Hàn từ nghĩa làm việc; Bài tư liệu của Cổng thông tin điện tử Quốc hội về Tổng tuyển cử đầu tiên và các Sắc lệnh 14-SL, 51-SL</x:v>
      </x:c>
      <x:c r="I408" s="30" t="str">
        <x:v>https://quochoi.vn/pages/tim-kiem.aspx?ItemID=51010</x:v>
      </x:c>
      <x:c r="J408" s="11" t="str">
        <x:v>Chưa xác minh định nghĩa độc lập của nguyên biểu thức/nghĩa chọn trong ngôn ngữ này. Nguồn dẫn trong hồ sơ định nghĩa làm việc: POL_TTC: Đoạn Sắc lệnh 14-SL và 51-SL năm 1945</x:v>
      </x:c>
      <x:c r="K408" s="11" t="str">
        <x:v>2026-10-28</x:v>
      </x:c>
    </x:row>
    <x:row r="409" ht="57" customHeight="1">
      <x:c r="A409" s="11" t="str">
        <x:v>T176</x:v>
      </x:c>
      <x:c r="B409" s="11" t="str">
        <x:v>VI</x:v>
      </x:c>
      <x:c r="C409" s="11" t="str">
        <x:v>trao đổi đoàn cấp cao</x:v>
      </x:c>
      <x:c r="D409" s="11" t="str">
        <x:v>CẦN TRA — chưa xác minh mục từ</x:v>
      </x:c>
      <x:c r="E409" s="11" t="str">
        <x:v>* Nghĩa làm việc; cần nguồn định nghĩa</x:v>
      </x:c>
      <x:c r="F409" s="11" t="str">
        <x:v>VI</x:v>
      </x:c>
      <x:c r="G409" s="11" t="str">
        <x:v>S161</x:v>
      </x:c>
      <x:c r="H409" s="11" t="str">
        <x:v>Ngữ liệu được dẫn trong Mã hóa 167: trao đổi đoàn cấp cao</x:v>
      </x:c>
      <x:c r="I409" s="30" t="str">
        <x:v>https://nhandan.vn/chu-tich-quoc-hoi-tran-thanh-man-hoi-kien-giao-hoang-toa-thanh-vatican-leo-xiv-post954916.html</x:v>
      </x:c>
      <x:c r="J409" s="11" t="str">
        <x:v>Chưa xác minh định nghĩa độc lập của nguyên biểu thức/nghĩa chọn trong ngôn ngữ này. Chứng cứ cách dùng kế thừa hồ sơ; không phải định nghĩa từ điển độc lập.</x:v>
      </x:c>
      <x:c r="K409" s="11" t="str">
        <x:v>2026-10-28</x:v>
      </x:c>
    </x:row>
    <x:row r="410" ht="57" customHeight="1">
      <x:c r="A410" s="11" t="str">
        <x:v>T176</x:v>
      </x:c>
      <x:c r="B410" s="11" t="str">
        <x:v>KO</x:v>
      </x:c>
      <x:c r="C410" s="11" t="str">
        <x:v>고위급 대표단 교류</x:v>
      </x:c>
      <x:c r="D410" s="11" t="str">
        <x:v>CẦN TRA — chưa xác minh mục từ</x:v>
      </x:c>
      <x:c r="E410" s="11" t="str">
        <x:v>* Nghĩa làm việc; cần nguồn định nghĩa</x:v>
      </x:c>
      <x:c r="F410" s="11" t="str">
        <x:v>VI</x:v>
      </x:c>
      <x:c r="G410" s="11" t="str">
        <x:v>S161</x:v>
      </x:c>
      <x:c r="H410" s="11" t="str">
        <x:v>Diễn đạt tiếng Hàn từ nghĩa làm việc; Ngữ liệu được dẫn trong Mã hóa 167: trao đổi đoàn cấp cao</x:v>
      </x:c>
      <x:c r="I410" s="30" t="str">
        <x:v>https://nhandan.vn/chu-tich-quoc-hoi-tran-thanh-man-hoi-kien-giao-hoang-toa-thanh-vatican-leo-xiv-post954916.html</x:v>
      </x:c>
      <x:c r="J410" s="11" t="str">
        <x:v>Chưa xác minh định nghĩa độc lập của nguyên biểu thức/nghĩa chọn trong ngôn ngữ này. Chứng cứ cách dùng kế thừa hồ sơ; không phải định nghĩa từ điển độc lập.</x:v>
      </x:c>
      <x:c r="K410" s="11" t="str">
        <x:v>2026-10-28</x:v>
      </x:c>
    </x:row>
    <x:row r="411" ht="57" customHeight="1">
      <x:c r="A411" s="11" t="str">
        <x:v>T026</x:v>
      </x:c>
      <x:c r="B411" s="11" t="str">
        <x:v>VI</x:v>
      </x:c>
      <x:c r="C411" s="11" t="str">
        <x:v>xây dựng Đảng</x:v>
      </x:c>
      <x:c r="D411" s="11" t="str">
        <x:v>CẦN TRA — chưa xác minh mục từ</x:v>
      </x:c>
      <x:c r="E411" s="11" t="str">
        <x:v>* Nghĩa làm việc; cần nguồn định nghĩa</x:v>
      </x:c>
      <x:c r="F411" s="11" t="str">
        <x:v>VI</x:v>
      </x:c>
      <x:c r="G411" s="11" t="str">
        <x:v>S021</x:v>
      </x:c>
      <x:c r="H411" s="11" t="str">
        <x:v>Điều lệ Đảng (do Đại hội đại biểu toàn quốc lần thứ XI của Đảng thông qua)</x:v>
      </x:c>
      <x:c r="I411" s="30" t="str">
        <x:v>https://tulieuvankien.dangcongsan.vn/ban-chap-hanh-trung-uong-dang/dai-hoi-dang/lan-thu-xi/dieu-le-dang-do-dai-hoi-dai-bieu-toan-quoc-lan-thu-xi-cua-dang-thong-qua-1472</x:v>
      </x:c>
      <x:c r="J411" s="11" t="str">
        <x:v>Chưa xác minh định nghĩa độc lập của nguyên biểu thức/nghĩa chọn trong ngôn ngữ này. Đối chiếu trong hồ sơ cũ;</x:v>
      </x:c>
      <x:c r="K411" s="11" t="str">
        <x:v>2026-10-28</x:v>
      </x:c>
    </x:row>
    <x:row r="412" ht="57" customHeight="1">
      <x:c r="A412" s="11" t="str">
        <x:v>T026</x:v>
      </x:c>
      <x:c r="B412" s="11" t="str">
        <x:v>KO</x:v>
      </x:c>
      <x:c r="C412" s="11" t="str">
        <x:v>당 건설</x:v>
      </x:c>
      <x:c r="D412" s="11" t="str">
        <x:v>CẦN TRA — chưa xác minh mục từ</x:v>
      </x:c>
      <x:c r="E412" s="11" t="str">
        <x:v>* Nghĩa làm việc; cần nguồn định nghĩa</x:v>
      </x:c>
      <x:c r="F412" s="11" t="str">
        <x:v>VI</x:v>
      </x:c>
      <x:c r="G412" s="11" t="str">
        <x:v>S021</x:v>
      </x:c>
      <x:c r="H412" s="11" t="str">
        <x:v>Diễn đạt tiếng Hàn từ nghĩa làm việc; Điều lệ Đảng (do Đại hội đại biểu toàn quốc lần thứ XI của Đảng thông qua)</x:v>
      </x:c>
      <x:c r="I412" s="30" t="str">
        <x:v>https://tulieuvankien.dangcongsan.vn/ban-chap-hanh-trung-uong-dang/dai-hoi-dang/lan-thu-xi/dieu-le-dang-do-dai-hoi-dai-bieu-toan-quoc-lan-thu-xi-cua-dang-thong-qua-1472</x:v>
      </x:c>
      <x:c r="J412" s="11" t="str">
        <x:v>Chưa xác minh định nghĩa độc lập của nguyên biểu thức/nghĩa chọn trong ngôn ngữ này. Đối chiếu trong hồ sơ cũ;</x:v>
      </x:c>
      <x:c r="K412" s="11" t="str">
        <x:v>2026-10-28</x:v>
      </x:c>
    </x:row>
    <x:row r="413" ht="87" customHeight="1">
      <x:c r="A413" s="11" t="str">
        <x:v>M020</x:v>
      </x:c>
      <x:c r="B413" s="11" t="str">
        <x:v>VI</x:v>
      </x:c>
      <x:c r="C413" s="11" t="str">
        <x:v>bản ghi nhớ</x:v>
      </x:c>
      <x:c r="D413" s="11" t="str">
        <x:v>CẦN TRA — chưa xác minh mục từ</x:v>
      </x:c>
      <x:c r="E413" s="11" t="str">
        <x:v>Diễn giải từ định nghĩa EN; cần nguồn VI</x:v>
      </x:c>
      <x:c r="F413" s="11" t="str">
        <x:v>EN</x:v>
      </x:c>
      <x:c r="G413" s="11" t="str">
        <x:v>S162</x:v>
      </x:c>
      <x:c r="H413" s="11" t="str">
        <x:v>United Nations Treaty Collection — Definition of key terms</x:v>
      </x:c>
      <x:c r="I413" s="30" t="str">
        <x:v>https://treaties.un.org/Pages/overview.aspx?path=overview/definition/page1_en.xml</x:v>
      </x:c>
      <x:c r="J413" s="11" t="str">
        <x:v>Chưa xác minh định nghĩa độc lập của nguyên biểu thức/nghĩa chọn trong ngôn ngữ này. Nguồn dẫn trong hồ sơ định nghĩa làm việc: DIP_D16: Memoranda of Understanding
DIP_D03: Điểm 28 và phụ lục
S09: trang in 163/PDF 163</x:v>
      </x:c>
      <x:c r="K413" s="11" t="str">
        <x:v>2026-10-28</x:v>
      </x:c>
    </x:row>
    <x:row r="414" ht="87" customHeight="1">
      <x:c r="A414" s="11" t="str">
        <x:v>M020</x:v>
      </x:c>
      <x:c r="B414" s="11" t="str">
        <x:v>KO</x:v>
      </x:c>
      <x:c r="C414" s="11" t="str">
        <x:v>양해각서</x:v>
      </x:c>
      <x:c r="D414" s="11" t="str">
        <x:v>Có mục từ và đã đọc nghĩa</x:v>
      </x:c>
      <x:c r="E414" s="11" t="str">
        <x:v>Diễn giải từ định nghĩa EN; cần nguồn KO</x:v>
      </x:c>
      <x:c r="F414" s="11" t="str">
        <x:v>EN</x:v>
      </x:c>
      <x:c r="G414" s="11" t="str">
        <x:v>S162</x:v>
      </x:c>
      <x:c r="H414" s="11" t="str">
        <x:v>United Nations Treaty Collection — Memoranda of Understanding</x:v>
      </x:c>
      <x:c r="I414" s="30" t="str">
        <x:v>https://treaties.un.org/Pages/overview.aspx?path=overview/definition/page1_en.xml</x:v>
      </x:c>
      <x:c r="J414" s="11" t="str">
        <x:v>Chưa xác minh định nghĩa độc lập của nguyên biểu thức/nghĩa chọn trong ngôn ngữ này. Nguồn dẫn trong hồ sơ định nghĩa làm việc: DIP_D16: Memoranda of Understanding
DIP_D03: Điểm 28 và phụ lục
S09: trang in 163/PDF 163</x:v>
      </x:c>
      <x:c r="K414" s="11" t="str">
        <x:v>2026-10-28</x:v>
      </x:c>
    </x:row>
    <x:row r="415" ht="57" customHeight="1">
      <x:c r="A415" s="11" t="str">
        <x:v>M020</x:v>
      </x:c>
      <x:c r="B415" s="11" t="str">
        <x:v>Bổ sung</x:v>
      </x:c>
      <x:c r="C415" s="11" t="str">
        <x:v>bản ghi nhớ / 양해각서</x:v>
      </x:c>
      <x:c r="D415" s="11" t="str">
        <x:v>Xem dòng VI/KO</x:v>
      </x:c>
      <x:c r="E415" s="11" t="str">
        <x:v>Căn cứ nghĩa làm việc</x:v>
      </x:c>
      <x:c r="F415" s="11" t="str">
        <x:v>VI</x:v>
      </x:c>
      <x:c r="G415" s="11" t="str">
        <x:v>S106</x:v>
      </x:c>
      <x:c r="H415" s="11" t="str">
        <x:v>Tuyên bố chung Việt Nam – Hàn Quốc về quan hệ đối tác chiến lược toàn diện</x:v>
      </x:c>
      <x:c r="I415" s="30" t="str">
        <x:v>https://vpctn.gov.vn/tin-tuc-su-kien/hoat-dong-cua-chu-tich-nuoc/tuyen-bo-chung-viet-nam-han-quoc-ve-quan-he-doi-tac-chien-luoc-toan-dien.html</x:v>
      </x:c>
      <x:c r="J415" s="11" t="str">
        <x:v>Nguồn dẫn trong hồ sơ định nghĩa làm việc: DIP_D16: Memoranda of Understanding
DIP_D03: Điểm 28 và phụ lục
S09: trang in 163/PDF 163</x:v>
      </x:c>
      <x:c r="K415" s="11" t="str">
        <x:v>2026-10-28</x:v>
      </x:c>
    </x:row>
    <x:row r="416" ht="57" customHeight="1">
      <x:c r="A416" s="11" t="str">
        <x:v>M020</x:v>
      </x:c>
      <x:c r="B416" s="11" t="str">
        <x:v>Bổ sung</x:v>
      </x:c>
      <x:c r="C416" s="11" t="str">
        <x:v>bản ghi nhớ / 양해각서</x:v>
      </x:c>
      <x:c r="D416" s="11" t="str">
        <x:v>Xem dòng VI/KO</x:v>
      </x:c>
      <x:c r="E416" s="11" t="str">
        <x:v>Mục từ từ điển</x:v>
      </x:c>
      <x:c r="F416" s="11" t="str">
        <x:v>KO</x:v>
      </x:c>
      <x:c r="G416" s="11" t="str">
        <x:v>S163</x:v>
      </x:c>
      <x:c r="H416" s="11" t="str">
        <x:v>국립국어원 온용어: 양해 각서 — 한국무역보험공사 무역 보험 용어집</x:v>
      </x:c>
      <x:c r="I416" s="30" t="str">
        <x:v>https://kli.korean.go.kr/term/trgtWord/indexTrgtWord.do?trgtWordNo=111331</x:v>
      </x:c>
      <x:c r="J416" s="11" t="str">
        <x:v>Có mục từ đúng hình thức. Không tiếp nhận khái quát về hiệu lực điều ước cho mọi MOU; đối chiếu thêm UN Treaty Collection.</x:v>
      </x:c>
      <x:c r="K416" s="11" t="str">
        <x:v>2026-10-28</x:v>
      </x:c>
    </x:row>
    <x:row r="417" ht="57" customHeight="1">
      <x:c r="A417" s="11" t="str">
        <x:v>CGI001</x:v>
      </x:c>
      <x:c r="B417" s="11" t="str">
        <x:v>VI</x:v>
      </x:c>
      <x:c r="C417" s="11" t="str">
        <x:v>báo cáo chính trị</x:v>
      </x:c>
      <x:c r="D417" s="11" t="str">
        <x:v>CẦN TRA — chưa xác minh mục từ</x:v>
      </x:c>
      <x:c r="E417" s="11" t="str">
        <x:v>* Nghĩa làm việc; cần nguồn định nghĩa</x:v>
      </x:c>
      <x:c r="F417" s="11" t="str">
        <x:v>VI</x:v>
      </x:c>
      <x:c r="G417" s="11" t="str">
        <x:v>S164</x:v>
      </x:c>
      <x:c r="H417" s="11" t="str">
        <x:v>Ngữ liệu được dẫn trong Mã hóa 167: báo cáo chính trị</x:v>
      </x:c>
      <x:c r="I417" s="30" t="str">
        <x:v>https://nhandan.vn/thong-bao-ve-dai-hoi-xiv-toi-cac-co-quan-dai-dien-ngoai-giao-nuoc-ngoai-to-chuc-quoc-te-tai-viet-nam-post935516.html</x:v>
      </x:c>
      <x:c r="J417" s="11" t="str">
        <x:v>Chưa xác minh định nghĩa độc lập của nguyên biểu thức/nghĩa chọn trong ngôn ngữ này. Chứng cứ cách dùng kế thừa hồ sơ; không phải định nghĩa từ điển độc lập.</x:v>
      </x:c>
      <x:c r="K417" s="11" t="str">
        <x:v>2026-10-28</x:v>
      </x:c>
    </x:row>
    <x:row r="418" ht="57" customHeight="1">
      <x:c r="A418" s="11" t="str">
        <x:v>CGI001</x:v>
      </x:c>
      <x:c r="B418" s="11" t="str">
        <x:v>KO</x:v>
      </x:c>
      <x:c r="C418" s="11" t="str">
        <x:v>정치 보고서</x:v>
      </x:c>
      <x:c r="D418" s="11" t="str">
        <x:v>CẦN TRA — chưa xác minh mục từ</x:v>
      </x:c>
      <x:c r="E418" s="11" t="str">
        <x:v>* Nghĩa làm việc; cần nguồn định nghĩa</x:v>
      </x:c>
      <x:c r="F418" s="11" t="str">
        <x:v>VI</x:v>
      </x:c>
      <x:c r="G418" s="11" t="str">
        <x:v>S164</x:v>
      </x:c>
      <x:c r="H418" s="11" t="str">
        <x:v>Diễn đạt tiếng Hàn từ nghĩa làm việc; Ngữ liệu được dẫn trong Mã hóa 167: báo cáo chính trị</x:v>
      </x:c>
      <x:c r="I418" s="30" t="str">
        <x:v>https://nhandan.vn/thong-bao-ve-dai-hoi-xiv-toi-cac-co-quan-dai-dien-ngoai-giao-nuoc-ngoai-to-chuc-quoc-te-tai-viet-nam-post935516.html</x:v>
      </x:c>
      <x:c r="J418" s="11" t="str">
        <x:v>Chưa xác minh định nghĩa độc lập của nguyên biểu thức/nghĩa chọn trong ngôn ngữ này. Chứng cứ cách dùng kế thừa hồ sơ; không phải định nghĩa từ điển độc lập.</x:v>
      </x:c>
      <x:c r="K418" s="11" t="str">
        <x:v>2026-10-28</x:v>
      </x:c>
    </x:row>
    <x:row r="419" ht="72" customHeight="1">
      <x:c r="A419" s="11" t="str">
        <x:v>T158</x:v>
      </x:c>
      <x:c r="B419" s="11" t="str">
        <x:v>VI</x:v>
      </x:c>
      <x:c r="C419" s="11" t="str">
        <x:v>Công ước Liên hợp quốc về Luật Biển</x:v>
      </x:c>
      <x:c r="D419" s="11" t="str">
        <x:v>CẦN TRA — chưa xác minh mục từ</x:v>
      </x:c>
      <x:c r="E419" s="11" t="str">
        <x:v>* Nghĩa làm việc; cần nguồn định nghĩa</x:v>
      </x:c>
      <x:c r="F419" s="11" t="str">
        <x:v>EN</x:v>
      </x:c>
      <x:c r="G419" s="11" t="str">
        <x:v>S165</x:v>
      </x:c>
      <x:c r="H419" s="11" t="str">
        <x:v>Oceans and the Law of the Sea – United Nations</x:v>
      </x:c>
      <x:c r="I419" s="30" t="str">
        <x:v>https://www.un.org/en/global-issues/oceans-and-the-law-of-the-sea</x:v>
      </x:c>
      <x:c r="J419" s="11" t="str">
        <x:v>Chưa xác minh định nghĩa độc lập của nguyên biểu thức/nghĩa chọn trong ngôn ngữ này. Nguồn dẫn trong hồ sơ định nghĩa làm việc: DIP_D11: United Nations Convention on the Law of the Sea
DIP_D03: Điểm 25</x:v>
      </x:c>
      <x:c r="K419" s="11" t="str">
        <x:v>2026-10-28</x:v>
      </x:c>
    </x:row>
    <x:row r="420" ht="72" customHeight="1">
      <x:c r="A420" s="11" t="str">
        <x:v>T158</x:v>
      </x:c>
      <x:c r="B420" s="11" t="str">
        <x:v>KO</x:v>
      </x:c>
      <x:c r="C420" s="11" t="str">
        <x:v>1982년 유엔해양법협약(UNCLOS)</x:v>
      </x:c>
      <x:c r="D420" s="11" t="str">
        <x:v>CẦN TRA — chưa xác minh mục từ</x:v>
      </x:c>
      <x:c r="E420" s="11" t="str">
        <x:v>* Nghĩa làm việc; cần nguồn định nghĩa</x:v>
      </x:c>
      <x:c r="F420" s="11" t="str">
        <x:v>EN</x:v>
      </x:c>
      <x:c r="G420" s="11" t="str">
        <x:v>S165</x:v>
      </x:c>
      <x:c r="H420" s="11" t="str">
        <x:v>Diễn đạt tiếng Hàn từ nghĩa làm việc; Oceans and the Law of the Sea – United Nations</x:v>
      </x:c>
      <x:c r="I420" s="30" t="str">
        <x:v>https://www.un.org/en/global-issues/oceans-and-the-law-of-the-sea</x:v>
      </x:c>
      <x:c r="J420" s="11" t="str">
        <x:v>Chưa xác minh định nghĩa độc lập của nguyên biểu thức/nghĩa chọn trong ngôn ngữ này. Nguồn dẫn trong hồ sơ định nghĩa làm việc: DIP_D11: United Nations Convention on the Law of the Sea
DIP_D03: Điểm 25</x:v>
      </x:c>
      <x:c r="K420" s="11" t="str">
        <x:v>2026-10-28</x:v>
      </x:c>
    </x:row>
    <x:row r="421" ht="57" customHeight="1">
      <x:c r="A421" s="11" t="str">
        <x:v>T158</x:v>
      </x:c>
      <x:c r="B421" s="11" t="str">
        <x:v>Bổ sung</x:v>
      </x:c>
      <x:c r="C421" s="11" t="str">
        <x:v>Công ước Liên hợp quốc về Luật Biển / 1982년 유엔해양법협약(UNCLOS)</x:v>
      </x:c>
      <x:c r="D421" s="11" t="str">
        <x:v>Xem dòng VI/KO</x:v>
      </x:c>
      <x:c r="E421" s="11" t="str">
        <x:v>Căn cứ nghĩa làm việc</x:v>
      </x:c>
      <x:c r="F421" s="11" t="str">
        <x:v>VI</x:v>
      </x:c>
      <x:c r="G421" s="11" t="str">
        <x:v>S106</x:v>
      </x:c>
      <x:c r="H421" s="11" t="str">
        <x:v>Tuyên bố chung Việt Nam – Hàn Quốc về quan hệ đối tác chiến lược toàn diện</x:v>
      </x:c>
      <x:c r="I421" s="30" t="str">
        <x:v>https://vpctn.gov.vn/tin-tuc-su-kien/hoat-dong-cua-chu-tich-nuoc/tuyen-bo-chung-viet-nam-han-quoc-ve-quan-he-doi-tac-chien-luoc-toan-dien.html</x:v>
      </x:c>
      <x:c r="J421" s="11" t="str">
        <x:v>Nguồn dẫn trong hồ sơ định nghĩa làm việc: DIP_D11: United Nations Convention on the Law of the Sea
DIP_D03: Điểm 25</x:v>
      </x:c>
      <x:c r="K421" s="11" t="str">
        <x:v>2026-10-28</x:v>
      </x:c>
    </x:row>
    <x:row r="422" ht="57" customHeight="1">
      <x:c r="A422" s="11" t="str">
        <x:v>T054</x:v>
      </x:c>
      <x:c r="B422" s="11" t="str">
        <x:v>VI</x:v>
      </x:c>
      <x:c r="C422" s="11" t="str">
        <x:v>cương lĩnh</x:v>
      </x:c>
      <x:c r="D422" s="11" t="str">
        <x:v>CẦN TRA — chưa xác minh mục từ</x:v>
      </x:c>
      <x:c r="E422" s="11" t="str">
        <x:v>* Nghĩa làm việc; cần nguồn định nghĩa</x:v>
      </x:c>
      <x:c r="F422" s="11" t="str">
        <x:v>VI</x:v>
      </x:c>
      <x:c r="G422" s="11" t="str">
        <x:v>S100</x:v>
      </x:c>
      <x:c r="H422" s="11" t="str">
        <x:v>Cương lĩnh xây dựng đất nước trong thời kỳ quá độ lên chủ nghĩa xã hội (Bổ sung, phát triển năm 2011)</x:v>
      </x:c>
      <x:c r="I422" s="30" t="str">
        <x:v>https://tulieuvankien.dangcongsan.vn/ban-chap-hanh-trung-uong-dang/dai-hoi-dang/lan-thu-xi/cuong-linh-xay-dung-dat-nuoc-trong-thoi-ky-qua-do-len-chu-nghia-xa-hoi-bo-sung-phat-trien-nam-2011-1528</x:v>
      </x:c>
      <x:c r="J422" s="11" t="str">
        <x:v>Chưa xác minh định nghĩa độc lập của nguyên biểu thức/nghĩa chọn trong ngôn ngữ này. Nguồn dẫn trong hồ sơ cũ; không phải xác nhận đã tìm được mục từ giải nghĩa trực tiếp.</x:v>
      </x:c>
      <x:c r="K422" s="11" t="str">
        <x:v>2026-10-28</x:v>
      </x:c>
    </x:row>
    <x:row r="423" ht="57" customHeight="1">
      <x:c r="A423" s="11" t="str">
        <x:v>T054</x:v>
      </x:c>
      <x:c r="B423" s="11" t="str">
        <x:v>KO</x:v>
      </x:c>
      <x:c r="C423" s="11" t="str">
        <x:v>강령</x:v>
      </x:c>
      <x:c r="D423" s="11" t="str">
        <x:v>Có mục từ và đã đọc nghĩa</x:v>
      </x:c>
      <x:c r="E423" s="11" t="str">
        <x:v>Mục từ có nghĩa [KO]; nghĩa chọn cần đối chiếu</x:v>
      </x:c>
      <x:c r="F423" s="11" t="str">
        <x:v>KO</x:v>
      </x:c>
      <x:c r="G423" s="11" t="str">
        <x:v>S166</x:v>
      </x:c>
      <x:c r="H423" s="11" t="str">
        <x:v>국립국어원 한국어기초사전 — 강령</x:v>
      </x:c>
      <x:c r="I423" s="30" t="str">
        <x:v>https://krdict.korean.go.kr/eng/dicSearch/SearchView?ParaWordNo=17528</x:v>
      </x:c>
      <x:c r="J423" s="11" t="str">
        <x:v>Chưa xác minh định nghĩa độc lập của nguyên biểu thức/nghĩa chọn trong ngôn ngữ này. Đã đọc mục từ Hàn đúng hình thức; nghĩa ghi ở đây là diễn giải có chọn nghĩa chuyên biệt, không trích nguyên văn.</x:v>
      </x:c>
      <x:c r="K423" s="11" t="str">
        <x:v>2026-10-28</x:v>
      </x:c>
    </x:row>
    <x:row r="424" ht="57" customHeight="1">
      <x:c r="A424" s="11" t="str">
        <x:v>T058</x:v>
      </x:c>
      <x:c r="B424" s="11" t="str">
        <x:v>VI</x:v>
      </x:c>
      <x:c r="C424" s="11" t="str">
        <x:v>Điều lệ Đảng</x:v>
      </x:c>
      <x:c r="D424" s="11" t="str">
        <x:v>CẦN TRA — chưa xác minh mục từ</x:v>
      </x:c>
      <x:c r="E424" s="11" t="str">
        <x:v>* Nghĩa làm việc; cần nguồn định nghĩa</x:v>
      </x:c>
      <x:c r="F424" s="11" t="str">
        <x:v>VI</x:v>
      </x:c>
      <x:c r="G424" s="11" t="str">
        <x:v>S021</x:v>
      </x:c>
      <x:c r="H424" s="11" t="str">
        <x:v>Điều lệ Đảng (do Đại hội đại biểu toàn quốc lần thứ XI của Đảng thông qua)</x:v>
      </x:c>
      <x:c r="I424" s="30" t="str">
        <x:v>https://tulieuvankien.dangcongsan.vn/ban-chap-hanh-trung-uong-dang/dai-hoi-dang/lan-thu-xi/dieu-le-dang-do-dai-hoi-dai-bieu-toan-quoc-lan-thu-xi-cua-dang-thong-qua-1472</x:v>
      </x:c>
      <x:c r="J424" s="11" t="str">
        <x:v>Chưa xác minh định nghĩa độc lập của nguyên biểu thức/nghĩa chọn trong ngôn ngữ này. Đối chiếu trong hồ sơ cũ;</x:v>
      </x:c>
      <x:c r="K424" s="11" t="str">
        <x:v>2026-10-28</x:v>
      </x:c>
    </x:row>
    <x:row r="425" ht="57" customHeight="1">
      <x:c r="A425" s="11" t="str">
        <x:v>T058</x:v>
      </x:c>
      <x:c r="B425" s="11" t="str">
        <x:v>KO</x:v>
      </x:c>
      <x:c r="C425" s="11" t="str">
        <x:v>당 규약</x:v>
      </x:c>
      <x:c r="D425" s="11" t="str">
        <x:v>CẦN TRA — chưa xác minh mục từ</x:v>
      </x:c>
      <x:c r="E425" s="11" t="str">
        <x:v>* Nghĩa làm việc; cần nguồn định nghĩa</x:v>
      </x:c>
      <x:c r="F425" s="11" t="str">
        <x:v>VI</x:v>
      </x:c>
      <x:c r="G425" s="11" t="str">
        <x:v>S021</x:v>
      </x:c>
      <x:c r="H425" s="11" t="str">
        <x:v>Diễn đạt tiếng Hàn từ nghĩa làm việc; Điều lệ Đảng (do Đại hội đại biểu toàn quốc lần thứ XI của Đảng thông qua)</x:v>
      </x:c>
      <x:c r="I425" s="30" t="str">
        <x:v>https://tulieuvankien.dangcongsan.vn/ban-chap-hanh-trung-uong-dang/dai-hoi-dang/lan-thu-xi/dieu-le-dang-do-dai-hoi-dai-bieu-toan-quoc-lan-thu-xi-cua-dang-thong-qua-1472</x:v>
      </x:c>
      <x:c r="J425" s="11" t="str">
        <x:v>Chưa xác minh định nghĩa độc lập của nguyên biểu thức/nghĩa chọn trong ngôn ngữ này. Đối chiếu trong hồ sơ cũ;</x:v>
      </x:c>
      <x:c r="K425" s="11" t="str">
        <x:v>2026-10-28</x:v>
      </x:c>
    </x:row>
    <x:row r="426" ht="72" customHeight="1">
      <x:c r="A426" s="11" t="str">
        <x:v>T152</x:v>
      </x:c>
      <x:c r="B426" s="11" t="str">
        <x:v>VI</x:v>
      </x:c>
      <x:c r="C426" s="11" t="str">
        <x:v>Hiến chương Liên hợp quốc</x:v>
      </x:c>
      <x:c r="D426" s="11" t="str">
        <x:v>CẦN TRA — chưa xác minh mục từ</x:v>
      </x:c>
      <x:c r="E426" s="11" t="str">
        <x:v>* Nghĩa làm việc; cần nguồn định nghĩa</x:v>
      </x:c>
      <x:c r="F426" s="11" t="str">
        <x:v>EN</x:v>
      </x:c>
      <x:c r="G426" s="11" t="str">
        <x:v>S167</x:v>
      </x:c>
      <x:c r="H426" s="11" t="str">
        <x:v>UN Charter – United Nations</x:v>
      </x:c>
      <x:c r="I426" s="30" t="str">
        <x:v>https://www.un.org/en/about-us/un-charter/</x:v>
      </x:c>
      <x:c r="J426" s="11" t="str">
        <x:v>Chưa xác minh định nghĩa độc lập của nguyên biểu thức/nghĩa chọn trong ngôn ngữ này. Nguồn dẫn trong hồ sơ định nghĩa làm việc: DIP_D10: United Nations Charter
DIP_D22: Đoạn về hoạt động cấp cao</x:v>
      </x:c>
      <x:c r="K426" s="11" t="str">
        <x:v>2026-10-28</x:v>
      </x:c>
    </x:row>
    <x:row r="427" ht="72" customHeight="1">
      <x:c r="A427" s="11" t="str">
        <x:v>T152</x:v>
      </x:c>
      <x:c r="B427" s="11" t="str">
        <x:v>KO</x:v>
      </x:c>
      <x:c r="C427" s="11" t="str">
        <x:v>유엔 헌장</x:v>
      </x:c>
      <x:c r="D427" s="11" t="str">
        <x:v>CẦN TRA — chưa xác minh mục từ</x:v>
      </x:c>
      <x:c r="E427" s="11" t="str">
        <x:v>* Nghĩa làm việc; cần nguồn định nghĩa</x:v>
      </x:c>
      <x:c r="F427" s="11" t="str">
        <x:v>EN</x:v>
      </x:c>
      <x:c r="G427" s="11" t="str">
        <x:v>S167</x:v>
      </x:c>
      <x:c r="H427" s="11" t="str">
        <x:v>Diễn đạt tiếng Hàn từ nghĩa làm việc; UN Charter – United Nations</x:v>
      </x:c>
      <x:c r="I427" s="30" t="str">
        <x:v>https://www.un.org/en/about-us/un-charter/</x:v>
      </x:c>
      <x:c r="J427" s="11" t="str">
        <x:v>Chưa xác minh định nghĩa độc lập của nguyên biểu thức/nghĩa chọn trong ngôn ngữ này. Nguồn dẫn trong hồ sơ định nghĩa làm việc: DIP_D10: United Nations Charter
DIP_D22: Đoạn về hoạt động cấp cao</x:v>
      </x:c>
      <x:c r="K427" s="11" t="str">
        <x:v>2026-10-28</x:v>
      </x:c>
    </x:row>
    <x:row r="428" ht="57" customHeight="1">
      <x:c r="A428" s="11" t="str">
        <x:v>T152</x:v>
      </x:c>
      <x:c r="B428" s="11" t="str">
        <x:v>Bổ sung</x:v>
      </x:c>
      <x:c r="C428" s="11" t="str">
        <x:v>Hiến chương Liên hợp quốc / 유엔 헌장</x:v>
      </x:c>
      <x:c r="D428" s="11" t="str">
        <x:v>Xem dòng VI/KO</x:v>
      </x:c>
      <x:c r="E428" s="11" t="str">
        <x:v>Căn cứ nghĩa làm việc</x:v>
      </x:c>
      <x:c r="F428" s="11" t="str">
        <x:v>VI</x:v>
      </x:c>
      <x:c r="G428" s="11" t="str">
        <x:v>S098</x:v>
      </x:c>
      <x:c r="H428" s="11" t="str">
        <x:v>Ngoại giao đa phương Việt Nam: Nhiệm vụ mới, tư duy mới, thành công mới</x:v>
      </x:c>
      <x:c r="I428" s="30" t="str">
        <x:v>https://scov.gov.vn/cong-tac-doi-ngoai/hoi-nghi-ngoai-giao-lan-thu-32/ngoai-giao-da-phuong-viet-nam-nhiem-vu-moi-tu-duy-moi-thanh-cong-moi.html</x:v>
      </x:c>
      <x:c r="J428" s="11" t="str">
        <x:v>Nguồn dẫn trong hồ sơ định nghĩa làm việc: DIP_D10: United Nations Charter
DIP_D22: Đoạn về hoạt động cấp cao</x:v>
      </x:c>
      <x:c r="K428" s="11" t="str">
        <x:v>2026-10-28</x:v>
      </x:c>
    </x:row>
    <x:row r="429" ht="57" customHeight="1">
      <x:c r="A429" s="11" t="str">
        <x:v>T044</x:v>
      </x:c>
      <x:c r="B429" s="11" t="str">
        <x:v>VI</x:v>
      </x:c>
      <x:c r="C429" s="11" t="str">
        <x:v>Hiến pháp</x:v>
      </x:c>
      <x:c r="D429" s="11" t="str">
        <x:v>CẦN TRA — chưa xác minh mục từ</x:v>
      </x:c>
      <x:c r="E429" s="11" t="str">
        <x:v>* Nghĩa làm việc; cần nguồn định nghĩa</x:v>
      </x:c>
      <x:c r="F429" s="11" t="str">
        <x:v>VI</x:v>
      </x:c>
      <x:c r="G429" s="11" t="str">
        <x:v>S096</x:v>
      </x:c>
      <x:c r="H429" s="11" t="str">
        <x:v>Hiến pháp nước Cộng hòa xã hội chủ nghĩa Việt Nam (2013)</x:v>
      </x:c>
      <x:c r="I429" s="30" t="str">
        <x:v>https://xaydungchinhsach.chinhphu.vn/toan-van-hien-phap-nuoc-cong-hoa-xa-hoi-chu-nghia-viet-nam-119231225213002261.htm</x:v>
      </x:c>
      <x:c r="J429" s="11" t="str">
        <x:v>Chưa xác minh định nghĩa độc lập của nguyên biểu thức/nghĩa chọn trong ngôn ngữ này. Nguồn dẫn trong hồ sơ cũ; không phải xác nhận đã tìm được mục từ giải nghĩa trực tiếp.</x:v>
      </x:c>
      <x:c r="K429" s="11" t="str">
        <x:v>2026-10-28</x:v>
      </x:c>
    </x:row>
    <x:row r="430" ht="57" customHeight="1">
      <x:c r="A430" s="11" t="str">
        <x:v>T044</x:v>
      </x:c>
      <x:c r="B430" s="11" t="str">
        <x:v>KO</x:v>
      </x:c>
      <x:c r="C430" s="11" t="str">
        <x:v>헌법</x:v>
      </x:c>
      <x:c r="D430" s="11" t="str">
        <x:v>Có mục từ và đã đọc nghĩa</x:v>
      </x:c>
      <x:c r="E430" s="11" t="str">
        <x:v>Mục từ có nghĩa [KO]</x:v>
      </x:c>
      <x:c r="F430" s="11" t="str">
        <x:v>KO</x:v>
      </x:c>
      <x:c r="G430" s="11" t="str">
        <x:v>S168</x:v>
      </x:c>
      <x:c r="H430" s="11" t="str">
        <x:v>국립국어원 한국어기초사전 — 헌법</x:v>
      </x:c>
      <x:c r="I430" s="30" t="str">
        <x:v>https://krdict.korean.go.kr/jpn/dicSearch/SearchView?ParaWordNo=86455&amp;nation=jpn</x:v>
      </x:c>
      <x:c r="J430" s="11" t="str">
        <x:v>Đã đọc nguồn giải nghĩa bằng ngôn ngữ này; vẫn đối chiếu nghĩa chọn và ghi chú.</x:v>
      </x:c>
      <x:c r="K430" s="11" t="str">
        <x:v>2026-10-28</x:v>
      </x:c>
    </x:row>
    <x:row r="431" ht="72" customHeight="1">
      <x:c r="A431" s="11" t="str">
        <x:v>M018</x:v>
      </x:c>
      <x:c r="B431" s="11" t="str">
        <x:v>VI</x:v>
      </x:c>
      <x:c r="C431" s="11" t="str">
        <x:v>Kế hoạch hành động ASEAN–Hàn Quốc</x:v>
      </x:c>
      <x:c r="D431" s="11" t="str">
        <x:v>CẦN TRA — chưa xác minh mục từ</x:v>
      </x:c>
      <x:c r="E431" s="11" t="str">
        <x:v>* Nghĩa làm việc; cần nguồn định nghĩa</x:v>
      </x:c>
      <x:c r="F431" s="11" t="str">
        <x:v>EN</x:v>
      </x:c>
      <x:c r="G431" s="11" t="str">
        <x:v>S169</x:v>
      </x:c>
      <x:c r="H431" s="11" t="str">
        <x:v>Plan of Action to Implement the ASEAN-Republic of Korea Comprehensive Strategic Partnership (2026–2030)</x:v>
      </x:c>
      <x:c r="I431" s="30" t="str">
        <x:v>https://asean.org/plan-of-action-to-implement-the-asean-republic-of-korea-comprehensive-strategic-partnership-2026-2030/</x:v>
      </x:c>
      <x:c r="J431" s="11" t="str">
        <x:v>Chưa xác minh định nghĩa độc lập của nguyên biểu thức/nghĩa chọn trong ngôn ngữ này. Nguồn dẫn trong hồ sơ định nghĩa làm việc: DIP_D27: Nhan đề; phần giới thiệu kế hoạch
DIP_D35: Đoạn hợp tác tại diễn đàn đa phương</x:v>
      </x:c>
      <x:c r="K431" s="11" t="str">
        <x:v>2026-10-28</x:v>
      </x:c>
    </x:row>
    <x:row r="432" ht="72" customHeight="1">
      <x:c r="A432" s="11" t="str">
        <x:v>M018</x:v>
      </x:c>
      <x:c r="B432" s="11" t="str">
        <x:v>KO</x:v>
      </x:c>
      <x:c r="C432" s="11" t="str">
        <x:v>한-아세안 행동계획</x:v>
      </x:c>
      <x:c r="D432" s="11" t="str">
        <x:v>CẦN TRA — chưa xác minh mục từ</x:v>
      </x:c>
      <x:c r="E432" s="11" t="str">
        <x:v>* Nghĩa làm việc; cần nguồn định nghĩa</x:v>
      </x:c>
      <x:c r="F432" s="11" t="str">
        <x:v>EN</x:v>
      </x:c>
      <x:c r="G432" s="11" t="str">
        <x:v>S169</x:v>
      </x:c>
      <x:c r="H432" s="11" t="str">
        <x:v>Diễn đạt tiếng Hàn từ nghĩa làm việc; Plan of Action to Implement the ASEAN-Republic of Korea Comprehensive Strategic Partnership (2026–2030)</x:v>
      </x:c>
      <x:c r="I432" s="30" t="str">
        <x:v>https://asean.org/plan-of-action-to-implement-the-asean-republic-of-korea-comprehensive-strategic-partnership-2026-2030/</x:v>
      </x:c>
      <x:c r="J432" s="11" t="str">
        <x:v>Chưa xác minh định nghĩa độc lập của nguyên biểu thức/nghĩa chọn trong ngôn ngữ này. Nguồn dẫn trong hồ sơ định nghĩa làm việc: DIP_D27: Nhan đề; phần giới thiệu kế hoạch
DIP_D35: Đoạn hợp tác tại diễn đàn đa phương</x:v>
      </x:c>
      <x:c r="K432" s="11" t="str">
        <x:v>2026-10-28</x:v>
      </x:c>
    </x:row>
    <x:row r="433" ht="72" customHeight="1">
      <x:c r="A433" s="11" t="str">
        <x:v>M018</x:v>
      </x:c>
      <x:c r="B433" s="11" t="str">
        <x:v>Bổ sung</x:v>
      </x:c>
      <x:c r="C433" s="11" t="str">
        <x:v>Kế hoạch hành động ASEAN–Hàn Quốc / 한-아세안 행동계획</x:v>
      </x:c>
      <x:c r="D433" s="11" t="str">
        <x:v>Xem dòng VI/KO</x:v>
      </x:c>
      <x:c r="E433" s="11" t="str">
        <x:v>Căn cứ nghĩa làm việc</x:v>
      </x:c>
      <x:c r="F433" s="11" t="str">
        <x:v>VI</x:v>
      </x:c>
      <x:c r="G433" s="11" t="str">
        <x:v>S170</x:v>
      </x:c>
      <x:c r="H433" s="11" t="str">
        <x:v>Việt Nam - Hàn Quốc nỗ lực đưa kim ngạch thương mại song phương đạt 150 tỷ USD vào năm 2030</x:v>
      </x:c>
      <x:c r="I433" s="30" t="str">
        <x:v>https://mofa.gov.vn/en/web/%C4%91%E1%BA%A1i-s%E1%BB%A9-qu%C3%A1n-vi%E1%BB%87t-nam-t%E1%BA%A1i-h%C3%A0n-qu%E1%BB%91c/tin-chi-tiet/chi-tiet/viet-nam-han-quoc-no-luc-dua-kim-ngach-thuong-mai-song-phuong-dat-150-ty-usd-vao-nam-2030-59520-1156.html</x:v>
      </x:c>
      <x:c r="J433" s="11" t="str">
        <x:v>Nguồn dẫn trong hồ sơ định nghĩa làm việc: DIP_D27: Nhan đề; phần giới thiệu kế hoạch
DIP_D35: Đoạn hợp tác tại diễn đàn đa phương</x:v>
      </x:c>
      <x:c r="K433" s="11" t="str">
        <x:v>2026-10-28</x:v>
      </x:c>
    </x:row>
    <x:row r="434" ht="57" customHeight="1">
      <x:c r="A434" s="11" t="str">
        <x:v>T015</x:v>
      </x:c>
      <x:c r="B434" s="11" t="str">
        <x:v>VI</x:v>
      </x:c>
      <x:c r="C434" s="11" t="str">
        <x:v>nghị quyết</x:v>
      </x:c>
      <x:c r="D434" s="11" t="str">
        <x:v>CẦN TRA — chưa xác minh mục từ</x:v>
      </x:c>
      <x:c r="E434" s="11" t="str">
        <x:v>* Nghĩa làm việc; cần nguồn định nghĩa</x:v>
      </x:c>
      <x:c r="F434" s="11" t="str">
        <x:v>VI</x:v>
      </x:c>
      <x:c r="G434" s="11" t="str">
        <x:v>S021</x:v>
      </x:c>
      <x:c r="H434" s="11" t="str">
        <x:v>Điều lệ Đảng (do Đại hội đại biểu toàn quốc lần thứ XI của Đảng thông qua)</x:v>
      </x:c>
      <x:c r="I434" s="30" t="str">
        <x:v>https://tulieuvankien.dangcongsan.vn/ban-chap-hanh-trung-uong-dang/dai-hoi-dang/lan-thu-xi/dieu-le-dang-do-dai-hoi-dai-bieu-toan-quoc-lan-thu-xi-cua-dang-thong-qua-1472</x:v>
      </x:c>
      <x:c r="J434" s="11" t="str">
        <x:v>Chưa xác minh định nghĩa độc lập của nguyên biểu thức/nghĩa chọn trong ngôn ngữ này. Đối chiếu trong hồ sơ cũ;</x:v>
      </x:c>
      <x:c r="K434" s="11" t="str">
        <x:v>2026-10-28</x:v>
      </x:c>
    </x:row>
    <x:row r="435" ht="57" customHeight="1">
      <x:c r="A435" s="11" t="str">
        <x:v>T015</x:v>
      </x:c>
      <x:c r="B435" s="11" t="str">
        <x:v>KO</x:v>
      </x:c>
      <x:c r="C435" s="11" t="str">
        <x:v>결의안</x:v>
      </x:c>
      <x:c r="D435" s="11" t="str">
        <x:v>CẦN TRA — chưa xác minh mục từ</x:v>
      </x:c>
      <x:c r="E435" s="11" t="str">
        <x:v>* Nghĩa làm việc; cần nguồn định nghĩa</x:v>
      </x:c>
      <x:c r="F435" s="11" t="str">
        <x:v>VI</x:v>
      </x:c>
      <x:c r="G435" s="11" t="str">
        <x:v>S021</x:v>
      </x:c>
      <x:c r="H435" s="11" t="str">
        <x:v>Diễn đạt tiếng Hàn từ nghĩa làm việc; Điều lệ Đảng (do Đại hội đại biểu toàn quốc lần thứ XI của Đảng thông qua)</x:v>
      </x:c>
      <x:c r="I435" s="30" t="str">
        <x:v>https://tulieuvankien.dangcongsan.vn/ban-chap-hanh-trung-uong-dang/dai-hoi-dang/lan-thu-xi/dieu-le-dang-do-dai-hoi-dai-bieu-toan-quoc-lan-thu-xi-cua-dang-thong-qua-1472</x:v>
      </x:c>
      <x:c r="J435" s="11" t="str">
        <x:v>Chưa xác minh định nghĩa độc lập của nguyên biểu thức/nghĩa chọn trong ngôn ngữ này. Đối chiếu trong hồ sơ cũ;</x:v>
      </x:c>
      <x:c r="K435" s="11" t="str">
        <x:v>2026-10-28</x:v>
      </x:c>
    </x:row>
    <x:row r="436" ht="57" customHeight="1">
      <x:c r="A436" s="11" t="str">
        <x:v>M007</x:v>
      </x:c>
      <x:c r="B436" s="11" t="str">
        <x:v>VI</x:v>
      </x:c>
      <x:c r="C436" s="11" t="str">
        <x:v>Tầm nhìn ASEAN về Ấn Độ Dương–Thái Bình Dương</x:v>
      </x:c>
      <x:c r="D436" s="11" t="str">
        <x:v>CẦN TRA — chưa xác minh mục từ</x:v>
      </x:c>
      <x:c r="E436" s="11" t="str">
        <x:v>* Nghĩa làm việc; cần nguồn định nghĩa</x:v>
      </x:c>
      <x:c r="F436" s="11" t="str">
        <x:v>EN</x:v>
      </x:c>
      <x:c r="G436" s="11" t="str">
        <x:v>S120</x:v>
      </x:c>
      <x:c r="H436" s="11" t="str">
        <x:v>ASEAN Outlook on the Indo-Pacific</x:v>
      </x:c>
      <x:c r="I436" s="30" t="str">
        <x:v>https://www.asean.org/wp-content/uploads/2019/06/ASEAN-Outlook-on-the-Indo-Pacific_FINAL_22062019.pdf</x:v>
      </x:c>
      <x:c r="J436" s="11" t="str">
        <x:v>Chưa xác minh định nghĩa độc lập của nguyên biểu thức/nghĩa chọn trong ngôn ngữ này. Nguồn dẫn trong hồ sơ cũ; không phải xác nhận đã tìm được mục từ giải nghĩa trực tiếp.</x:v>
      </x:c>
      <x:c r="K436" s="11" t="str">
        <x:v>2026-10-28</x:v>
      </x:c>
    </x:row>
    <x:row r="437" ht="57" customHeight="1">
      <x:c r="A437" s="11" t="str">
        <x:v>M007</x:v>
      </x:c>
      <x:c r="B437" s="11" t="str">
        <x:v>KO</x:v>
      </x:c>
      <x:c r="C437" s="11" t="str">
        <x:v>인도-태평양에 대한 아세안 관점</x:v>
      </x:c>
      <x:c r="D437" s="11" t="str">
        <x:v>CẦN TRA — chưa xác minh mục từ</x:v>
      </x:c>
      <x:c r="E437" s="11" t="str">
        <x:v>* Nghĩa làm việc; cần nguồn định nghĩa</x:v>
      </x:c>
      <x:c r="F437" s="11" t="str">
        <x:v>EN</x:v>
      </x:c>
      <x:c r="G437" s="11" t="str">
        <x:v>S120</x:v>
      </x:c>
      <x:c r="H437" s="11" t="str">
        <x:v>Diễn đạt tiếng Hàn từ nghĩa làm việc; ASEAN Outlook on the Indo-Pacific</x:v>
      </x:c>
      <x:c r="I437" s="30" t="str">
        <x:v>https://www.asean.org/wp-content/uploads/2019/06/ASEAN-Outlook-on-the-Indo-Pacific_FINAL_22062019.pdf</x:v>
      </x:c>
      <x:c r="J437" s="11" t="str">
        <x:v>Chưa xác minh định nghĩa độc lập của nguyên biểu thức/nghĩa chọn trong ngôn ngữ này. Nguồn dẫn trong hồ sơ cũ; không phải xác nhận đã tìm được mục từ giải nghĩa trực tiếp.</x:v>
      </x:c>
      <x:c r="K437" s="11" t="str">
        <x:v>2026-10-28</x:v>
      </x:c>
    </x:row>
    <x:row r="438" ht="57" customHeight="1">
      <x:c r="A438" s="11" t="str">
        <x:v>M007</x:v>
      </x:c>
      <x:c r="B438" s="11" t="str">
        <x:v>Bổ sung</x:v>
      </x:c>
      <x:c r="C438" s="11" t="str">
        <x:v>Tầm nhìn ASEAN về Ấn Độ Dương–Thái Bình Dương / 인도-태평양에 대한 아세안 관점</x:v>
      </x:c>
      <x:c r="D438" s="11" t="str">
        <x:v>Xem dòng VI/KO</x:v>
      </x:c>
      <x:c r="E438" s="11" t="str">
        <x:v>Căn cứ nghĩa làm việc</x:v>
      </x:c>
      <x:c r="F438" s="11" t="str">
        <x:v>VI</x:v>
      </x:c>
      <x:c r="G438" s="11" t="str">
        <x:v>S171</x:v>
      </x:c>
      <x:c r="H438" s="11" t="str">
        <x:v>Quan hệ đối thoại ASEAN-Anh: Đối tác năng động, hợp tác thực chất, hướng tới tương lai</x:v>
      </x:c>
      <x:c r="I438" s="30" t="str">
        <x:v>https://web.mofa.gov.vn/vi/web/guest/tin-chi-tiet/chi-tiet/quan-he-doi-thoai-asean-anh-doi-tac-nang-dong-hop-tac-thuc-chat-huong-toi-tuong-lai-59268-140.html</x:v>
      </x:c>
      <x:c r="J438" s="11" t="str">
        <x:v>Nguồn dẫn trong hồ sơ định nghĩa làm việc: DIP_D06: Nhan đề; mục II–IV
DIP_D07: Phát biểu chào mừng</x:v>
      </x:c>
      <x:c r="K438" s="11" t="str">
        <x:v>2026-10-28</x:v>
      </x:c>
    </x:row>
    <x:row r="439" ht="72" customHeight="1">
      <x:c r="A439" s="11" t="str">
        <x:v>T039</x:v>
      </x:c>
      <x:c r="B439" s="11" t="str">
        <x:v>VI</x:v>
      </x:c>
      <x:c r="C439" s="11" t="str">
        <x:v>Văn kiện Đại hội</x:v>
      </x:c>
      <x:c r="D439" s="11" t="str">
        <x:v>CẦN TRA — chưa xác minh mục từ</x:v>
      </x:c>
      <x:c r="E439" s="11" t="str">
        <x:v>* Nghĩa làm việc; cần nguồn định nghĩa</x:v>
      </x:c>
      <x:c r="F439" s="11" t="str">
        <x:v>VI</x:v>
      </x:c>
      <x:c r="G439" s="11" t="str">
        <x:v>S172</x:v>
      </x:c>
      <x:c r="H439" s="11" t="str">
        <x:v>Văn kiện Đại hội Đảng – Lần thứ XIV</x:v>
      </x:c>
      <x:c r="I439" s="30" t="str">
        <x:v>https://tulieuvankien.dangcongsan.vn/bo-chinh-tri-ban-bi-thu-ban-chap-hanh-trung-uong/dai-hoi-dang/lan-thu-xiv</x:v>
      </x:c>
      <x:c r="J439" s="11" t="str">
        <x:v>Chưa xác minh định nghĩa độc lập của nguyên biểu thức/nghĩa chọn trong ngôn ngữ này. Nguồn dẫn trong hồ sơ định nghĩa làm việc: POL_VKDH: Mục Văn kiện Đại hội Đảng → Lần thứ XIV; danh mục Báo cáo chính trị, Báo cáo tổng kết, Nghị quyết Đại hội</x:v>
      </x:c>
      <x:c r="K439" s="11" t="str">
        <x:v>2026-10-28</x:v>
      </x:c>
    </x:row>
    <x:row r="440" ht="72" customHeight="1">
      <x:c r="A440" s="11" t="str">
        <x:v>T039</x:v>
      </x:c>
      <x:c r="B440" s="11" t="str">
        <x:v>KO</x:v>
      </x:c>
      <x:c r="C440" s="11" t="str">
        <x:v>제14차 전국당대회 문건</x:v>
      </x:c>
      <x:c r="D440" s="11" t="str">
        <x:v>CẦN TRA — chưa xác minh mục từ</x:v>
      </x:c>
      <x:c r="E440" s="11" t="str">
        <x:v>* Nghĩa làm việc; cần nguồn định nghĩa</x:v>
      </x:c>
      <x:c r="F440" s="11" t="str">
        <x:v>VI</x:v>
      </x:c>
      <x:c r="G440" s="11" t="str">
        <x:v>S172</x:v>
      </x:c>
      <x:c r="H440" s="11" t="str">
        <x:v>Diễn đạt tiếng Hàn từ nghĩa làm việc; Văn kiện Đại hội Đảng – Lần thứ XIV</x:v>
      </x:c>
      <x:c r="I440" s="30" t="str">
        <x:v>https://tulieuvankien.dangcongsan.vn/bo-chinh-tri-ban-bi-thu-ban-chap-hanh-trung-uong/dai-hoi-dang/lan-thu-xiv</x:v>
      </x:c>
      <x:c r="J440" s="11" t="str">
        <x:v>Chưa xác minh định nghĩa độc lập của nguyên biểu thức/nghĩa chọn trong ngôn ngữ này. Nguồn dẫn trong hồ sơ định nghĩa làm việc: POL_VKDH: Mục Văn kiện Đại hội Đảng → Lần thứ XIV; danh mục Báo cáo chính trị, Báo cáo tổng kết, Nghị quyết Đại hội</x:v>
      </x:c>
      <x:c r="K440" s="11" t="str">
        <x:v>2026-10-28</x:v>
      </x:c>
    </x:row>
    <x:row r="441" ht="57" customHeight="1">
      <x:c r="A441" s="11" t="str">
        <x:v>C001</x:v>
      </x:c>
      <x:c r="B441" s="11" t="str">
        <x:v>VI</x:v>
      </x:c>
      <x:c r="C441" s="11" t="str">
        <x:v>nhà ngoại giao</x:v>
      </x:c>
      <x:c r="D441" s="11" t="str">
        <x:v>CẦN TRA — chưa xác minh mục từ</x:v>
      </x:c>
      <x:c r="E441" s="11" t="str">
        <x:v>Diễn giải từ định nghĩa KO; cần nguồn VI</x:v>
      </x:c>
      <x:c r="F441" s="11" t="str">
        <x:v>KO</x:v>
      </x:c>
      <x:c r="G441" s="11" t="str">
        <x:v>S173</x:v>
      </x:c>
      <x:c r="H441" s="11" t="str">
        <x:v>국립국어원 한국어기초사전 — 외교관</x:v>
      </x:c>
      <x:c r="I441" s="30" t="str">
        <x:v>https://krdict.korean.go.kr/eng/dicSearch/SearchView?ParaWordNo=67853&amp;nation=eng</x:v>
      </x:c>
      <x:c r="J441" s="11" t="str">
        <x:v>Chưa xác minh định nghĩa độc lập của nguyên biểu thức/nghĩa chọn trong ngôn ngữ này. Nguồn dùng để đối chiếu khái niệm; phần giải nghĩa trong bảng được diễn giải, không trích nguyên văn.</x:v>
      </x:c>
      <x:c r="K441" s="11" t="str">
        <x:v>2026-10-28</x:v>
      </x:c>
    </x:row>
    <x:row r="442" ht="57" customHeight="1">
      <x:c r="A442" s="11" t="str">
        <x:v>C001</x:v>
      </x:c>
      <x:c r="B442" s="11" t="str">
        <x:v>KO</x:v>
      </x:c>
      <x:c r="C442" s="11" t="str">
        <x:v>외교관</x:v>
      </x:c>
      <x:c r="D442" s="11" t="str">
        <x:v>Có mục từ và đã đọc nghĩa</x:v>
      </x:c>
      <x:c r="E442" s="11" t="str">
        <x:v>Mục từ có nghĩa [KO]</x:v>
      </x:c>
      <x:c r="F442" s="11" t="str">
        <x:v>KO</x:v>
      </x:c>
      <x:c r="G442" s="11" t="str">
        <x:v>S173</x:v>
      </x:c>
      <x:c r="H442" s="11" t="str">
        <x:v>국립국어원 한국어기초사전 — 외교관</x:v>
      </x:c>
      <x:c r="I442" s="30" t="str">
        <x:v>https://krdict.korean.go.kr/eng/dicSearch/SearchView?ParaWordNo=67853&amp;nation=eng</x:v>
      </x:c>
      <x:c r="J442" s="11" t="str">
        <x:v>Đã đọc nguồn giải nghĩa bằng ngôn ngữ này; vẫn đối chiếu nghĩa chọn và ghi chú.</x:v>
      </x:c>
      <x:c r="K442" s="11" t="str">
        <x:v>2026-10-28</x:v>
      </x:c>
    </x:row>
    <x:row r="443" ht="57" customHeight="1">
      <x:c r="A443" s="11" t="str">
        <x:v>C002</x:v>
      </x:c>
      <x:c r="B443" s="11" t="str">
        <x:v>VI</x:v>
      </x:c>
      <x:c r="C443" s="11" t="str">
        <x:v>đặc phái viên</x:v>
      </x:c>
      <x:c r="D443" s="11" t="str">
        <x:v>CẦN TRA — chưa xác minh mục từ</x:v>
      </x:c>
      <x:c r="E443" s="11" t="str">
        <x:v>Diễn giải từ định nghĩa KO; cần nguồn VI</x:v>
      </x:c>
      <x:c r="F443" s="11" t="str">
        <x:v>KO</x:v>
      </x:c>
      <x:c r="G443" s="11" t="str">
        <x:v>S174</x:v>
      </x:c>
      <x:c r="H443" s="11" t="str">
        <x:v>한국민족문화대백과사전 — 특사</x:v>
      </x:c>
      <x:c r="I443" s="30" t="str">
        <x:v>https://encykorea.aks.ac.kr/Article/E0059508</x:v>
      </x:c>
      <x:c r="J443" s="11" t="str">
        <x:v>Chưa xác minh định nghĩa độc lập của nguyên biểu thức/nghĩa chọn trong ngôn ngữ này. Nguồn dùng để đối chiếu khái niệm; phần giải nghĩa trong bảng được diễn giải, không trích nguyên văn.</x:v>
      </x:c>
      <x:c r="K443" s="11" t="str">
        <x:v>2026-10-28</x:v>
      </x:c>
    </x:row>
    <x:row r="444" ht="57" customHeight="1">
      <x:c r="A444" s="11" t="str">
        <x:v>C002</x:v>
      </x:c>
      <x:c r="B444" s="11" t="str">
        <x:v>KO</x:v>
      </x:c>
      <x:c r="C444" s="11" t="str">
        <x:v>특사</x:v>
      </x:c>
      <x:c r="D444" s="11" t="str">
        <x:v>Có mục từ và đã đọc nghĩa</x:v>
      </x:c>
      <x:c r="E444" s="11" t="str">
        <x:v>Mục từ có nghĩa [KO]</x:v>
      </x:c>
      <x:c r="F444" s="11" t="str">
        <x:v>KO</x:v>
      </x:c>
      <x:c r="G444" s="11" t="str">
        <x:v>S174</x:v>
      </x:c>
      <x:c r="H444" s="11" t="str">
        <x:v>한국민족문화대백과사전 — 특사</x:v>
      </x:c>
      <x:c r="I444" s="30" t="str">
        <x:v>https://encykorea.aks.ac.kr/Article/E0059508</x:v>
      </x:c>
      <x:c r="J444" s="11" t="str">
        <x:v>Đã đọc nguồn giải nghĩa bằng ngôn ngữ này; vẫn đối chiếu nghĩa chọn và ghi chú.</x:v>
      </x:c>
      <x:c r="K444" s="11" t="str">
        <x:v>2026-10-28</x:v>
      </x:c>
    </x:row>
    <x:row r="445" ht="57" customHeight="1">
      <x:c r="A445" s="11" t="str">
        <x:v>C003</x:v>
      </x:c>
      <x:c r="B445" s="11" t="str">
        <x:v>VI</x:v>
      </x:c>
      <x:c r="C445" s="11" t="str">
        <x:v>Tổng lãnh sự</x:v>
      </x:c>
      <x:c r="D445" s="11" t="str">
        <x:v>CẦN TRA — chưa xác minh mục từ</x:v>
      </x:c>
      <x:c r="E445" s="11" t="str">
        <x:v>Diễn giải từ định nghĩa KO; cần nguồn VI</x:v>
      </x:c>
      <x:c r="F445" s="11" t="str">
        <x:v>KO</x:v>
      </x:c>
      <x:c r="G445" s="11" t="str">
        <x:v>S175</x:v>
      </x:c>
      <x:c r="H445" s="11" t="str">
        <x:v>한국민족문화대백과사전 — 총영사</x:v>
      </x:c>
      <x:c r="I445" s="30" t="str">
        <x:v>https://encykorea.aks.ac.kr/Article/E0057142</x:v>
      </x:c>
      <x:c r="J445" s="11" t="str">
        <x:v>Chưa xác minh định nghĩa độc lập của nguyên biểu thức/nghĩa chọn trong ngôn ngữ này. Nguồn dùng để đối chiếu khái niệm; phần giải nghĩa trong bảng được diễn giải, không trích nguyên văn.</x:v>
      </x:c>
      <x:c r="K445" s="11" t="str">
        <x:v>2026-10-28</x:v>
      </x:c>
    </x:row>
    <x:row r="446" ht="57" customHeight="1">
      <x:c r="A446" s="11" t="str">
        <x:v>C003</x:v>
      </x:c>
      <x:c r="B446" s="11" t="str">
        <x:v>KO</x:v>
      </x:c>
      <x:c r="C446" s="11" t="str">
        <x:v>총영사</x:v>
      </x:c>
      <x:c r="D446" s="11" t="str">
        <x:v>Có mục từ và đã đọc nghĩa</x:v>
      </x:c>
      <x:c r="E446" s="11" t="str">
        <x:v>Mục từ có nghĩa [KO]</x:v>
      </x:c>
      <x:c r="F446" s="11" t="str">
        <x:v>KO</x:v>
      </x:c>
      <x:c r="G446" s="11" t="str">
        <x:v>S175</x:v>
      </x:c>
      <x:c r="H446" s="11" t="str">
        <x:v>한국민족문화대백과사전 — 총영사</x:v>
      </x:c>
      <x:c r="I446" s="30" t="str">
        <x:v>https://encykorea.aks.ac.kr/Article/E0057142</x:v>
      </x:c>
      <x:c r="J446" s="11" t="str">
        <x:v>Đã đọc nguồn giải nghĩa bằng ngôn ngữ này; vẫn đối chiếu nghĩa chọn và ghi chú.</x:v>
      </x:c>
      <x:c r="K446" s="11" t="str">
        <x:v>2026-10-28</x:v>
      </x:c>
    </x:row>
    <x:row r="447" ht="57" customHeight="1">
      <x:c r="A447" s="11" t="str">
        <x:v>C004</x:v>
      </x:c>
      <x:c r="B447" s="11" t="str">
        <x:v>VI</x:v>
      </x:c>
      <x:c r="C447" s="11" t="str">
        <x:v>Lãnh sự danh dự</x:v>
      </x:c>
      <x:c r="D447" s="11" t="str">
        <x:v>CẦN TRA — chưa xác minh mục từ</x:v>
      </x:c>
      <x:c r="E447" s="11" t="str">
        <x:v>* Mô tả chính thức</x:v>
      </x:c>
      <x:c r="F447" s="11" t="str">
        <x:v>VI</x:v>
      </x:c>
      <x:c r="G447" s="11" t="str">
        <x:v>S176</x:v>
      </x:c>
      <x:c r="H447" s="11" t="str">
        <x:v>Bộ Ngoại giao — Hội nghị Lãnh sự danh dự nước CHXHCN Việt Nam ở nước ngoài</x:v>
      </x:c>
      <x:c r="I447" s="30" t="str">
        <x:v>https://web.mofa.gov.vn/vi/web/guest/tin-chi-tiet/chi-tiet/-hoi-nghi-lanh-su-danh-du-nuoc-chxhcn-viet-nam-o-nuoc-ngoai--140.html</x:v>
      </x:c>
      <x:c r="J447" s="11" t="str">
        <x:v>Chưa xác minh định nghĩa độc lập của nguyên biểu thức/nghĩa chọn trong ngôn ngữ này. Nguồn dùng để đối chiếu khái niệm; phần giải nghĩa trong bảng được diễn giải, không trích nguyên văn.</x:v>
      </x:c>
      <x:c r="K447" s="11" t="str">
        <x:v>2026-10-28</x:v>
      </x:c>
    </x:row>
    <x:row r="448" ht="57" customHeight="1">
      <x:c r="A448" s="11" t="str">
        <x:v>C004</x:v>
      </x:c>
      <x:c r="B448" s="11" t="str">
        <x:v>KO</x:v>
      </x:c>
      <x:c r="C448" s="11" t="str">
        <x:v>명예영사</x:v>
      </x:c>
      <x:c r="D448" s="11" t="str">
        <x:v>CẦN TRA — chưa xác minh mục từ</x:v>
      </x:c>
      <x:c r="E448" s="11" t="str">
        <x:v>* Mô tả chính thức</x:v>
      </x:c>
      <x:c r="F448" s="11" t="str">
        <x:v>KO</x:v>
      </x:c>
      <x:c r="G448" s="11" t="str">
        <x:v>S177</x:v>
      </x:c>
      <x:c r="H448" s="11" t="str">
        <x:v>대한민국 정책브리핑 — 명예영사에 관한 정책 설명</x:v>
      </x:c>
      <x:c r="I448" s="30" t="str">
        <x:v>https://www.korea.kr/news/contributePolicyView.do?newsId=148716126</x:v>
      </x:c>
      <x:c r="J448" s="11" t="str">
        <x:v>Chưa xác minh định nghĩa độc lập của nguyên biểu thức/nghĩa chọn trong ngôn ngữ này. Nguồn dùng để đối chiếu khái niệm; phần giải nghĩa trong bảng được diễn giải, không trích nguyên văn.</x:v>
      </x:c>
      <x:c r="K448" s="11" t="str">
        <x:v>2026-10-28</x:v>
      </x:c>
    </x:row>
    <x:row r="449" ht="57" customHeight="1">
      <x:c r="A449" s="11" t="str">
        <x:v>C006</x:v>
      </x:c>
      <x:c r="B449" s="11" t="str">
        <x:v>VI</x:v>
      </x:c>
      <x:c r="C449" s="11" t="str">
        <x:v>Đại biện</x:v>
      </x:c>
      <x:c r="D449" s="11" t="str">
        <x:v>CẦN TRA — chưa xác minh mục từ</x:v>
      </x:c>
      <x:c r="E449" s="11" t="str">
        <x:v>Diễn giải từ định nghĩa EN; cần nguồn VI</x:v>
      </x:c>
      <x:c r="F449" s="11" t="str">
        <x:v>EN</x:v>
      </x:c>
      <x:c r="G449" s="11" t="str">
        <x:v>S178</x:v>
      </x:c>
      <x:c r="H449" s="11" t="str">
        <x:v>United Nations — Vienna Convention on Diplomatic Relations (1961), Articles 3, 14, 19</x:v>
      </x:c>
      <x:c r="I449" s="30" t="str">
        <x:v>https://legal.un.org/ilc/texts/instruments/english/conventions/9_1_1961.pdf</x:v>
      </x:c>
      <x:c r="J449" s="11" t="str">
        <x:v>Chưa xác minh định nghĩa độc lập của nguyên biểu thức/nghĩa chọn trong ngôn ngữ này. Nguồn dùng để đối chiếu khái niệm; phần giải nghĩa trong bảng được diễn giải, không trích nguyên văn.</x:v>
      </x:c>
      <x:c r="K449" s="11" t="str">
        <x:v>2026-10-28</x:v>
      </x:c>
    </x:row>
    <x:row r="450" ht="57" customHeight="1">
      <x:c r="A450" s="11" t="str">
        <x:v>C006</x:v>
      </x:c>
      <x:c r="B450" s="11" t="str">
        <x:v>KO</x:v>
      </x:c>
      <x:c r="C450" s="11" t="str">
        <x:v>대리대사</x:v>
      </x:c>
      <x:c r="D450" s="11" t="str">
        <x:v>CẦN TRA — chưa xác minh mục từ</x:v>
      </x:c>
      <x:c r="E450" s="11" t="str">
        <x:v>Diễn giải từ định nghĩa EN; cần nguồn KO</x:v>
      </x:c>
      <x:c r="F450" s="11" t="str">
        <x:v>EN</x:v>
      </x:c>
      <x:c r="G450" s="11" t="str">
        <x:v>S178</x:v>
      </x:c>
      <x:c r="H450" s="11" t="str">
        <x:v>United Nations — Vienna Convention on Diplomatic Relations (1961), Articles 3, 14, 19</x:v>
      </x:c>
      <x:c r="I450" s="30" t="str">
        <x:v>https://legal.un.org/ilc/texts/instruments/english/conventions/9_1_1961.pdf</x:v>
      </x:c>
      <x:c r="J450" s="11" t="str">
        <x:v>Chưa xác minh định nghĩa độc lập của nguyên biểu thức/nghĩa chọn trong ngôn ngữ này. Nguồn dùng để đối chiếu khái niệm; phần giải nghĩa trong bảng được diễn giải, không trích nguyên văn.</x:v>
      </x:c>
      <x:c r="K450" s="11" t="str">
        <x:v>2026-10-28</x:v>
      </x:c>
    </x:row>
    <x:row r="451" ht="57" customHeight="1">
      <x:c r="A451" s="11" t="str">
        <x:v>C007</x:v>
      </x:c>
      <x:c r="B451" s="11" t="str">
        <x:v>VI</x:v>
      </x:c>
      <x:c r="C451" s="11" t="str">
        <x:v>Đại biện lâm thời</x:v>
      </x:c>
      <x:c r="D451" s="11" t="str">
        <x:v>CẦN TRA — chưa xác minh mục từ</x:v>
      </x:c>
      <x:c r="E451" s="11" t="str">
        <x:v>Diễn giải từ định nghĩa EN; cần nguồn VI</x:v>
      </x:c>
      <x:c r="F451" s="11" t="str">
        <x:v>EN</x:v>
      </x:c>
      <x:c r="G451" s="11" t="str">
        <x:v>S178</x:v>
      </x:c>
      <x:c r="H451" s="11" t="str">
        <x:v>United Nations — Vienna Convention on Diplomatic Relations (1961), Articles 3, 14, 19</x:v>
      </x:c>
      <x:c r="I451" s="30" t="str">
        <x:v>https://legal.un.org/ilc/texts/instruments/english/conventions/9_1_1961.pdf</x:v>
      </x:c>
      <x:c r="J451" s="11" t="str">
        <x:v>Chưa xác minh định nghĩa độc lập của nguyên biểu thức/nghĩa chọn trong ngôn ngữ này. Nguồn dùng để đối chiếu khái niệm; phần giải nghĩa trong bảng được diễn giải, không trích nguyên văn.</x:v>
      </x:c>
      <x:c r="K451" s="11" t="str">
        <x:v>2026-10-28</x:v>
      </x:c>
    </x:row>
    <x:row r="452" ht="57" customHeight="1">
      <x:c r="A452" s="11" t="str">
        <x:v>C007</x:v>
      </x:c>
      <x:c r="B452" s="11" t="str">
        <x:v>KO</x:v>
      </x:c>
      <x:c r="C452" s="11" t="str">
        <x:v>임시대리대사</x:v>
      </x:c>
      <x:c r="D452" s="11" t="str">
        <x:v>CẦN TRA — chưa xác minh mục từ</x:v>
      </x:c>
      <x:c r="E452" s="11" t="str">
        <x:v>Diễn giải từ định nghĩa EN; cần nguồn KO</x:v>
      </x:c>
      <x:c r="F452" s="11" t="str">
        <x:v>EN</x:v>
      </x:c>
      <x:c r="G452" s="11" t="str">
        <x:v>S178</x:v>
      </x:c>
      <x:c r="H452" s="11" t="str">
        <x:v>United Nations — Vienna Convention on Diplomatic Relations (1961), Articles 3, 14, 19</x:v>
      </x:c>
      <x:c r="I452" s="30" t="str">
        <x:v>https://legal.un.org/ilc/texts/instruments/english/conventions/9_1_1961.pdf</x:v>
      </x:c>
      <x:c r="J452" s="11" t="str">
        <x:v>Chưa xác minh định nghĩa độc lập của nguyên biểu thức/nghĩa chọn trong ngôn ngữ này. Nguồn dùng để đối chiếu khái niệm; phần giải nghĩa trong bảng được diễn giải, không trích nguyên văn.</x:v>
      </x:c>
      <x:c r="K452" s="11" t="str">
        <x:v>2026-10-28</x:v>
      </x:c>
    </x:row>
    <x:row r="453" ht="57" customHeight="1">
      <x:c r="A453" s="11" t="str">
        <x:v>C009</x:v>
      </x:c>
      <x:c r="B453" s="11" t="str">
        <x:v>VI</x:v>
      </x:c>
      <x:c r="C453" s="11" t="str">
        <x:v>Trưởng đại diện</x:v>
      </x:c>
      <x:c r="D453" s="11" t="str">
        <x:v>CẦN TRA — chưa xác minh mục từ</x:v>
      </x:c>
      <x:c r="E453" s="11" t="str">
        <x:v>* Nghĩa làm việc; cần nguồn định nghĩa</x:v>
      </x:c>
      <x:c r="F453" s="11" t="str">
        <x:v>Chưa có nguồn</x:v>
      </x:c>
      <x:c r="G453" s="11" t="str"/>
      <x:c r="H453" s="11" t="str">
        <x:v>Chưa xác minh nguồn định nghĩa trực tiếp</x:v>
      </x:c>
      <x:c r="I453" s="30" t="str"/>
      <x:c r="J453" s="11" t="str">
        <x:v>Chưa xác minh định nghĩa độc lập của nguyên biểu thức/nghĩa chọn trong ngôn ngữ này. </x:v>
      </x:c>
      <x:c r="K453" s="11" t="str">
        <x:v>2026-10-28</x:v>
      </x:c>
    </x:row>
    <x:row r="454" ht="57" customHeight="1">
      <x:c r="A454" s="11" t="str">
        <x:v>C009</x:v>
      </x:c>
      <x:c r="B454" s="11" t="str">
        <x:v>KO</x:v>
      </x:c>
      <x:c r="C454" s="11" t="str">
        <x:v>상주대표</x:v>
      </x:c>
      <x:c r="D454" s="11" t="str">
        <x:v>CẦN TRA — chưa xác minh mục từ</x:v>
      </x:c>
      <x:c r="E454" s="11" t="str">
        <x:v>Diễn giải từ định nghĩa EN; cần nguồn KO</x:v>
      </x:c>
      <x:c r="F454" s="11" t="str">
        <x:v>EN</x:v>
      </x:c>
      <x:c r="G454" s="11" t="str">
        <x:v>S179</x:v>
      </x:c>
      <x:c r="H454" s="11" t="str">
        <x:v>United Nations — Manual of Protocol</x:v>
      </x:c>
      <x:c r="I454" s="30" t="str">
        <x:v>https://www.un.org/dgacm/en/content/protocol/manual-of-protocol</x:v>
      </x:c>
      <x:c r="J454" s="11" t="str">
        <x:v>Chưa xác minh định nghĩa độc lập của nguyên biểu thức/nghĩa chọn trong ngôn ngữ này. Nguồn dùng để đối chiếu khái niệm; phần giải nghĩa trong bảng được diễn giải, không trích nguyên văn.</x:v>
      </x:c>
      <x:c r="K454" s="11" t="str">
        <x:v>2026-10-28</x:v>
      </x:c>
    </x:row>
    <x:row r="455" ht="72" customHeight="1">
      <x:c r="A455" s="11" t="str">
        <x:v>C010</x:v>
      </x:c>
      <x:c r="B455" s="11" t="str">
        <x:v>VI</x:v>
      </x:c>
      <x:c r="C455" s="11" t="str">
        <x:v>trưởng đoàn</x:v>
      </x:c>
      <x:c r="D455" s="11" t="str">
        <x:v>CẦN TRA — chưa xác minh mục từ</x:v>
      </x:c>
      <x:c r="E455" s="11" t="str">
        <x:v>* Nghĩa làm việc; cần nguồn định nghĩa</x:v>
      </x:c>
      <x:c r="F455" s="11" t="str">
        <x:v>KO</x:v>
      </x:c>
      <x:c r="G455" s="11" t="str">
        <x:v>S180</x:v>
      </x:c>
      <x:c r="H455" s="11" t="str">
        <x:v>한-GCC FTA 제3차 협상 결과 — 외교부</x:v>
      </x:c>
      <x:c r="I455" s="30" t="str">
        <x:v>https://www.mofa.go.kr/www/brd/m_4080/view.do?page=1688&amp;pitem=10&amp;seq=323305</x:v>
      </x:c>
      <x:c r="J455" s="11" t="str">
        <x:v>Chưa xác minh định nghĩa độc lập của nguyên biểu thức/nghĩa chọn trong ngôn ngữ này. Thông cáo Bộ Ngoại giao ngày 10/07/2009 dùng 쿠웨이트 대표단장 cho người đại diện dẫn đầu đoàn đàm phán. Chỉ sử dụng bằng chứng cách dùng trong kết quả tìm kiếm, không khẳng định đã đọc toàn trang.</x:v>
      </x:c>
      <x:c r="K455" s="11" t="str">
        <x:v>2026-10-28</x:v>
      </x:c>
    </x:row>
    <x:row r="456" ht="72" customHeight="1">
      <x:c r="A456" s="11" t="str">
        <x:v>C010</x:v>
      </x:c>
      <x:c r="B456" s="11" t="str">
        <x:v>KO</x:v>
      </x:c>
      <x:c r="C456" s="11" t="str">
        <x:v>대표단장</x:v>
      </x:c>
      <x:c r="D456" s="11" t="str">
        <x:v>CẦN TRA — chưa xác minh mục từ</x:v>
      </x:c>
      <x:c r="E456" s="11" t="str">
        <x:v>* Nghĩa làm việc; cần nguồn định nghĩa</x:v>
      </x:c>
      <x:c r="F456" s="11" t="str">
        <x:v>KO</x:v>
      </x:c>
      <x:c r="G456" s="11" t="str">
        <x:v>S180</x:v>
      </x:c>
      <x:c r="H456" s="11" t="str">
        <x:v>한-GCC FTA 제3차 협상 결과 — 외교부</x:v>
      </x:c>
      <x:c r="I456" s="30" t="str">
        <x:v>https://www.mofa.go.kr/www/brd/m_4080/view.do?page=1688&amp;pitem=10&amp;seq=323305</x:v>
      </x:c>
      <x:c r="J456" s="11" t="str">
        <x:v>Chưa xác minh định nghĩa độc lập của nguyên biểu thức/nghĩa chọn trong ngôn ngữ này. Thông cáo Bộ Ngoại giao ngày 10/07/2009 dùng 쿠웨이트 대표단장 cho người đại diện dẫn đầu đoàn đàm phán. Chỉ sử dụng bằng chứng cách dùng trong kết quả tìm kiếm, không khẳng định đã đọc toàn trang.</x:v>
      </x:c>
      <x:c r="K456" s="11" t="str">
        <x:v>2026-10-28</x:v>
      </x:c>
    </x:row>
    <x:row r="457" ht="57" customHeight="1">
      <x:c r="A457" s="11" t="str">
        <x:v>C012</x:v>
      </x:c>
      <x:c r="B457" s="11" t="str">
        <x:v>VI</x:v>
      </x:c>
      <x:c r="C457" s="11" t="str">
        <x:v>thượng nghị sĩ</x:v>
      </x:c>
      <x:c r="D457" s="11" t="str">
        <x:v>CẦN TRA — chưa xác minh mục từ</x:v>
      </x:c>
      <x:c r="E457" s="11" t="str">
        <x:v>Diễn giải từ định nghĩa EN; cần nguồn VI</x:v>
      </x:c>
      <x:c r="F457" s="11" t="str">
        <x:v>EN</x:v>
      </x:c>
      <x:c r="G457" s="11" t="str">
        <x:v>S181</x:v>
      </x:c>
      <x:c r="H457" s="11" t="str">
        <x:v>United States Senate — Glossary</x:v>
      </x:c>
      <x:c r="I457" s="30" t="str">
        <x:v>https://www.senate.gov/about/research-tools/glossary.htm</x:v>
      </x:c>
      <x:c r="J457" s="11" t="str">
        <x:v>Chưa xác minh định nghĩa độc lập của nguyên biểu thức/nghĩa chọn trong ngôn ngữ này. Nguồn dùng để đối chiếu khái niệm; phần giải nghĩa trong bảng được diễn giải, không trích nguyên văn.</x:v>
      </x:c>
      <x:c r="K457" s="11" t="str">
        <x:v>2026-10-28</x:v>
      </x:c>
    </x:row>
    <x:row r="458" ht="57" customHeight="1">
      <x:c r="A458" s="11" t="str">
        <x:v>C012</x:v>
      </x:c>
      <x:c r="B458" s="11" t="str">
        <x:v>KO</x:v>
      </x:c>
      <x:c r="C458" s="11" t="str">
        <x:v>상원의원</x:v>
      </x:c>
      <x:c r="D458" s="11" t="str">
        <x:v>CẦN TRA — chưa xác minh mục từ</x:v>
      </x:c>
      <x:c r="E458" s="11" t="str">
        <x:v>Diễn giải từ định nghĩa EN; cần nguồn KO</x:v>
      </x:c>
      <x:c r="F458" s="11" t="str">
        <x:v>EN</x:v>
      </x:c>
      <x:c r="G458" s="11" t="str">
        <x:v>S181</x:v>
      </x:c>
      <x:c r="H458" s="11" t="str">
        <x:v>United States Senate — Glossary</x:v>
      </x:c>
      <x:c r="I458" s="30" t="str">
        <x:v>https://www.senate.gov/about/research-tools/glossary.htm</x:v>
      </x:c>
      <x:c r="J458" s="11" t="str">
        <x:v>Chưa xác minh định nghĩa độc lập của nguyên biểu thức/nghĩa chọn trong ngôn ngữ này. Nguồn dùng để đối chiếu khái niệm; phần giải nghĩa trong bảng được diễn giải, không trích nguyên văn.</x:v>
      </x:c>
      <x:c r="K458" s="11" t="str">
        <x:v>2026-10-28</x:v>
      </x:c>
    </x:row>
    <x:row r="459" ht="57" customHeight="1">
      <x:c r="A459" s="11" t="str">
        <x:v>C013</x:v>
      </x:c>
      <x:c r="B459" s="11" t="str">
        <x:v>VI</x:v>
      </x:c>
      <x:c r="C459" s="11" t="str">
        <x:v>Chủ tịch Hạ viện</x:v>
      </x:c>
      <x:c r="D459" s="11" t="str">
        <x:v>CẦN TRA — chưa xác minh mục từ</x:v>
      </x:c>
      <x:c r="E459" s="11" t="str">
        <x:v>* Diễn giải mô tả EN</x:v>
      </x:c>
      <x:c r="F459" s="11" t="str">
        <x:v>EN</x:v>
      </x:c>
      <x:c r="G459" s="11" t="str">
        <x:v>S182</x:v>
      </x:c>
      <x:c r="H459" s="11" t="str">
        <x:v>United States House of Representatives — Leadership</x:v>
      </x:c>
      <x:c r="I459" s="30" t="str">
        <x:v>https://www.house.gov/leadership</x:v>
      </x:c>
      <x:c r="J459" s="11" t="str">
        <x:v>Chưa xác minh định nghĩa độc lập của nguyên biểu thức/nghĩa chọn trong ngôn ngữ này. Nguồn dùng để đối chiếu khái niệm; phần giải nghĩa trong bảng được diễn giải, không trích nguyên văn.</x:v>
      </x:c>
      <x:c r="K459" s="11" t="str">
        <x:v>2026-10-28</x:v>
      </x:c>
    </x:row>
    <x:row r="460" ht="57" customHeight="1">
      <x:c r="A460" s="11" t="str">
        <x:v>C013</x:v>
      </x:c>
      <x:c r="B460" s="11" t="str">
        <x:v>KO</x:v>
      </x:c>
      <x:c r="C460" s="11" t="str">
        <x:v>하원의장</x:v>
      </x:c>
      <x:c r="D460" s="11" t="str">
        <x:v>CẦN TRA — chưa xác minh mục từ</x:v>
      </x:c>
      <x:c r="E460" s="11" t="str">
        <x:v>* Diễn giải mô tả EN</x:v>
      </x:c>
      <x:c r="F460" s="11" t="str">
        <x:v>EN</x:v>
      </x:c>
      <x:c r="G460" s="11" t="str">
        <x:v>S182</x:v>
      </x:c>
      <x:c r="H460" s="11" t="str">
        <x:v>United States House of Representatives — Leadership</x:v>
      </x:c>
      <x:c r="I460" s="30" t="str">
        <x:v>https://www.house.gov/leadership</x:v>
      </x:c>
      <x:c r="J460" s="11" t="str">
        <x:v>Chưa xác minh định nghĩa độc lập của nguyên biểu thức/nghĩa chọn trong ngôn ngữ này. Nguồn dùng để đối chiếu khái niệm; phần giải nghĩa trong bảng được diễn giải, không trích nguyên văn.</x:v>
      </x:c>
      <x:c r="K460" s="11" t="str">
        <x:v>2026-10-28</x:v>
      </x:c>
    </x:row>
    <x:row r="461" ht="57" customHeight="1">
      <x:c r="A461" s="11" t="str">
        <x:v>C014</x:v>
      </x:c>
      <x:c r="B461" s="11" t="str">
        <x:v>VI</x:v>
      </x:c>
      <x:c r="C461" s="11" t="str">
        <x:v>Chủ tịch Thượng viện</x:v>
      </x:c>
      <x:c r="D461" s="11" t="str">
        <x:v>CẦN TRA — chưa xác minh mục từ</x:v>
      </x:c>
      <x:c r="E461" s="11" t="str">
        <x:v>* Diễn giải mô tả EN</x:v>
      </x:c>
      <x:c r="F461" s="11" t="str">
        <x:v>EN</x:v>
      </x:c>
      <x:c r="G461" s="11" t="str">
        <x:v>S183</x:v>
      </x:c>
      <x:c r="H461" s="11" t="str">
        <x:v>UK Parliament — The role of the Lord Speaker</x:v>
      </x:c>
      <x:c r="I461" s="30" t="str">
        <x:v>https://www.parliament.uk/business/lords/lord-speaker/the-role-of-lord-speaker/</x:v>
      </x:c>
      <x:c r="J461" s="11" t="str">
        <x:v>Chưa xác minh định nghĩa độc lập của nguyên biểu thức/nghĩa chọn trong ngôn ngữ này. Nguồn dùng để đối chiếu khái niệm; phần giải nghĩa trong bảng được diễn giải, không trích nguyên văn.</x:v>
      </x:c>
      <x:c r="K461" s="11" t="str">
        <x:v>2026-10-28</x:v>
      </x:c>
    </x:row>
    <x:row r="462" ht="57" customHeight="1">
      <x:c r="A462" s="11" t="str">
        <x:v>C014</x:v>
      </x:c>
      <x:c r="B462" s="11" t="str">
        <x:v>KO</x:v>
      </x:c>
      <x:c r="C462" s="11" t="str">
        <x:v>상원의장</x:v>
      </x:c>
      <x:c r="D462" s="11" t="str">
        <x:v>CẦN TRA — chưa xác minh mục từ</x:v>
      </x:c>
      <x:c r="E462" s="11" t="str">
        <x:v>* Diễn giải mô tả EN</x:v>
      </x:c>
      <x:c r="F462" s="11" t="str">
        <x:v>EN</x:v>
      </x:c>
      <x:c r="G462" s="11" t="str">
        <x:v>S183</x:v>
      </x:c>
      <x:c r="H462" s="11" t="str">
        <x:v>UK Parliament — The role of the Lord Speaker</x:v>
      </x:c>
      <x:c r="I462" s="30" t="str">
        <x:v>https://www.parliament.uk/business/lords/lord-speaker/the-role-of-lord-speaker/</x:v>
      </x:c>
      <x:c r="J462" s="11" t="str">
        <x:v>Chưa xác minh định nghĩa độc lập của nguyên biểu thức/nghĩa chọn trong ngôn ngữ này. Nguồn dùng để đối chiếu khái niệm; phần giải nghĩa trong bảng được diễn giải, không trích nguyên văn.</x:v>
      </x:c>
      <x:c r="K462" s="11" t="str">
        <x:v>2026-10-28</x:v>
      </x:c>
    </x:row>
    <x:row r="463" ht="57" customHeight="1">
      <x:c r="A463" s="11" t="str">
        <x:v>C015</x:v>
      </x:c>
      <x:c r="B463" s="11" t="str">
        <x:v>VI</x:v>
      </x:c>
      <x:c r="C463" s="11" t="str">
        <x:v>Quốc vương</x:v>
      </x:c>
      <x:c r="D463" s="11" t="str">
        <x:v>CẦN TRA — chưa xác minh mục từ</x:v>
      </x:c>
      <x:c r="E463" s="11" t="str">
        <x:v>* Nghĩa làm việc; cần nguồn định nghĩa</x:v>
      </x:c>
      <x:c r="F463" s="11" t="str">
        <x:v>KO</x:v>
      </x:c>
      <x:c r="G463" s="11" t="str">
        <x:v>S184</x:v>
      </x:c>
      <x:c r="H463" s="11" t="str">
        <x:v>KOTRA 국가정보: 네덜란드, mục 국왕(Crown)</x:v>
      </x:c>
      <x:c r="I463" s="30" t="str">
        <x:v>https://lib.kotra.or.kr/pyxis-api/1/digital-files/c16960ef-f41f-018a-e053-b46464899664</x:v>
      </x:c>
      <x:c r="J463" s="11" t="str">
        <x:v>Chưa xác minh định nghĩa độc lập của nguyên biểu thức/nghĩa chọn trong ngôn ngữ này. Mục 2) 국왕(Crown) mô tả vị trí nguyên thủ trong cơ cấu quân chủ Hà Lan; chỉ hỗ trợ nghĩa chuyên biệt đã chọn, không phải định nghĩa từ điển tổng quát.</x:v>
      </x:c>
      <x:c r="K463" s="11" t="str">
        <x:v>2026-10-28</x:v>
      </x:c>
    </x:row>
    <x:row r="464" ht="57" customHeight="1">
      <x:c r="A464" s="11" t="str">
        <x:v>C015</x:v>
      </x:c>
      <x:c r="B464" s="11" t="str">
        <x:v>KO</x:v>
      </x:c>
      <x:c r="C464" s="11" t="str">
        <x:v>국왕</x:v>
      </x:c>
      <x:c r="D464" s="11" t="str">
        <x:v>CẦN TRA — chưa xác minh mục từ</x:v>
      </x:c>
      <x:c r="E464" s="11" t="str">
        <x:v>* Nghĩa làm việc; cần nguồn định nghĩa</x:v>
      </x:c>
      <x:c r="F464" s="11" t="str">
        <x:v>KO</x:v>
      </x:c>
      <x:c r="G464" s="11" t="str">
        <x:v>S184</x:v>
      </x:c>
      <x:c r="H464" s="11" t="str">
        <x:v>KOTRA 국가정보: 네덜란드, mục 국왕(Crown)</x:v>
      </x:c>
      <x:c r="I464" s="30" t="str">
        <x:v>https://lib.kotra.or.kr/pyxis-api/1/digital-files/c16960ef-f41f-018a-e053-b46464899664</x:v>
      </x:c>
      <x:c r="J464" s="11" t="str">
        <x:v>Chưa xác minh định nghĩa độc lập của nguyên biểu thức/nghĩa chọn trong ngôn ngữ này. Mục 2) 국왕(Crown) mô tả vị trí nguyên thủ trong cơ cấu quân chủ Hà Lan; chỉ hỗ trợ nghĩa chuyên biệt đã chọn, không phải định nghĩa từ điển tổng quát.</x:v>
      </x:c>
      <x:c r="K464" s="11" t="str">
        <x:v>2026-10-28</x:v>
      </x:c>
    </x:row>
    <x:row r="465" ht="57" customHeight="1">
      <x:c r="A465" s="11" t="str">
        <x:v>C016</x:v>
      </x:c>
      <x:c r="B465" s="11" t="str">
        <x:v>VI</x:v>
      </x:c>
      <x:c r="C465" s="11" t="str">
        <x:v>Cố vấn An ninh Quốc gia</x:v>
      </x:c>
      <x:c r="D465" s="11" t="str">
        <x:v>CẦN TRA — chưa xác minh mục từ</x:v>
      </x:c>
      <x:c r="E465" s="11" t="str">
        <x:v>* Diễn giải mô tả EN</x:v>
      </x:c>
      <x:c r="F465" s="11" t="str">
        <x:v>EN</x:v>
      </x:c>
      <x:c r="G465" s="11" t="str">
        <x:v>S185</x:v>
      </x:c>
      <x:c r="H465" s="11" t="str">
        <x:v>Organization of the National Security Council and Subcommittees — The White House</x:v>
      </x:c>
      <x:c r="I465" s="30" t="str">
        <x:v>https://www.whitehouse.gov/presidential-actions/2025/01/organization-of-the-national-security-council-and-subcommittees/</x:v>
      </x:c>
      <x:c r="J465" s="11" t="str">
        <x:v>Chưa xác minh định nghĩa độc lập của nguyên biểu thức/nghĩa chọn trong ngôn ngữ này. Mục A.1–2 và A.5 phân biệt National Security Advisor, chức năng tham mưu và điều phối NSC với vai trò chủ trì của Tổng thống.</x:v>
      </x:c>
      <x:c r="K465" s="11" t="str">
        <x:v>2026-10-28</x:v>
      </x:c>
    </x:row>
    <x:row r="466" ht="57" customHeight="1">
      <x:c r="A466" s="11" t="str">
        <x:v>C016</x:v>
      </x:c>
      <x:c r="B466" s="11" t="str">
        <x:v>KO</x:v>
      </x:c>
      <x:c r="C466" s="11" t="str">
        <x:v>국가안보보좌관</x:v>
      </x:c>
      <x:c r="D466" s="11" t="str">
        <x:v>CẦN TRA — chưa xác minh mục từ</x:v>
      </x:c>
      <x:c r="E466" s="11" t="str">
        <x:v>* Diễn giải mô tả EN</x:v>
      </x:c>
      <x:c r="F466" s="11" t="str">
        <x:v>EN</x:v>
      </x:c>
      <x:c r="G466" s="11" t="str">
        <x:v>S185</x:v>
      </x:c>
      <x:c r="H466" s="11" t="str">
        <x:v>Organization of the National Security Council and Subcommittees — The White House</x:v>
      </x:c>
      <x:c r="I466" s="30" t="str">
        <x:v>https://www.whitehouse.gov/presidential-actions/2025/01/organization-of-the-national-security-council-and-subcommittees/</x:v>
      </x:c>
      <x:c r="J466" s="11" t="str">
        <x:v>Chưa xác minh định nghĩa độc lập của nguyên biểu thức/nghĩa chọn trong ngôn ngữ này. Mục A.1–2 và A.5 phân biệt National Security Advisor, chức năng tham mưu và điều phối NSC với vai trò chủ trì của Tổng thống.</x:v>
      </x:c>
      <x:c r="K466" s="11" t="str">
        <x:v>2026-10-28</x:v>
      </x:c>
    </x:row>
    <x:row r="467" ht="57" customHeight="1">
      <x:c r="A467" s="11" t="str">
        <x:v>C016</x:v>
      </x:c>
      <x:c r="B467" s="11" t="str">
        <x:v>Bổ sung</x:v>
      </x:c>
      <x:c r="C467" s="11" t="str">
        <x:v>Cố vấn An ninh Quốc gia / 국가안보보좌관</x:v>
      </x:c>
      <x:c r="D467" s="11" t="str">
        <x:v>Xem dòng VI/KO</x:v>
      </x:c>
      <x:c r="E467" s="11" t="str">
        <x:v>Cách dùng trên nguồn chính thức</x:v>
      </x:c>
      <x:c r="F467" s="11" t="str">
        <x:v>KO</x:v>
      </x:c>
      <x:c r="G467" s="11" t="str">
        <x:v>S186</x:v>
      </x:c>
      <x:c r="H467" s="11" t="str">
        <x:v>조현 장관, 美 국무장관 겸 국가안보보좌관 면담(8.22.) 결과</x:v>
      </x:c>
      <x:c r="I467" s="30" t="str">
        <x:v>https://www.mofa.go.kr/www/brd/m_4080/view.do?seq=376327</x:v>
      </x:c>
      <x:c r="J467" s="11" t="str">
        <x:v>Bộ Ngoại giao Hàn Quốc dùng toàn cụm 국가안보보좌관 trong thông cáo ngày 23/08/2025; đây là chứng cứ nhãn gọi, không phải định nghĩa từ điển.</x:v>
      </x:c>
      <x:c r="K467" s="11" t="str">
        <x:v>2026-10-28</x:v>
      </x:c>
    </x:row>
    <x:row r="468" ht="57" customHeight="1">
      <x:c r="A468" s="11" t="str">
        <x:v>C019</x:v>
      </x:c>
      <x:c r="B468" s="11" t="str">
        <x:v>VI</x:v>
      </x:c>
      <x:c r="C468" s="11" t="str">
        <x:v>tổ chức quốc tế</x:v>
      </x:c>
      <x:c r="D468" s="11" t="str">
        <x:v>CẦN TRA — chưa xác minh mục từ</x:v>
      </x:c>
      <x:c r="E468" s="11" t="str">
        <x:v>Diễn giải từ định nghĩa EN; cần nguồn VI</x:v>
      </x:c>
      <x:c r="F468" s="11" t="str">
        <x:v>EN</x:v>
      </x:c>
      <x:c r="G468" s="11" t="str">
        <x:v>S187</x:v>
      </x:c>
      <x:c r="H468" s="11" t="str">
        <x:v>International Law Commission — Draft Articles on Responsibility of International Organizations (2011), Article 2(a)</x:v>
      </x:c>
      <x:c r="I468" s="30" t="str">
        <x:v>https://legal.un.org/ilc/texts/instruments/english/draft_articles/9_11_2011.pdf</x:v>
      </x:c>
      <x:c r="J468" s="11" t="str">
        <x:v>Chưa xác minh định nghĩa độc lập của nguyên biểu thức/nghĩa chọn trong ngôn ngữ này. Nguồn dùng để đối chiếu khái niệm; phần giải nghĩa trong bảng được diễn giải, không trích nguyên văn.</x:v>
      </x:c>
      <x:c r="K468" s="11" t="str">
        <x:v>2026-10-28</x:v>
      </x:c>
    </x:row>
    <x:row r="469" ht="57" customHeight="1">
      <x:c r="A469" s="11" t="str">
        <x:v>C019</x:v>
      </x:c>
      <x:c r="B469" s="11" t="str">
        <x:v>KO</x:v>
      </x:c>
      <x:c r="C469" s="11" t="str">
        <x:v>국제기구</x:v>
      </x:c>
      <x:c r="D469" s="11" t="str">
        <x:v>CẦN TRA — chưa xác minh mục từ</x:v>
      </x:c>
      <x:c r="E469" s="11" t="str">
        <x:v>Diễn giải từ định nghĩa EN; cần nguồn KO</x:v>
      </x:c>
      <x:c r="F469" s="11" t="str">
        <x:v>EN</x:v>
      </x:c>
      <x:c r="G469" s="11" t="str">
        <x:v>S187</x:v>
      </x:c>
      <x:c r="H469" s="11" t="str">
        <x:v>International Law Commission — Draft Articles on Responsibility of International Organizations (2011), Article 2(a)</x:v>
      </x:c>
      <x:c r="I469" s="30" t="str">
        <x:v>https://legal.un.org/ilc/texts/instruments/english/draft_articles/9_11_2011.pdf</x:v>
      </x:c>
      <x:c r="J469" s="11" t="str">
        <x:v>Chưa xác minh định nghĩa độc lập của nguyên biểu thức/nghĩa chọn trong ngôn ngữ này. Nguồn dùng để đối chiếu khái niệm; phần giải nghĩa trong bảng được diễn giải, không trích nguyên văn.</x:v>
      </x:c>
      <x:c r="K469" s="11" t="str">
        <x:v>2026-10-28</x:v>
      </x:c>
    </x:row>
    <x:row r="470" ht="57" customHeight="1">
      <x:c r="A470" s="11" t="str">
        <x:v>C020</x:v>
      </x:c>
      <x:c r="B470" s="11" t="str">
        <x:v>VI</x:v>
      </x:c>
      <x:c r="C470" s="11" t="str">
        <x:v>tổ chức phi Chính phủ</x:v>
      </x:c>
      <x:c r="D470" s="11" t="str">
        <x:v>CẦN TRA — chưa xác minh mục từ</x:v>
      </x:c>
      <x:c r="E470" s="11" t="str">
        <x:v>Diễn giải từ định nghĩa EN; cần nguồn VI</x:v>
      </x:c>
      <x:c r="F470" s="11" t="str">
        <x:v>EN</x:v>
      </x:c>
      <x:c r="G470" s="11" t="str">
        <x:v>S188</x:v>
      </x:c>
      <x:c r="H470" s="11" t="str">
        <x:v>United Nations — Civil Society, About Us</x:v>
      </x:c>
      <x:c r="I470" s="30" t="str">
        <x:v>https://www.un.org/en/civil-society/page/about-us</x:v>
      </x:c>
      <x:c r="J470" s="11" t="str">
        <x:v>Chưa xác minh định nghĩa độc lập của nguyên biểu thức/nghĩa chọn trong ngôn ngữ này. Nguồn dùng để đối chiếu khái niệm; phần giải nghĩa trong bảng được diễn giải, không trích nguyên văn.</x:v>
      </x:c>
      <x:c r="K470" s="11" t="str">
        <x:v>2026-10-28</x:v>
      </x:c>
    </x:row>
    <x:row r="471" ht="57" customHeight="1">
      <x:c r="A471" s="11" t="str">
        <x:v>C020</x:v>
      </x:c>
      <x:c r="B471" s="11" t="str">
        <x:v>KO</x:v>
      </x:c>
      <x:c r="C471" s="11" t="str">
        <x:v>비정부기구</x:v>
      </x:c>
      <x:c r="D471" s="11" t="str">
        <x:v>CẦN TRA — chưa xác minh mục từ</x:v>
      </x:c>
      <x:c r="E471" s="11" t="str">
        <x:v>Diễn giải từ định nghĩa EN; cần nguồn KO</x:v>
      </x:c>
      <x:c r="F471" s="11" t="str">
        <x:v>EN</x:v>
      </x:c>
      <x:c r="G471" s="11" t="str">
        <x:v>S188</x:v>
      </x:c>
      <x:c r="H471" s="11" t="str">
        <x:v>United Nations — Civil Society, About Us</x:v>
      </x:c>
      <x:c r="I471" s="30" t="str">
        <x:v>https://www.un.org/en/civil-society/page/about-us</x:v>
      </x:c>
      <x:c r="J471" s="11" t="str">
        <x:v>Chưa xác minh định nghĩa độc lập của nguyên biểu thức/nghĩa chọn trong ngôn ngữ này. Nguồn dùng để đối chiếu khái niệm; phần giải nghĩa trong bảng được diễn giải, không trích nguyên văn.</x:v>
      </x:c>
      <x:c r="K471" s="11" t="str">
        <x:v>2026-10-28</x:v>
      </x:c>
    </x:row>
    <x:row r="472" ht="57" customHeight="1">
      <x:c r="A472" s="11" t="str">
        <x:v>C021</x:v>
      </x:c>
      <x:c r="B472" s="11" t="str">
        <x:v>VI</x:v>
      </x:c>
      <x:c r="C472" s="11" t="str">
        <x:v>chính đảng</x:v>
      </x:c>
      <x:c r="D472" s="11" t="str">
        <x:v>CẦN TRA — chưa xác minh mục từ</x:v>
      </x:c>
      <x:c r="E472" s="11" t="str">
        <x:v>Diễn giải từ định nghĩa KO; cần nguồn VI</x:v>
      </x:c>
      <x:c r="F472" s="11" t="str">
        <x:v>KO</x:v>
      </x:c>
      <x:c r="G472" s="11" t="str">
        <x:v>S189</x:v>
      </x:c>
      <x:c r="H472" s="11" t="str">
        <x:v>한국민족문화대백과사전 — 정당</x:v>
      </x:c>
      <x:c r="I472" s="30" t="str">
        <x:v>https://encykorea.aks.ac.kr/Article/E0050062</x:v>
      </x:c>
      <x:c r="J472" s="11" t="str">
        <x:v>Chưa xác minh định nghĩa độc lập của nguyên biểu thức/nghĩa chọn trong ngôn ngữ này. Nguồn dùng để đối chiếu khái niệm; phần giải nghĩa trong bảng được diễn giải, không trích nguyên văn.</x:v>
      </x:c>
      <x:c r="K472" s="11" t="str">
        <x:v>2026-10-28</x:v>
      </x:c>
    </x:row>
    <x:row r="473" ht="57" customHeight="1">
      <x:c r="A473" s="11" t="str">
        <x:v>C021</x:v>
      </x:c>
      <x:c r="B473" s="11" t="str">
        <x:v>KO</x:v>
      </x:c>
      <x:c r="C473" s="11" t="str">
        <x:v>정당</x:v>
      </x:c>
      <x:c r="D473" s="11" t="str">
        <x:v>Có mục từ và đã đọc nghĩa</x:v>
      </x:c>
      <x:c r="E473" s="11" t="str">
        <x:v>Mục từ có nghĩa [KO]</x:v>
      </x:c>
      <x:c r="F473" s="11" t="str">
        <x:v>KO</x:v>
      </x:c>
      <x:c r="G473" s="11" t="str">
        <x:v>S189</x:v>
      </x:c>
      <x:c r="H473" s="11" t="str">
        <x:v>한국민족문화대백과사전 — 정당</x:v>
      </x:c>
      <x:c r="I473" s="30" t="str">
        <x:v>https://encykorea.aks.ac.kr/Article/E0050062</x:v>
      </x:c>
      <x:c r="J473" s="11" t="str">
        <x:v>Đã đọc nguồn giải nghĩa bằng ngôn ngữ này; vẫn đối chiếu nghĩa chọn và ghi chú.</x:v>
      </x:c>
      <x:c r="K473" s="11" t="str">
        <x:v>2026-10-28</x:v>
      </x:c>
    </x:row>
    <x:row r="474" ht="72" customHeight="1">
      <x:c r="A474" s="11" t="str">
        <x:v>C022</x:v>
      </x:c>
      <x:c r="B474" s="11" t="str">
        <x:v>VI</x:v>
      </x:c>
      <x:c r="C474" s="11" t="str">
        <x:v>Đảng cầm quyền</x:v>
      </x:c>
      <x:c r="D474" s="11" t="str">
        <x:v>CẦN TRA — chưa xác minh mục từ</x:v>
      </x:c>
      <x:c r="E474" s="11" t="str">
        <x:v>* Nghĩa làm việc; cần nguồn định nghĩa</x:v>
      </x:c>
      <x:c r="F474" s="11" t="str">
        <x:v>KO</x:v>
      </x:c>
      <x:c r="G474" s="11" t="str">
        <x:v>S190</x:v>
      </x:c>
      <x:c r="H474" s="11" t="str">
        <x:v>국립국어원 표준국어대사전 — 집권당 (표제어 489020)</x:v>
      </x:c>
      <x:c r="I474" s="30" t="str">
        <x:v>https://stdict.korean.go.kr/search/searchView.do?searchKeywordTo=3&amp;word_no=489020</x:v>
      </x:c>
      <x:c r="J474" s="11" t="str">
        <x:v>Chưa xác minh định nghĩa độc lập của nguyên biểu thức/nghĩa chọn trong ngôn ngữ này. Đã đọc được đầu mục toàn vẹn 집권-당 trên trang chính thức ở lần mở đầu; chưa đọc được phần nghĩa. Không coi việc tìm thấy đầu mục là xác nhận định nghĩa hoặc cặp dịch.</x:v>
      </x:c>
      <x:c r="K474" s="11" t="str">
        <x:v>2026-10-28</x:v>
      </x:c>
    </x:row>
    <x:row r="475" ht="72" customHeight="1">
      <x:c r="A475" s="11" t="str">
        <x:v>C022</x:v>
      </x:c>
      <x:c r="B475" s="11" t="str">
        <x:v>KO</x:v>
      </x:c>
      <x:c r="C475" s="11" t="str">
        <x:v>집권당</x:v>
      </x:c>
      <x:c r="D475" s="11" t="str">
        <x:v>Có đầu mục; chưa đọc được nghĩa</x:v>
      </x:c>
      <x:c r="E475" s="11" t="str">
        <x:v>* Nghĩa làm việc; cần nguồn định nghĩa</x:v>
      </x:c>
      <x:c r="F475" s="11" t="str">
        <x:v>KO</x:v>
      </x:c>
      <x:c r="G475" s="11" t="str">
        <x:v>S190</x:v>
      </x:c>
      <x:c r="H475" s="11" t="str">
        <x:v>국립국어원 표준국어대사전 — 집권당 (표제어 489020)</x:v>
      </x:c>
      <x:c r="I475" s="30" t="str">
        <x:v>https://stdict.korean.go.kr/search/searchView.do?searchKeywordTo=3&amp;word_no=489020</x:v>
      </x:c>
      <x:c r="J475" s="11" t="str">
        <x:v>Chưa xác minh định nghĩa độc lập của nguyên biểu thức/nghĩa chọn trong ngôn ngữ này. Đã đọc được đầu mục toàn vẹn 집권-당 trên trang chính thức ở lần mở đầu; chưa đọc được phần nghĩa. Không coi việc tìm thấy đầu mục là xác nhận định nghĩa hoặc cặp dịch.</x:v>
      </x:c>
      <x:c r="K475" s="11" t="str">
        <x:v>2026-10-28</x:v>
      </x:c>
    </x:row>
    <x:row r="476" ht="57" customHeight="1">
      <x:c r="A476" s="11" t="str">
        <x:v>C026</x:v>
      </x:c>
      <x:c r="B476" s="11" t="str">
        <x:v>VI</x:v>
      </x:c>
      <x:c r="C476" s="11" t="str">
        <x:v>tư pháp</x:v>
      </x:c>
      <x:c r="D476" s="11" t="str">
        <x:v>CẦN TRA — chưa xác minh mục từ</x:v>
      </x:c>
      <x:c r="E476" s="11" t="str">
        <x:v>* Nghĩa làm việc; cần nguồn định nghĩa</x:v>
      </x:c>
      <x:c r="F476" s="11" t="str">
        <x:v>VI</x:v>
      </x:c>
      <x:c r="G476" s="11" t="str">
        <x:v>S096</x:v>
      </x:c>
      <x:c r="H476" s="11" t="str">
        <x:v>Hiến pháp nước Cộng hòa xã hội chủ nghĩa Việt Nam (2013)</x:v>
      </x:c>
      <x:c r="I476" s="30" t="str">
        <x:v>https://xaydungchinhsach.chinhphu.vn/toan-van-hien-phap-nuoc-cong-hoa-xa-hoi-chu-nghia-viet-nam-119231225213002261.htm</x:v>
      </x:c>
      <x:c r="J476" s="11" t="str">
        <x:v>Chưa xác minh định nghĩa độc lập của nguyên biểu thức/nghĩa chọn trong ngôn ngữ này. Nguồn dẫn trong hồ sơ cũ; không phải xác nhận đã tìm được mục từ giải nghĩa trực tiếp.</x:v>
      </x:c>
      <x:c r="K476" s="11" t="str">
        <x:v>2026-10-28</x:v>
      </x:c>
    </x:row>
    <x:row r="477" ht="57" customHeight="1">
      <x:c r="A477" s="11" t="str">
        <x:v>C026</x:v>
      </x:c>
      <x:c r="B477" s="11" t="str">
        <x:v>KO</x:v>
      </x:c>
      <x:c r="C477" s="11" t="str">
        <x:v>사법부</x:v>
      </x:c>
      <x:c r="D477" s="11" t="str">
        <x:v>Có mục từ và đã đọc nghĩa</x:v>
      </x:c>
      <x:c r="E477" s="11" t="str">
        <x:v>Mục từ có nghĩa [KO]</x:v>
      </x:c>
      <x:c r="F477" s="11" t="str">
        <x:v>KO</x:v>
      </x:c>
      <x:c r="G477" s="11" t="str">
        <x:v>S191</x:v>
      </x:c>
      <x:c r="H477" s="11" t="str">
        <x:v>국립국어원 온용어 / 우리말샘 — 사법부</x:v>
      </x:c>
      <x:c r="I477" s="30" t="str">
        <x:v>https://kli.korean.go.kr/term/trgtWord/indexTrgtWord.do?trgtWordNo=2236354</x:v>
      </x:c>
      <x:c r="J477" s="11" t="str">
        <x:v>Đã đọc nguồn giải nghĩa bằng ngôn ngữ này; vẫn đối chiếu nghĩa chọn và ghi chú.</x:v>
      </x:c>
      <x:c r="K477" s="11" t="str">
        <x:v>2026-10-28</x:v>
      </x:c>
    </x:row>
    <x:row r="478" ht="57" customHeight="1">
      <x:c r="A478" s="11" t="str">
        <x:v>C031</x:v>
      </x:c>
      <x:c r="B478" s="11" t="str">
        <x:v>VI</x:v>
      </x:c>
      <x:c r="C478" s="11" t="str">
        <x:v>Tổng lãnh sự quán</x:v>
      </x:c>
      <x:c r="D478" s="11" t="str">
        <x:v>CẦN TRA — chưa xác minh mục từ</x:v>
      </x:c>
      <x:c r="E478" s="11" t="str">
        <x:v>* Diễn giải mô tả EN</x:v>
      </x:c>
      <x:c r="F478" s="11" t="str">
        <x:v>EN</x:v>
      </x:c>
      <x:c r="G478" s="11" t="str">
        <x:v>S192</x:v>
      </x:c>
      <x:c r="H478" s="11" t="str">
        <x:v>United Nations — Vienna Convention on Consular Relations (1963), Articles 1, 5, 9</x:v>
      </x:c>
      <x:c r="I478" s="30" t="str">
        <x:v>https://legal.un.org/ilc/texts/instruments/english/conventions/9_2_1963.pdf</x:v>
      </x:c>
      <x:c r="J478" s="11" t="str">
        <x:v>Chưa xác minh định nghĩa độc lập của nguyên biểu thức/nghĩa chọn trong ngôn ngữ này. Nguồn dùng để đối chiếu khái niệm; phần giải nghĩa trong bảng được diễn giải, không trích nguyên văn.</x:v>
      </x:c>
      <x:c r="K478" s="11" t="str">
        <x:v>2026-10-28</x:v>
      </x:c>
    </x:row>
    <x:row r="479" ht="57" customHeight="1">
      <x:c r="A479" s="11" t="str">
        <x:v>C031</x:v>
      </x:c>
      <x:c r="B479" s="11" t="str">
        <x:v>KO</x:v>
      </x:c>
      <x:c r="C479" s="11" t="str">
        <x:v>총영사관</x:v>
      </x:c>
      <x:c r="D479" s="11" t="str">
        <x:v>CẦN TRA — chưa xác minh mục từ</x:v>
      </x:c>
      <x:c r="E479" s="11" t="str">
        <x:v>* Diễn giải mô tả EN</x:v>
      </x:c>
      <x:c r="F479" s="11" t="str">
        <x:v>EN</x:v>
      </x:c>
      <x:c r="G479" s="11" t="str">
        <x:v>S192</x:v>
      </x:c>
      <x:c r="H479" s="11" t="str">
        <x:v>United Nations — Vienna Convention on Consular Relations (1963), Articles 1, 5, 9</x:v>
      </x:c>
      <x:c r="I479" s="30" t="str">
        <x:v>https://legal.un.org/ilc/texts/instruments/english/conventions/9_2_1963.pdf</x:v>
      </x:c>
      <x:c r="J479" s="11" t="str">
        <x:v>Chưa xác minh định nghĩa độc lập của nguyên biểu thức/nghĩa chọn trong ngôn ngữ này. Nguồn dùng để đối chiếu khái niệm; phần giải nghĩa trong bảng được diễn giải, không trích nguyên văn.</x:v>
      </x:c>
      <x:c r="K479" s="11" t="str">
        <x:v>2026-10-28</x:v>
      </x:c>
    </x:row>
    <x:row r="480" ht="57" customHeight="1">
      <x:c r="A480" s="11" t="str">
        <x:v>C032</x:v>
      </x:c>
      <x:c r="B480" s="11" t="str">
        <x:v>VI</x:v>
      </x:c>
      <x:c r="C480" s="11" t="str">
        <x:v>cơ quan đại diện ngoại giao</x:v>
      </x:c>
      <x:c r="D480" s="11" t="str">
        <x:v>CẦN TRA — chưa xác minh mục từ</x:v>
      </x:c>
      <x:c r="E480" s="11" t="str">
        <x:v>* Diễn giải mô tả EN</x:v>
      </x:c>
      <x:c r="F480" s="11" t="str">
        <x:v>EN</x:v>
      </x:c>
      <x:c r="G480" s="11" t="str">
        <x:v>S178</x:v>
      </x:c>
      <x:c r="H480" s="11" t="str">
        <x:v>United Nations — Vienna Convention on Diplomatic Relations (1961), Articles 3, 14, 19</x:v>
      </x:c>
      <x:c r="I480" s="30" t="str">
        <x:v>https://legal.un.org/ilc/texts/instruments/english/conventions/9_1_1961.pdf</x:v>
      </x:c>
      <x:c r="J480" s="11" t="str">
        <x:v>Chưa xác minh định nghĩa độc lập của nguyên biểu thức/nghĩa chọn trong ngôn ngữ này. Nguồn dùng để đối chiếu khái niệm; phần giải nghĩa trong bảng được diễn giải, không trích nguyên văn.</x:v>
      </x:c>
      <x:c r="K480" s="11" t="str">
        <x:v>2026-10-28</x:v>
      </x:c>
    </x:row>
    <x:row r="481" ht="57" customHeight="1">
      <x:c r="A481" s="11" t="str">
        <x:v>C032</x:v>
      </x:c>
      <x:c r="B481" s="11" t="str">
        <x:v>KO</x:v>
      </x:c>
      <x:c r="C481" s="11" t="str">
        <x:v>외교공관</x:v>
      </x:c>
      <x:c r="D481" s="11" t="str">
        <x:v>CẦN TRA — chưa xác minh mục từ</x:v>
      </x:c>
      <x:c r="E481" s="11" t="str">
        <x:v>* Diễn giải mô tả EN</x:v>
      </x:c>
      <x:c r="F481" s="11" t="str">
        <x:v>EN</x:v>
      </x:c>
      <x:c r="G481" s="11" t="str">
        <x:v>S178</x:v>
      </x:c>
      <x:c r="H481" s="11" t="str">
        <x:v>United Nations — Vienna Convention on Diplomatic Relations (1961), Articles 3, 14, 19</x:v>
      </x:c>
      <x:c r="I481" s="30" t="str">
        <x:v>https://legal.un.org/ilc/texts/instruments/english/conventions/9_1_1961.pdf</x:v>
      </x:c>
      <x:c r="J481" s="11" t="str">
        <x:v>Chưa xác minh định nghĩa độc lập của nguyên biểu thức/nghĩa chọn trong ngôn ngữ này. Nguồn dùng để đối chiếu khái niệm; phần giải nghĩa trong bảng được diễn giải, không trích nguyên văn.</x:v>
      </x:c>
      <x:c r="K481" s="11" t="str">
        <x:v>2026-10-28</x:v>
      </x:c>
    </x:row>
    <x:row r="482" ht="57" customHeight="1">
      <x:c r="A482" s="11" t="str">
        <x:v>C034</x:v>
      </x:c>
      <x:c r="B482" s="11" t="str">
        <x:v>VI</x:v>
      </x:c>
      <x:c r="C482" s="11" t="str">
        <x:v>Phái đoàn thường trực</x:v>
      </x:c>
      <x:c r="D482" s="11" t="str">
        <x:v>CẦN TRA — chưa xác minh mục từ</x:v>
      </x:c>
      <x:c r="E482" s="11" t="str">
        <x:v>* Diễn giải mô tả EN</x:v>
      </x:c>
      <x:c r="F482" s="11" t="str">
        <x:v>EN</x:v>
      </x:c>
      <x:c r="G482" s="11" t="str">
        <x:v>S193</x:v>
      </x:c>
      <x:c r="H482" s="11" t="str">
        <x:v>UN Dag Hammarskjöld Library — What is a Permanent Representative to the UN?</x:v>
      </x:c>
      <x:c r="I482" s="30" t="str">
        <x:v>https://ask.un.org/faq/353420</x:v>
      </x:c>
      <x:c r="J482" s="11" t="str">
        <x:v>Chưa xác minh định nghĩa độc lập của nguyên biểu thức/nghĩa chọn trong ngôn ngữ này. Nguồn dùng để đối chiếu khái niệm; phần giải nghĩa trong bảng được diễn giải, không trích nguyên văn.</x:v>
      </x:c>
      <x:c r="K482" s="11" t="str">
        <x:v>2026-10-28</x:v>
      </x:c>
    </x:row>
    <x:row r="483" ht="57" customHeight="1">
      <x:c r="A483" s="11" t="str">
        <x:v>C034</x:v>
      </x:c>
      <x:c r="B483" s="11" t="str">
        <x:v>KO</x:v>
      </x:c>
      <x:c r="C483" s="11" t="str">
        <x:v>상임대표부</x:v>
      </x:c>
      <x:c r="D483" s="11" t="str">
        <x:v>CẦN TRA — chưa xác minh mục từ</x:v>
      </x:c>
      <x:c r="E483" s="11" t="str">
        <x:v>* Diễn giải mô tả EN</x:v>
      </x:c>
      <x:c r="F483" s="11" t="str">
        <x:v>EN</x:v>
      </x:c>
      <x:c r="G483" s="11" t="str">
        <x:v>S193</x:v>
      </x:c>
      <x:c r="H483" s="11" t="str">
        <x:v>UN Dag Hammarskjöld Library — What is a Permanent Representative to the UN?</x:v>
      </x:c>
      <x:c r="I483" s="30" t="str">
        <x:v>https://ask.un.org/faq/353420</x:v>
      </x:c>
      <x:c r="J483" s="11" t="str">
        <x:v>Chưa xác minh định nghĩa độc lập của nguyên biểu thức/nghĩa chọn trong ngôn ngữ này. Nguồn dùng để đối chiếu khái niệm; phần giải nghĩa trong bảng được diễn giải, không trích nguyên văn.</x:v>
      </x:c>
      <x:c r="K483" s="11" t="str">
        <x:v>2026-10-28</x:v>
      </x:c>
    </x:row>
    <x:row r="484" ht="57" customHeight="1">
      <x:c r="A484" s="11" t="str">
        <x:v>C036</x:v>
      </x:c>
      <x:c r="B484" s="11" t="str">
        <x:v>VI</x:v>
      </x:c>
      <x:c r="C484" s="11" t="str">
        <x:v>Đoàn Ngoại giao</x:v>
      </x:c>
      <x:c r="D484" s="11" t="str">
        <x:v>CẦN TRA — chưa xác minh mục từ</x:v>
      </x:c>
      <x:c r="E484" s="11" t="str">
        <x:v>* Nghĩa làm việc; cần nguồn định nghĩa</x:v>
      </x:c>
      <x:c r="F484" s="11" t="str">
        <x:v>KO</x:v>
      </x:c>
      <x:c r="G484" s="11" t="str">
        <x:v>S194</x:v>
      </x:c>
      <x:c r="H484" s="11" t="str">
        <x:v>Bộ Ngoại giao Hàn Quốc — hoạt động với Đoàn Ngoại giao tại Hàn Quốc</x:v>
      </x:c>
      <x:c r="I484" s="30" t="str">
        <x:v>https://www.mofa.go.kr/www/brd/m_4080/view.do?page=1&amp;pitem=102026&amp;seq=353043</x:v>
      </x:c>
      <x:c r="J484" s="11" t="str">
        <x:v>Chưa xác minh định nghĩa độc lập của nguyên biểu thức/nghĩa chọn trong ngôn ngữ này. Chứng cứ cách dùng 외교단, không phải mục từ định nghĩa trực tiếp.</x:v>
      </x:c>
      <x:c r="K484" s="11" t="str">
        <x:v>2026-10-28</x:v>
      </x:c>
    </x:row>
    <x:row r="485" ht="57" customHeight="1">
      <x:c r="A485" s="11" t="str">
        <x:v>C036</x:v>
      </x:c>
      <x:c r="B485" s="11" t="str">
        <x:v>KO</x:v>
      </x:c>
      <x:c r="C485" s="11" t="str">
        <x:v>외교단</x:v>
      </x:c>
      <x:c r="D485" s="11" t="str">
        <x:v>CẦN TRA — chưa xác minh mục từ</x:v>
      </x:c>
      <x:c r="E485" s="11" t="str">
        <x:v>* Nghĩa làm việc; cần nguồn định nghĩa</x:v>
      </x:c>
      <x:c r="F485" s="11" t="str">
        <x:v>KO</x:v>
      </x:c>
      <x:c r="G485" s="11" t="str">
        <x:v>S194</x:v>
      </x:c>
      <x:c r="H485" s="11" t="str">
        <x:v>Bộ Ngoại giao Hàn Quốc — hoạt động với Đoàn Ngoại giao tại Hàn Quốc</x:v>
      </x:c>
      <x:c r="I485" s="30" t="str">
        <x:v>https://www.mofa.go.kr/www/brd/m_4080/view.do?page=1&amp;pitem=102026&amp;seq=353043</x:v>
      </x:c>
      <x:c r="J485" s="11" t="str">
        <x:v>Chưa xác minh định nghĩa độc lập của nguyên biểu thức/nghĩa chọn trong ngôn ngữ này. Chứng cứ cách dùng 외교단, không phải mục từ định nghĩa trực tiếp.</x:v>
      </x:c>
      <x:c r="K485" s="11" t="str">
        <x:v>2026-10-28</x:v>
      </x:c>
    </x:row>
    <x:row r="486" ht="57" customHeight="1">
      <x:c r="A486" s="11" t="str">
        <x:v>C039</x:v>
      </x:c>
      <x:c r="B486" s="11" t="str">
        <x:v>VI</x:v>
      </x:c>
      <x:c r="C486" s="11" t="str">
        <x:v>Tổ chức Thương mại thế giới</x:v>
      </x:c>
      <x:c r="D486" s="11" t="str">
        <x:v>Tên riêng: có nguồn về đối tượng</x:v>
      </x:c>
      <x:c r="E486" s="11" t="str">
        <x:v>* Diễn giải mô tả EN</x:v>
      </x:c>
      <x:c r="F486" s="11" t="str">
        <x:v>EN</x:v>
      </x:c>
      <x:c r="G486" s="11" t="str">
        <x:v>S195</x:v>
      </x:c>
      <x:c r="H486" s="11" t="str">
        <x:v>World Trade Organization — What is the WTO?</x:v>
      </x:c>
      <x:c r="I486" s="30" t="str">
        <x:v>https://www.wto.org/english/thewto_e/Whatis_e/whatis_e.htm</x:v>
      </x:c>
      <x:c r="J486" s="11" t="str">
        <x:v>Chưa xác minh định nghĩa độc lập của nguyên biểu thức/nghĩa chọn trong ngôn ngữ này. Nguồn dùng để đối chiếu khái niệm; phần giải nghĩa trong bảng được diễn giải, không trích nguyên văn.</x:v>
      </x:c>
      <x:c r="K486" s="11" t="str">
        <x:v>2026-10-28</x:v>
      </x:c>
    </x:row>
    <x:row r="487" ht="57" customHeight="1">
      <x:c r="A487" s="11" t="str">
        <x:v>C039</x:v>
      </x:c>
      <x:c r="B487" s="11" t="str">
        <x:v>KO</x:v>
      </x:c>
      <x:c r="C487" s="11" t="str">
        <x:v>세계무역기구</x:v>
      </x:c>
      <x:c r="D487" s="11" t="str">
        <x:v>Tên riêng: có nguồn về đối tượng</x:v>
      </x:c>
      <x:c r="E487" s="11" t="str">
        <x:v>* Diễn giải mô tả EN</x:v>
      </x:c>
      <x:c r="F487" s="11" t="str">
        <x:v>EN</x:v>
      </x:c>
      <x:c r="G487" s="11" t="str">
        <x:v>S195</x:v>
      </x:c>
      <x:c r="H487" s="11" t="str">
        <x:v>World Trade Organization — What is the WTO?</x:v>
      </x:c>
      <x:c r="I487" s="30" t="str">
        <x:v>https://www.wto.org/english/thewto_e/Whatis_e/whatis_e.htm</x:v>
      </x:c>
      <x:c r="J487" s="11" t="str">
        <x:v>Chưa xác minh định nghĩa độc lập của nguyên biểu thức/nghĩa chọn trong ngôn ngữ này. Nguồn dùng để đối chiếu khái niệm; phần giải nghĩa trong bảng được diễn giải, không trích nguyên văn.</x:v>
      </x:c>
      <x:c r="K487" s="11" t="str">
        <x:v>2026-10-28</x:v>
      </x:c>
    </x:row>
    <x:row r="488" ht="57" customHeight="1">
      <x:c r="A488" s="11" t="str">
        <x:v>C040</x:v>
      </x:c>
      <x:c r="B488" s="11" t="str">
        <x:v>VI</x:v>
      </x:c>
      <x:c r="C488" s="11" t="str">
        <x:v>Tổ chức Y tế thế giới</x:v>
      </x:c>
      <x:c r="D488" s="11" t="str">
        <x:v>Tên riêng: có nguồn về đối tượng</x:v>
      </x:c>
      <x:c r="E488" s="11" t="str">
        <x:v>* Diễn giải mô tả EN</x:v>
      </x:c>
      <x:c r="F488" s="11" t="str">
        <x:v>EN</x:v>
      </x:c>
      <x:c r="G488" s="11" t="str">
        <x:v>S196</x:v>
      </x:c>
      <x:c r="H488" s="11" t="str">
        <x:v>World Health Organization — About WHO</x:v>
      </x:c>
      <x:c r="I488" s="30" t="str">
        <x:v>https://www.who.int/about-us</x:v>
      </x:c>
      <x:c r="J488" s="11" t="str">
        <x:v>Chưa xác minh định nghĩa độc lập của nguyên biểu thức/nghĩa chọn trong ngôn ngữ này. Nguồn dùng để đối chiếu khái niệm; phần giải nghĩa trong bảng được diễn giải, không trích nguyên văn.</x:v>
      </x:c>
      <x:c r="K488" s="11" t="str">
        <x:v>2026-10-28</x:v>
      </x:c>
    </x:row>
    <x:row r="489" ht="57" customHeight="1">
      <x:c r="A489" s="11" t="str">
        <x:v>C040</x:v>
      </x:c>
      <x:c r="B489" s="11" t="str">
        <x:v>KO</x:v>
      </x:c>
      <x:c r="C489" s="11" t="str">
        <x:v>세계보건기구</x:v>
      </x:c>
      <x:c r="D489" s="11" t="str">
        <x:v>Tên riêng: có nguồn về đối tượng</x:v>
      </x:c>
      <x:c r="E489" s="11" t="str">
        <x:v>* Diễn giải mô tả EN</x:v>
      </x:c>
      <x:c r="F489" s="11" t="str">
        <x:v>EN</x:v>
      </x:c>
      <x:c r="G489" s="11" t="str">
        <x:v>S196</x:v>
      </x:c>
      <x:c r="H489" s="11" t="str">
        <x:v>World Health Organization — About WHO</x:v>
      </x:c>
      <x:c r="I489" s="30" t="str">
        <x:v>https://www.who.int/about-us</x:v>
      </x:c>
      <x:c r="J489" s="11" t="str">
        <x:v>Chưa xác minh định nghĩa độc lập của nguyên biểu thức/nghĩa chọn trong ngôn ngữ này. Nguồn dùng để đối chiếu khái niệm; phần giải nghĩa trong bảng được diễn giải, không trích nguyên văn.</x:v>
      </x:c>
      <x:c r="K489" s="11" t="str">
        <x:v>2026-10-28</x:v>
      </x:c>
    </x:row>
    <x:row r="490" ht="57" customHeight="1">
      <x:c r="A490" s="11" t="str">
        <x:v>C044</x:v>
      </x:c>
      <x:c r="B490" s="11" t="str">
        <x:v>VI</x:v>
      </x:c>
      <x:c r="C490" s="11" t="str">
        <x:v>Cơ quan quyền lực đáy đại dương</x:v>
      </x:c>
      <x:c r="D490" s="11" t="str">
        <x:v>Tên riêng: có nguồn về đối tượng</x:v>
      </x:c>
      <x:c r="E490" s="11" t="str">
        <x:v>* Diễn giải mô tả EN</x:v>
      </x:c>
      <x:c r="F490" s="11" t="str">
        <x:v>EN</x:v>
      </x:c>
      <x:c r="G490" s="11" t="str">
        <x:v>S197</x:v>
      </x:c>
      <x:c r="H490" s="11" t="str">
        <x:v>International Seabed Authority — About ISA (cuối bài về hoạt động tại Hàn Quốc)</x:v>
      </x:c>
      <x:c r="I490" s="30" t="str">
        <x:v>https://isa.org.jm/reflections-from-madam-secretary-general-leticia-carvalho-on-isa-engagements-in-the-republic-of-korea/</x:v>
      </x:c>
      <x:c r="J490" s="11" t="str">
        <x:v>Chưa xác minh định nghĩa độc lập của nguyên biểu thức/nghĩa chọn trong ngôn ngữ này. Nguồn dùng để đối chiếu khái niệm; phần giải nghĩa trong bảng được diễn giải, không trích nguyên văn.</x:v>
      </x:c>
      <x:c r="K490" s="11" t="str">
        <x:v>2026-10-28</x:v>
      </x:c>
    </x:row>
    <x:row r="491" ht="57" customHeight="1">
      <x:c r="A491" s="11" t="str">
        <x:v>C044</x:v>
      </x:c>
      <x:c r="B491" s="11" t="str">
        <x:v>KO</x:v>
      </x:c>
      <x:c r="C491" s="11" t="str">
        <x:v>국제해저기구</x:v>
      </x:c>
      <x:c r="D491" s="11" t="str">
        <x:v>Tên riêng: có nguồn về đối tượng</x:v>
      </x:c>
      <x:c r="E491" s="11" t="str">
        <x:v>* Diễn giải mô tả EN</x:v>
      </x:c>
      <x:c r="F491" s="11" t="str">
        <x:v>EN</x:v>
      </x:c>
      <x:c r="G491" s="11" t="str">
        <x:v>S197</x:v>
      </x:c>
      <x:c r="H491" s="11" t="str">
        <x:v>International Seabed Authority — About ISA (cuối bài về hoạt động tại Hàn Quốc)</x:v>
      </x:c>
      <x:c r="I491" s="30" t="str">
        <x:v>https://isa.org.jm/reflections-from-madam-secretary-general-leticia-carvalho-on-isa-engagements-in-the-republic-of-korea/</x:v>
      </x:c>
      <x:c r="J491" s="11" t="str">
        <x:v>Chưa xác minh định nghĩa độc lập của nguyên biểu thức/nghĩa chọn trong ngôn ngữ này. Nguồn dùng để đối chiếu khái niệm; phần giải nghĩa trong bảng được diễn giải, không trích nguyên văn.</x:v>
      </x:c>
      <x:c r="K491" s="11" t="str">
        <x:v>2026-10-28</x:v>
      </x:c>
    </x:row>
    <x:row r="492" ht="57" customHeight="1">
      <x:c r="A492" s="11" t="str">
        <x:v>C047</x:v>
      </x:c>
      <x:c r="B492" s="11" t="str">
        <x:v>VI</x:v>
      </x:c>
      <x:c r="C492" s="11" t="str">
        <x:v>Tổ chức Hợp tác Thượng Hải</x:v>
      </x:c>
      <x:c r="D492" s="11" t="str">
        <x:v>Tên riêng: có nguồn về đối tượng</x:v>
      </x:c>
      <x:c r="E492" s="11" t="str">
        <x:v>* Diễn giải mô tả EN</x:v>
      </x:c>
      <x:c r="F492" s="11" t="str">
        <x:v>EN</x:v>
      </x:c>
      <x:c r="G492" s="11" t="str">
        <x:v>S198</x:v>
      </x:c>
      <x:c r="H492" s="11" t="str">
        <x:v>Shanghai Cooperation Organisation — Frequently asked questions</x:v>
      </x:c>
      <x:c r="I492" s="30" t="str">
        <x:v>https://eng.sectsco.org/20231127/1168690.html</x:v>
      </x:c>
      <x:c r="J492" s="11" t="str">
        <x:v>Chưa xác minh định nghĩa độc lập của nguyên biểu thức/nghĩa chọn trong ngôn ngữ này. Nguồn dùng để đối chiếu khái niệm; phần giải nghĩa trong bảng được diễn giải, không trích nguyên văn.</x:v>
      </x:c>
      <x:c r="K492" s="11" t="str">
        <x:v>2026-10-28</x:v>
      </x:c>
    </x:row>
    <x:row r="493" ht="57" customHeight="1">
      <x:c r="A493" s="11" t="str">
        <x:v>C047</x:v>
      </x:c>
      <x:c r="B493" s="11" t="str">
        <x:v>KO</x:v>
      </x:c>
      <x:c r="C493" s="11" t="str">
        <x:v>상하이협력기구</x:v>
      </x:c>
      <x:c r="D493" s="11" t="str">
        <x:v>Tên riêng: có nguồn về đối tượng</x:v>
      </x:c>
      <x:c r="E493" s="11" t="str">
        <x:v>* Diễn giải mô tả EN</x:v>
      </x:c>
      <x:c r="F493" s="11" t="str">
        <x:v>EN</x:v>
      </x:c>
      <x:c r="G493" s="11" t="str">
        <x:v>S198</x:v>
      </x:c>
      <x:c r="H493" s="11" t="str">
        <x:v>Shanghai Cooperation Organisation — Frequently asked questions</x:v>
      </x:c>
      <x:c r="I493" s="30" t="str">
        <x:v>https://eng.sectsco.org/20231127/1168690.html</x:v>
      </x:c>
      <x:c r="J493" s="11" t="str">
        <x:v>Chưa xác minh định nghĩa độc lập của nguyên biểu thức/nghĩa chọn trong ngôn ngữ này. Nguồn dùng để đối chiếu khái niệm; phần giải nghĩa trong bảng được diễn giải, không trích nguyên văn.</x:v>
      </x:c>
      <x:c r="K493" s="11" t="str">
        <x:v>2026-10-28</x:v>
      </x:c>
    </x:row>
    <x:row r="494" ht="57" customHeight="1">
      <x:c r="A494" s="11" t="str">
        <x:v>C048</x:v>
      </x:c>
      <x:c r="B494" s="11" t="str">
        <x:v>VI</x:v>
      </x:c>
      <x:c r="C494" s="11" t="str">
        <x:v>Nghị viện châu Âu</x:v>
      </x:c>
      <x:c r="D494" s="11" t="str">
        <x:v>Tên riêng: có nguồn về đối tượng</x:v>
      </x:c>
      <x:c r="E494" s="11" t="str">
        <x:v>* Diễn giải mô tả EN</x:v>
      </x:c>
      <x:c r="F494" s="11" t="str">
        <x:v>EN</x:v>
      </x:c>
      <x:c r="G494" s="11" t="str">
        <x:v>S199</x:v>
      </x:c>
      <x:c r="H494" s="11" t="str">
        <x:v>European Union — European Parliament</x:v>
      </x:c>
      <x:c r="I494" s="30" t="str">
        <x:v>https://european-union.europa.eu/institutions-law-budget/institutions-and-bodies/search-all-eu-institutions-and-bodies/european-parliament_en</x:v>
      </x:c>
      <x:c r="J494" s="11" t="str">
        <x:v>Chưa xác minh định nghĩa độc lập của nguyên biểu thức/nghĩa chọn trong ngôn ngữ này. Nguồn dùng để đối chiếu khái niệm; phần giải nghĩa trong bảng được diễn giải, không trích nguyên văn.</x:v>
      </x:c>
      <x:c r="K494" s="11" t="str">
        <x:v>2026-10-28</x:v>
      </x:c>
    </x:row>
    <x:row r="495" ht="57" customHeight="1">
      <x:c r="A495" s="11" t="str">
        <x:v>C048</x:v>
      </x:c>
      <x:c r="B495" s="11" t="str">
        <x:v>KO</x:v>
      </x:c>
      <x:c r="C495" s="11" t="str">
        <x:v>유럽의회</x:v>
      </x:c>
      <x:c r="D495" s="11" t="str">
        <x:v>Tên riêng: có nguồn về đối tượng</x:v>
      </x:c>
      <x:c r="E495" s="11" t="str">
        <x:v>* Diễn giải mô tả EN</x:v>
      </x:c>
      <x:c r="F495" s="11" t="str">
        <x:v>EN</x:v>
      </x:c>
      <x:c r="G495" s="11" t="str">
        <x:v>S199</x:v>
      </x:c>
      <x:c r="H495" s="11" t="str">
        <x:v>European Union — European Parliament</x:v>
      </x:c>
      <x:c r="I495" s="30" t="str">
        <x:v>https://european-union.europa.eu/institutions-law-budget/institutions-and-bodies/search-all-eu-institutions-and-bodies/european-parliament_en</x:v>
      </x:c>
      <x:c r="J495" s="11" t="str">
        <x:v>Chưa xác minh định nghĩa độc lập của nguyên biểu thức/nghĩa chọn trong ngôn ngữ này. Nguồn dùng để đối chiếu khái niệm; phần giải nghĩa trong bảng được diễn giải, không trích nguyên văn.</x:v>
      </x:c>
      <x:c r="K495" s="11" t="str">
        <x:v>2026-10-28</x:v>
      </x:c>
    </x:row>
    <x:row r="496" ht="57" customHeight="1">
      <x:c r="A496" s="11" t="str">
        <x:v>C049</x:v>
      </x:c>
      <x:c r="B496" s="11" t="str">
        <x:v>VI</x:v>
      </x:c>
      <x:c r="C496" s="11" t="str">
        <x:v>Chương trình phát triển Liên hợp quốc</x:v>
      </x:c>
      <x:c r="D496" s="11" t="str">
        <x:v>Tên riêng: có nguồn về đối tượng</x:v>
      </x:c>
      <x:c r="E496" s="11" t="str">
        <x:v>* Diễn giải mô tả EN</x:v>
      </x:c>
      <x:c r="F496" s="11" t="str">
        <x:v>EN</x:v>
      </x:c>
      <x:c r="G496" s="11" t="str">
        <x:v>S200</x:v>
      </x:c>
      <x:c r="H496" s="11" t="str">
        <x:v>United Nations Development Programme — About us</x:v>
      </x:c>
      <x:c r="I496" s="30" t="str">
        <x:v>https://www.undp.org/about-us</x:v>
      </x:c>
      <x:c r="J496" s="11" t="str">
        <x:v>Chưa xác minh định nghĩa độc lập của nguyên biểu thức/nghĩa chọn trong ngôn ngữ này. Nguồn dùng để đối chiếu khái niệm; phần giải nghĩa trong bảng được diễn giải, không trích nguyên văn.</x:v>
      </x:c>
      <x:c r="K496" s="11" t="str">
        <x:v>2026-10-28</x:v>
      </x:c>
    </x:row>
    <x:row r="497" ht="57" customHeight="1">
      <x:c r="A497" s="11" t="str">
        <x:v>C049</x:v>
      </x:c>
      <x:c r="B497" s="11" t="str">
        <x:v>KO</x:v>
      </x:c>
      <x:c r="C497" s="11" t="str">
        <x:v>유엔개발계획</x:v>
      </x:c>
      <x:c r="D497" s="11" t="str">
        <x:v>Tên riêng: có nguồn về đối tượng</x:v>
      </x:c>
      <x:c r="E497" s="11" t="str">
        <x:v>* Diễn giải mô tả EN</x:v>
      </x:c>
      <x:c r="F497" s="11" t="str">
        <x:v>EN</x:v>
      </x:c>
      <x:c r="G497" s="11" t="str">
        <x:v>S200</x:v>
      </x:c>
      <x:c r="H497" s="11" t="str">
        <x:v>United Nations Development Programme — About us</x:v>
      </x:c>
      <x:c r="I497" s="30" t="str">
        <x:v>https://www.undp.org/about-us</x:v>
      </x:c>
      <x:c r="J497" s="11" t="str">
        <x:v>Chưa xác minh định nghĩa độc lập của nguyên biểu thức/nghĩa chọn trong ngôn ngữ này. Nguồn dùng để đối chiếu khái niệm; phần giải nghĩa trong bảng được diễn giải, không trích nguyên văn.</x:v>
      </x:c>
      <x:c r="K497" s="11" t="str">
        <x:v>2026-10-28</x:v>
      </x:c>
    </x:row>
    <x:row r="498" ht="72" customHeight="1">
      <x:c r="A498" s="11" t="str">
        <x:v>C056</x:v>
      </x:c>
      <x:c r="B498" s="11" t="str">
        <x:v>VI</x:v>
      </x:c>
      <x:c r="C498" s="11" t="str">
        <x:v>cơ quan lập pháp</x:v>
      </x:c>
      <x:c r="D498" s="11" t="str">
        <x:v>CẦN TRA — chưa xác minh mục từ</x:v>
      </x:c>
      <x:c r="E498" s="11" t="str">
        <x:v>* Diễn giải mô tả KO</x:v>
      </x:c>
      <x:c r="F498" s="11" t="str">
        <x:v>KO</x:v>
      </x:c>
      <x:c r="G498" s="11" t="str">
        <x:v>S201</x:v>
      </x:c>
      <x:c r="H498" s="11" t="str">
        <x:v>국립중앙도서관 전거데이터 기술 지침: 단체명(안), 2018, chú thích 17</x:v>
      </x:c>
      <x:c r="I498" s="30" t="str">
        <x:v>https://oak.go.kr/nl-ir/bitstream/2020.oak/661/2/%EA%B5%AD%EB%A6%BD%EC%A4%91%EC%95%99%EB%8F%84%EC%84%9C%EA%B4%80%20%EC%A0%84%EA%B1%B0%EB%8D%B0%EC%9D%B4%ED%84%B0%20%EA%B8%B0%EC%88%A0%20%EC%A7%80%EC%B9%A8_%EB%8B%A8%EC%B2%B4%EB%AA%85%282018%29.pdf</x:v>
      </x:c>
      <x:c r="J498" s="11" t="str">
        <x:v>Chưa xác minh định nghĩa độc lập của nguyên biểu thức/nghĩa chọn trong ngôn ngữ này. Chú thích 17 giải nghĩa toàn cụm 입법기관 và dẫn rõ 표준국어대사전, 국립국어원. Đọc qua tài liệu công bố chính thức của Thư viện Quốc gia, chưa kiểm tra trực tiếp trang từ điển gốc.</x:v>
      </x:c>
      <x:c r="K498" s="11" t="str">
        <x:v>2026-10-28</x:v>
      </x:c>
    </x:row>
    <x:row r="499" ht="72" customHeight="1">
      <x:c r="A499" s="11" t="str">
        <x:v>C056</x:v>
      </x:c>
      <x:c r="B499" s="11" t="str">
        <x:v>KO</x:v>
      </x:c>
      <x:c r="C499" s="11" t="str">
        <x:v>입법기관</x:v>
      </x:c>
      <x:c r="D499" s="11" t="str">
        <x:v>CẦN TRA — chưa xác minh mục từ</x:v>
      </x:c>
      <x:c r="E499" s="11" t="str">
        <x:v>Định nghĩa chuyên ngành [KO]</x:v>
      </x:c>
      <x:c r="F499" s="11" t="str">
        <x:v>KO</x:v>
      </x:c>
      <x:c r="G499" s="11" t="str">
        <x:v>S201</x:v>
      </x:c>
      <x:c r="H499" s="11" t="str">
        <x:v>국립중앙도서관 전거데이터 기술 지침: 단체명(안), 2018, chú thích 17</x:v>
      </x:c>
      <x:c r="I499" s="30" t="str">
        <x:v>https://oak.go.kr/nl-ir/bitstream/2020.oak/661/2/%EA%B5%AD%EB%A6%BD%EC%A4%91%EC%95%99%EB%8F%84%EC%84%9C%EA%B4%80%20%EC%A0%84%EA%B1%B0%EB%8D%B0%EC%9D%B4%ED%84%B0%20%EA%B8%B0%EC%88%A0%20%EC%A7%80%EC%B9%A8_%EB%8B%A8%EC%B2%B4%EB%AA%85%282018%29.pdf</x:v>
      </x:c>
      <x:c r="J499" s="11" t="str">
        <x:v>Đã đọc nguồn giải nghĩa bằng ngôn ngữ này; vẫn đối chiếu nghĩa chọn và ghi chú.</x:v>
      </x:c>
      <x:c r="K499" s="11" t="str">
        <x:v>2026-10-28</x:v>
      </x:c>
    </x:row>
    <x:row r="500" ht="72" customHeight="1">
      <x:c r="A500" s="11" t="str">
        <x:v>C057</x:v>
      </x:c>
      <x:c r="B500" s="11" t="str">
        <x:v>VI</x:v>
      </x:c>
      <x:c r="C500" s="11" t="str">
        <x:v>tổ chức khu vực</x:v>
      </x:c>
      <x:c r="D500" s="11" t="str">
        <x:v>CẦN TRA — chưa xác minh mục từ</x:v>
      </x:c>
      <x:c r="E500" s="11" t="str">
        <x:v>* Nghĩa làm việc; cần nguồn định nghĩa</x:v>
      </x:c>
      <x:c r="F500" s="11" t="str">
        <x:v>KO</x:v>
      </x:c>
      <x:c r="G500" s="11" t="str">
        <x:v>S202</x:v>
      </x:c>
      <x:c r="H500" s="11" t="str">
        <x:v>2026년도 외교부 중남미 지역기구 파견 인턴 선발 공고</x:v>
      </x:c>
      <x:c r="I500" s="30" t="str">
        <x:v>https://unrecruit.mofa.go.kr/new/community/notice_view.jsp?seq=34987</x:v>
      </x:c>
      <x:c r="J500" s="11" t="str">
        <x:v>Chưa xác minh định nghĩa độc lập của nguyên biểu thức/nghĩa chọn trong ngôn ngữ này. Thông báo dùng 지역기구 và dẫn tới chuyên mục 국제기구·지역협력체 &gt; 중남미지역기구; xác nhận cách dùng trong ngoại giao, không cung cấp định nghĩa từ điển.</x:v>
      </x:c>
      <x:c r="K500" s="11" t="str">
        <x:v>2026-10-28</x:v>
      </x:c>
    </x:row>
    <x:row r="501" ht="72" customHeight="1">
      <x:c r="A501" s="11" t="str">
        <x:v>C057</x:v>
      </x:c>
      <x:c r="B501" s="11" t="str">
        <x:v>KO</x:v>
      </x:c>
      <x:c r="C501" s="11" t="str">
        <x:v>지역기구</x:v>
      </x:c>
      <x:c r="D501" s="11" t="str">
        <x:v>CẦN TRA — chưa xác minh mục từ</x:v>
      </x:c>
      <x:c r="E501" s="11" t="str">
        <x:v>* Nghĩa làm việc; cần nguồn định nghĩa</x:v>
      </x:c>
      <x:c r="F501" s="11" t="str">
        <x:v>KO</x:v>
      </x:c>
      <x:c r="G501" s="11" t="str">
        <x:v>S202</x:v>
      </x:c>
      <x:c r="H501" s="11" t="str">
        <x:v>2026년도 외교부 중남미 지역기구 파견 인턴 선발 공고</x:v>
      </x:c>
      <x:c r="I501" s="30" t="str">
        <x:v>https://unrecruit.mofa.go.kr/new/community/notice_view.jsp?seq=34987</x:v>
      </x:c>
      <x:c r="J501" s="11" t="str">
        <x:v>Chưa xác minh định nghĩa độc lập của nguyên biểu thức/nghĩa chọn trong ngôn ngữ này. Thông báo dùng 지역기구 và dẫn tới chuyên mục 국제기구·지역협력체 &gt; 중남미지역기구; xác nhận cách dùng trong ngoại giao, không cung cấp định nghĩa từ điển.</x:v>
      </x:c>
      <x:c r="K501" s="11" t="str">
        <x:v>2026-10-28</x:v>
      </x:c>
    </x:row>
    <x:row r="502" ht="57" customHeight="1">
      <x:c r="A502" s="11" t="str">
        <x:v>C059</x:v>
      </x:c>
      <x:c r="B502" s="11" t="str">
        <x:v>VI</x:v>
      </x:c>
      <x:c r="C502" s="11" t="str">
        <x:v>Hội đồng Hòa bình về Gaza</x:v>
      </x:c>
      <x:c r="D502" s="11" t="str">
        <x:v>CẦN TRA — chưa xác minh mục từ</x:v>
      </x:c>
      <x:c r="E502" s="11" t="str">
        <x:v>* Diễn giải mô tả EN</x:v>
      </x:c>
      <x:c r="F502" s="11" t="str">
        <x:v>EN</x:v>
      </x:c>
      <x:c r="G502" s="11" t="str">
        <x:v>S203</x:v>
      </x:c>
      <x:c r="H502" s="11" t="str">
        <x:v>Report of the Board of Peace through the Office of the High Representative for Gaza, S/2026/418, paragraph 18</x:v>
      </x:c>
      <x:c r="I502" s="30" t="str">
        <x:v>https://www.un.org/unispal/document/implementation-of-united-nations-security-council-resolution-2803-2025-report-of-the-board-of-peace-through-the-office-of-the-high-representative-for-gaza-s-2026-418/</x:v>
      </x:c>
      <x:c r="J502" s="11" t="str">
        <x:v>Chưa xác minh định nghĩa độc lập của nguyên biểu thức/nghĩa chọn trong ngôn ngữ này. Báo cáo của chính Board of Peace được lưu trên trang Liên hợp quốc; không suy ra đây là cơ quan Liên hợp quốc.</x:v>
      </x:c>
      <x:c r="K502" s="11" t="str">
        <x:v>2026-10-28</x:v>
      </x:c>
    </x:row>
    <x:row r="503" ht="57" customHeight="1">
      <x:c r="A503" s="11" t="str">
        <x:v>C059</x:v>
      </x:c>
      <x:c r="B503" s="11" t="str">
        <x:v>KO</x:v>
      </x:c>
      <x:c r="C503" s="11" t="str">
        <x:v>가자 평화위원회</x:v>
      </x:c>
      <x:c r="D503" s="11" t="str">
        <x:v>CẦN TRA — chưa xác minh mục từ</x:v>
      </x:c>
      <x:c r="E503" s="11" t="str">
        <x:v>* Diễn giải mô tả EN</x:v>
      </x:c>
      <x:c r="F503" s="11" t="str">
        <x:v>EN</x:v>
      </x:c>
      <x:c r="G503" s="11" t="str">
        <x:v>S203</x:v>
      </x:c>
      <x:c r="H503" s="11" t="str">
        <x:v>Report of the Board of Peace through the Office of the High Representative for Gaza, S/2026/418, paragraph 18</x:v>
      </x:c>
      <x:c r="I503" s="30" t="str">
        <x:v>https://www.un.org/unispal/document/implementation-of-united-nations-security-council-resolution-2803-2025-report-of-the-board-of-peace-through-the-office-of-the-high-representative-for-gaza-s-2026-418/</x:v>
      </x:c>
      <x:c r="J503" s="11" t="str">
        <x:v>Chưa xác minh định nghĩa độc lập của nguyên biểu thức/nghĩa chọn trong ngôn ngữ này. Báo cáo của chính Board of Peace được lưu trên trang Liên hợp quốc; không suy ra đây là cơ quan Liên hợp quốc.</x:v>
      </x:c>
      <x:c r="K503" s="11" t="str">
        <x:v>2026-10-28</x:v>
      </x:c>
    </x:row>
    <x:row r="504" ht="57" customHeight="1">
      <x:c r="A504" s="11" t="str">
        <x:v>C060</x:v>
      </x:c>
      <x:c r="B504" s="11" t="str">
        <x:v>VI</x:v>
      </x:c>
      <x:c r="C504" s="11" t="str">
        <x:v>không can thiệp vào công việc nội bộ của mỗi quốc gia</x:v>
      </x:c>
      <x:c r="D504" s="11" t="str">
        <x:v>CẦN TRA — chưa xác minh mục từ</x:v>
      </x:c>
      <x:c r="E504" s="11" t="str">
        <x:v>* Diễn giải mô tả EN</x:v>
      </x:c>
      <x:c r="F504" s="11" t="str">
        <x:v>EN</x:v>
      </x:c>
      <x:c r="G504" s="11" t="str">
        <x:v>S204</x:v>
      </x:c>
      <x:c r="H504" s="11" t="str">
        <x:v>United Nations — Declaration on the rule of law, A/RES/67/1, paragraph 3</x:v>
      </x:c>
      <x:c r="I504" s="30" t="str">
        <x:v>https://mandates.un.org/mandate/A/RES/67/1?subject=Rule+of+Law</x:v>
      </x:c>
      <x:c r="J504" s="11" t="str">
        <x:v>Chưa xác minh định nghĩa độc lập của nguyên biểu thức/nghĩa chọn trong ngôn ngữ này. Nêu không can thiệp công việc nội bộ quốc gia cùng các nguyên tắc luật quốc tế; chỉ hỗ trợ nghĩa nguyên tắc.</x:v>
      </x:c>
      <x:c r="K504" s="11" t="str">
        <x:v>2026-10-28</x:v>
      </x:c>
    </x:row>
    <x:row r="505" ht="57" customHeight="1">
      <x:c r="A505" s="11" t="str">
        <x:v>C060</x:v>
      </x:c>
      <x:c r="B505" s="11" t="str">
        <x:v>KO</x:v>
      </x:c>
      <x:c r="C505" s="11" t="str">
        <x:v>내정 불간섭</x:v>
      </x:c>
      <x:c r="D505" s="11" t="str">
        <x:v>CẦN TRA — chưa xác minh mục từ</x:v>
      </x:c>
      <x:c r="E505" s="11" t="str">
        <x:v>* Diễn giải mô tả EN</x:v>
      </x:c>
      <x:c r="F505" s="11" t="str">
        <x:v>EN</x:v>
      </x:c>
      <x:c r="G505" s="11" t="str">
        <x:v>S204</x:v>
      </x:c>
      <x:c r="H505" s="11" t="str">
        <x:v>United Nations — Declaration on the rule of law, A/RES/67/1, paragraph 3</x:v>
      </x:c>
      <x:c r="I505" s="30" t="str">
        <x:v>https://mandates.un.org/mandate/A/RES/67/1?subject=Rule+of+Law</x:v>
      </x:c>
      <x:c r="J505" s="11" t="str">
        <x:v>Chưa xác minh định nghĩa độc lập của nguyên biểu thức/nghĩa chọn trong ngôn ngữ này. Nêu không can thiệp công việc nội bộ quốc gia cùng các nguyên tắc luật quốc tế; chỉ hỗ trợ nghĩa nguyên tắc.</x:v>
      </x:c>
      <x:c r="K505" s="11" t="str">
        <x:v>2026-10-28</x:v>
      </x:c>
    </x:row>
    <x:row r="506" ht="72" customHeight="1">
      <x:c r="A506" s="11" t="str">
        <x:v>C061</x:v>
      </x:c>
      <x:c r="B506" s="11" t="str">
        <x:v>VI</x:v>
      </x:c>
      <x:c r="C506" s="11" t="str">
        <x:v>bình đẳng chủ quyền</x:v>
      </x:c>
      <x:c r="D506" s="11" t="str">
        <x:v>CẦN TRA — chưa xác minh mục từ</x:v>
      </x:c>
      <x:c r="E506" s="11" t="str">
        <x:v>* Diễn giải mô tả EN</x:v>
      </x:c>
      <x:c r="F506" s="11" t="str">
        <x:v>EN</x:v>
      </x:c>
      <x:c r="G506" s="11" t="str">
        <x:v>S205</x:v>
      </x:c>
      <x:c r="H506" s="11" t="str">
        <x:v>United Nations — Charter, Article 2(1)–(5)</x:v>
      </x:c>
      <x:c r="I506" s="30" t="str">
        <x:v>https://legal.un.org/repertory/art2.shtml</x:v>
      </x:c>
      <x:c r="J506" s="11" t="str">
        <x:v>Chưa xác minh định nghĩa độc lập của nguyên biểu thức/nghĩa chọn trong ngôn ngữ này. Xác nhận nguyên tắc bình đẳng chủ quyền, giải quyết tranh chấp hòa bình và bảo vệ toàn vẹn lãnh thổ; không cung cấp định nghĩa từ điển cho tất cả thuật ngữ.</x:v>
      </x:c>
      <x:c r="K506" s="11" t="str">
        <x:v>2026-10-28</x:v>
      </x:c>
    </x:row>
    <x:row r="507" ht="72" customHeight="1">
      <x:c r="A507" s="11" t="str">
        <x:v>C061</x:v>
      </x:c>
      <x:c r="B507" s="11" t="str">
        <x:v>KO</x:v>
      </x:c>
      <x:c r="C507" s="11" t="str">
        <x:v>주권 평등</x:v>
      </x:c>
      <x:c r="D507" s="11" t="str">
        <x:v>CẦN TRA — chưa xác minh mục từ</x:v>
      </x:c>
      <x:c r="E507" s="11" t="str">
        <x:v>* Diễn giải mô tả EN</x:v>
      </x:c>
      <x:c r="F507" s="11" t="str">
        <x:v>EN</x:v>
      </x:c>
      <x:c r="G507" s="11" t="str">
        <x:v>S205</x:v>
      </x:c>
      <x:c r="H507" s="11" t="str">
        <x:v>United Nations — Charter, Article 2(1)–(5)</x:v>
      </x:c>
      <x:c r="I507" s="30" t="str">
        <x:v>https://legal.un.org/repertory/art2.shtml</x:v>
      </x:c>
      <x:c r="J507" s="11" t="str">
        <x:v>Chưa xác minh định nghĩa độc lập của nguyên biểu thức/nghĩa chọn trong ngôn ngữ này. Xác nhận nguyên tắc bình đẳng chủ quyền, giải quyết tranh chấp hòa bình và bảo vệ toàn vẹn lãnh thổ; không cung cấp định nghĩa từ điển cho tất cả thuật ngữ.</x:v>
      </x:c>
      <x:c r="K507" s="11" t="str">
        <x:v>2026-10-28</x:v>
      </x:c>
    </x:row>
    <x:row r="508" ht="57" customHeight="1">
      <x:c r="A508" s="11" t="str">
        <x:v>C063</x:v>
      </x:c>
      <x:c r="B508" s="11" t="str">
        <x:v>VI</x:v>
      </x:c>
      <x:c r="C508" s="11" t="str">
        <x:v>quyền tài phán</x:v>
      </x:c>
      <x:c r="D508" s="11" t="str">
        <x:v>CẦN TRA — chưa xác minh mục từ</x:v>
      </x:c>
      <x:c r="E508" s="11" t="str">
        <x:v>* Nghĩa làm việc; cần nguồn định nghĩa</x:v>
      </x:c>
      <x:c r="F508" s="11" t="str">
        <x:v>Chưa có nguồn</x:v>
      </x:c>
      <x:c r="G508" s="11" t="str"/>
      <x:c r="H508" s="11" t="str">
        <x:v>Chưa xác minh nguồn định nghĩa trực tiếp</x:v>
      </x:c>
      <x:c r="I508" s="30" t="str"/>
      <x:c r="J508" s="11" t="str">
        <x:v>Chưa xác minh định nghĩa độc lập của nguyên biểu thức/nghĩa chọn trong ngôn ngữ này. </x:v>
      </x:c>
      <x:c r="K508" s="11" t="str">
        <x:v>2026-10-28</x:v>
      </x:c>
    </x:row>
    <x:row r="509" ht="57" customHeight="1">
      <x:c r="A509" s="11" t="str">
        <x:v>C063</x:v>
      </x:c>
      <x:c r="B509" s="11" t="str">
        <x:v>KO</x:v>
      </x:c>
      <x:c r="C509" s="11" t="str">
        <x:v>관할권</x:v>
      </x:c>
      <x:c r="D509" s="11" t="str">
        <x:v>Có mục từ và đã đọc nghĩa</x:v>
      </x:c>
      <x:c r="E509" s="11" t="str">
        <x:v>Mục từ có nghĩa [KO]</x:v>
      </x:c>
      <x:c r="F509" s="11" t="str">
        <x:v>KO</x:v>
      </x:c>
      <x:c r="G509" s="11" t="str">
        <x:v>S206</x:v>
      </x:c>
      <x:c r="H509" s="11" t="str">
        <x:v>국립국어원 온용어/우리말샘 — 관할권</x:v>
      </x:c>
      <x:c r="I509" s="30" t="str">
        <x:v>https://kli.korean.go.kr/term/trgtWord/indexTrgtWord.do?trgtWordNo=2051141</x:v>
      </x:c>
      <x:c r="J509" s="11" t="str">
        <x:v>Đã đọc nguồn giải nghĩa bằng ngôn ngữ này; vẫn đối chiếu nghĩa chọn và ghi chú.</x:v>
      </x:c>
      <x:c r="K509" s="11" t="str">
        <x:v>2026-10-28</x:v>
      </x:c>
    </x:row>
    <x:row r="510" ht="57" customHeight="1">
      <x:c r="A510" s="11" t="str">
        <x:v>C064</x:v>
      </x:c>
      <x:c r="B510" s="11" t="str">
        <x:v>VI</x:v>
      </x:c>
      <x:c r="C510" s="11" t="str">
        <x:v>tự do hàng hải</x:v>
      </x:c>
      <x:c r="D510" s="11" t="str">
        <x:v>CẦN TRA — chưa xác minh mục từ</x:v>
      </x:c>
      <x:c r="E510" s="11" t="str">
        <x:v>* Diễn giải mô tả EN</x:v>
      </x:c>
      <x:c r="F510" s="11" t="str">
        <x:v>EN</x:v>
      </x:c>
      <x:c r="G510" s="11" t="str">
        <x:v>S207</x:v>
      </x:c>
      <x:c r="H510" s="11" t="str">
        <x:v>United Nations Convention on the Law of the Sea — Part VII, Articles 87, 90</x:v>
      </x:c>
      <x:c r="I510" s="30" t="str">
        <x:v>https://static.un.org/Depts/los/convention_agreements/texts/unclos/part7.htm</x:v>
      </x:c>
      <x:c r="J510" s="11" t="str">
        <x:v>Chưa xác minh định nghĩa độc lập của nguyên biểu thức/nghĩa chọn trong ngôn ngữ này. Nêu tự do hàng hải và quyền cho tàu treo cờ quốc gia đi lại trên biển cả theo UNCLOS; không phải quyền đi lại vô điều kiện ở mọi vùng biển.</x:v>
      </x:c>
      <x:c r="K510" s="11" t="str">
        <x:v>2026-10-28</x:v>
      </x:c>
    </x:row>
    <x:row r="511" ht="57" customHeight="1">
      <x:c r="A511" s="11" t="str">
        <x:v>C064</x:v>
      </x:c>
      <x:c r="B511" s="11" t="str">
        <x:v>KO</x:v>
      </x:c>
      <x:c r="C511" s="11" t="str">
        <x:v>항행의 자유</x:v>
      </x:c>
      <x:c r="D511" s="11" t="str">
        <x:v>CẦN TRA — chưa xác minh mục từ</x:v>
      </x:c>
      <x:c r="E511" s="11" t="str">
        <x:v>* Diễn giải mô tả EN</x:v>
      </x:c>
      <x:c r="F511" s="11" t="str">
        <x:v>EN</x:v>
      </x:c>
      <x:c r="G511" s="11" t="str">
        <x:v>S207</x:v>
      </x:c>
      <x:c r="H511" s="11" t="str">
        <x:v>United Nations Convention on the Law of the Sea — Part VII, Articles 87, 90</x:v>
      </x:c>
      <x:c r="I511" s="30" t="str">
        <x:v>https://static.un.org/Depts/los/convention_agreements/texts/unclos/part7.htm</x:v>
      </x:c>
      <x:c r="J511" s="11" t="str">
        <x:v>Chưa xác minh định nghĩa độc lập của nguyên biểu thức/nghĩa chọn trong ngôn ngữ này. Nêu tự do hàng hải và quyền cho tàu treo cờ quốc gia đi lại trên biển cả theo UNCLOS; không phải quyền đi lại vô điều kiện ở mọi vùng biển.</x:v>
      </x:c>
      <x:c r="K511" s="11" t="str">
        <x:v>2026-10-28</x:v>
      </x:c>
    </x:row>
    <x:row r="512" ht="72" customHeight="1">
      <x:c r="A512" s="11" t="str">
        <x:v>C067</x:v>
      </x:c>
      <x:c r="B512" s="11" t="str">
        <x:v>VI</x:v>
      </x:c>
      <x:c r="C512" s="11" t="str">
        <x:v>giải quyết tranh chấp bằng biện pháp hòa bình</x:v>
      </x:c>
      <x:c r="D512" s="11" t="str">
        <x:v>CẦN TRA — chưa xác minh mục từ</x:v>
      </x:c>
      <x:c r="E512" s="11" t="str">
        <x:v>* Diễn giải mô tả EN</x:v>
      </x:c>
      <x:c r="F512" s="11" t="str">
        <x:v>EN</x:v>
      </x:c>
      <x:c r="G512" s="11" t="str">
        <x:v>S205</x:v>
      </x:c>
      <x:c r="H512" s="11" t="str">
        <x:v>United Nations — Charter, Article 2(1)–(5)</x:v>
      </x:c>
      <x:c r="I512" s="30" t="str">
        <x:v>https://legal.un.org/repertory/art2.shtml</x:v>
      </x:c>
      <x:c r="J512" s="11" t="str">
        <x:v>Chưa xác minh định nghĩa độc lập của nguyên biểu thức/nghĩa chọn trong ngôn ngữ này. Xác nhận nguyên tắc bình đẳng chủ quyền, giải quyết tranh chấp hòa bình và bảo vệ toàn vẹn lãnh thổ; không cung cấp định nghĩa từ điển cho tất cả thuật ngữ.</x:v>
      </x:c>
      <x:c r="K512" s="11" t="str">
        <x:v>2026-10-28</x:v>
      </x:c>
    </x:row>
    <x:row r="513" ht="72" customHeight="1">
      <x:c r="A513" s="11" t="str">
        <x:v>C067</x:v>
      </x:c>
      <x:c r="B513" s="11" t="str">
        <x:v>KO</x:v>
      </x:c>
      <x:c r="C513" s="11" t="str">
        <x:v>분쟁의 평화적 해결</x:v>
      </x:c>
      <x:c r="D513" s="11" t="str">
        <x:v>CẦN TRA — chưa xác minh mục từ</x:v>
      </x:c>
      <x:c r="E513" s="11" t="str">
        <x:v>* Diễn giải mô tả EN</x:v>
      </x:c>
      <x:c r="F513" s="11" t="str">
        <x:v>EN</x:v>
      </x:c>
      <x:c r="G513" s="11" t="str">
        <x:v>S205</x:v>
      </x:c>
      <x:c r="H513" s="11" t="str">
        <x:v>United Nations — Charter, Article 2(1)–(5)</x:v>
      </x:c>
      <x:c r="I513" s="30" t="str">
        <x:v>https://legal.un.org/repertory/art2.shtml</x:v>
      </x:c>
      <x:c r="J513" s="11" t="str">
        <x:v>Chưa xác minh định nghĩa độc lập của nguyên biểu thức/nghĩa chọn trong ngôn ngữ này. Xác nhận nguyên tắc bình đẳng chủ quyền, giải quyết tranh chấp hòa bình và bảo vệ toàn vẹn lãnh thổ; không cung cấp định nghĩa từ điển cho tất cả thuật ngữ.</x:v>
      </x:c>
      <x:c r="K513" s="11" t="str">
        <x:v>2026-10-28</x:v>
      </x:c>
    </x:row>
    <x:row r="514" ht="72" customHeight="1">
      <x:c r="A514" s="11" t="str">
        <x:v>C068</x:v>
      </x:c>
      <x:c r="B514" s="11" t="str">
        <x:v>VI</x:v>
      </x:c>
      <x:c r="C514" s="11" t="str">
        <x:v>an ninh phi truyền thống</x:v>
      </x:c>
      <x:c r="D514" s="11" t="str">
        <x:v>CẦN TRA — chưa xác minh mục từ</x:v>
      </x:c>
      <x:c r="E514" s="11" t="str">
        <x:v>Diễn giải từ định nghĩa EN; cần nguồn VI</x:v>
      </x:c>
      <x:c r="F514" s="11" t="str">
        <x:v>EN</x:v>
      </x:c>
      <x:c r="G514" s="11" t="str">
        <x:v>S208</x:v>
      </x:c>
      <x:c r="H514" s="11" t="str">
        <x:v>RSIS Centre for Non-Traditional Security Studies — About Us</x:v>
      </x:c>
      <x:c r="I514" s="30" t="str">
        <x:v>https://rsis.edu.sg/research/nts-centre/about-us/</x:v>
      </x:c>
      <x:c r="J514" s="11" t="str">
        <x:v>Chưa xác minh định nghĩa độc lập của nguyên biểu thức/nghĩa chọn trong ngôn ngữ này. Định nghĩa các vấn đề an ninh phi truyền thống là thách thức phi quân sự đối với sự sống còn/phúc lợi của con người và quốc gia; đây là cách tiếp cận của trung tâm nghiên cứu.</x:v>
      </x:c>
      <x:c r="K514" s="11" t="str">
        <x:v>2026-10-28</x:v>
      </x:c>
    </x:row>
    <x:row r="515" ht="72" customHeight="1">
      <x:c r="A515" s="11" t="str">
        <x:v>C068</x:v>
      </x:c>
      <x:c r="B515" s="11" t="str">
        <x:v>KO</x:v>
      </x:c>
      <x:c r="C515" s="11" t="str">
        <x:v>비전통 안보</x:v>
      </x:c>
      <x:c r="D515" s="11" t="str">
        <x:v>CẦN TRA — chưa xác minh mục từ</x:v>
      </x:c>
      <x:c r="E515" s="11" t="str">
        <x:v>Diễn giải từ định nghĩa EN; cần nguồn KO</x:v>
      </x:c>
      <x:c r="F515" s="11" t="str">
        <x:v>EN</x:v>
      </x:c>
      <x:c r="G515" s="11" t="str">
        <x:v>S208</x:v>
      </x:c>
      <x:c r="H515" s="11" t="str">
        <x:v>RSIS Centre for Non-Traditional Security Studies — About Us</x:v>
      </x:c>
      <x:c r="I515" s="30" t="str">
        <x:v>https://rsis.edu.sg/research/nts-centre/about-us/</x:v>
      </x:c>
      <x:c r="J515" s="11" t="str">
        <x:v>Chưa xác minh định nghĩa độc lập của nguyên biểu thức/nghĩa chọn trong ngôn ngữ này. Định nghĩa các vấn đề an ninh phi truyền thống là thách thức phi quân sự đối với sự sống còn/phúc lợi của con người và quốc gia; đây là cách tiếp cận của trung tâm nghiên cứu.</x:v>
      </x:c>
      <x:c r="K515" s="11" t="str">
        <x:v>2026-10-28</x:v>
      </x:c>
    </x:row>
    <x:row r="516" ht="57" customHeight="1">
      <x:c r="A516" s="11" t="str">
        <x:v>C069</x:v>
      </x:c>
      <x:c r="B516" s="11" t="str">
        <x:v>VI</x:v>
      </x:c>
      <x:c r="C516" s="11" t="str">
        <x:v>an ninh hàng hải</x:v>
      </x:c>
      <x:c r="D516" s="11" t="str">
        <x:v>CẦN TRA — chưa xác minh mục từ</x:v>
      </x:c>
      <x:c r="E516" s="11" t="str">
        <x:v>* Diễn giải mô tả EN</x:v>
      </x:c>
      <x:c r="F516" s="11" t="str">
        <x:v>EN</x:v>
      </x:c>
      <x:c r="G516" s="11" t="str">
        <x:v>S209</x:v>
      </x:c>
      <x:c r="H516" s="11" t="str">
        <x:v>International Maritime Organization — Frequently Asked Questions on Maritime Security</x:v>
      </x:c>
      <x:c r="I516" s="30" t="str">
        <x:v>https://www.imo.org/en/ourwork/security/pages/faq.aspx</x:v>
      </x:c>
      <x:c r="J516" s="11" t="str">
        <x:v>Chưa xác minh định nghĩa độc lập của nguyên biểu thức/nghĩa chọn trong ngôn ngữ này. Mô tả bảo vệ tàu và cơ sở cảng trong khuôn khổ ISPS; không đủ định nghĩa toàn bộ nghĩa địa-chính trị của 해양 안보.</x:v>
      </x:c>
      <x:c r="K516" s="11" t="str">
        <x:v>2026-10-28</x:v>
      </x:c>
    </x:row>
    <x:row r="517" ht="57" customHeight="1">
      <x:c r="A517" s="11" t="str">
        <x:v>C069</x:v>
      </x:c>
      <x:c r="B517" s="11" t="str">
        <x:v>KO</x:v>
      </x:c>
      <x:c r="C517" s="11" t="str">
        <x:v>해양 안보</x:v>
      </x:c>
      <x:c r="D517" s="11" t="str">
        <x:v>CẦN TRA — chưa xác minh mục từ</x:v>
      </x:c>
      <x:c r="E517" s="11" t="str">
        <x:v>* Diễn giải mô tả EN</x:v>
      </x:c>
      <x:c r="F517" s="11" t="str">
        <x:v>EN</x:v>
      </x:c>
      <x:c r="G517" s="11" t="str">
        <x:v>S209</x:v>
      </x:c>
      <x:c r="H517" s="11" t="str">
        <x:v>International Maritime Organization — Frequently Asked Questions on Maritime Security</x:v>
      </x:c>
      <x:c r="I517" s="30" t="str">
        <x:v>https://www.imo.org/en/ourwork/security/pages/faq.aspx</x:v>
      </x:c>
      <x:c r="J517" s="11" t="str">
        <x:v>Chưa xác minh định nghĩa độc lập của nguyên biểu thức/nghĩa chọn trong ngôn ngữ này. Mô tả bảo vệ tàu và cơ sở cảng trong khuôn khổ ISPS; không đủ định nghĩa toàn bộ nghĩa địa-chính trị của 해양 안보.</x:v>
      </x:c>
      <x:c r="K517" s="11" t="str">
        <x:v>2026-10-28</x:v>
      </x:c>
    </x:row>
    <x:row r="518" ht="72" customHeight="1">
      <x:c r="A518" s="11" t="str">
        <x:v>C070</x:v>
      </x:c>
      <x:c r="B518" s="11" t="str">
        <x:v>VI</x:v>
      </x:c>
      <x:c r="C518" s="11" t="str">
        <x:v>an ninh lương thực</x:v>
      </x:c>
      <x:c r="D518" s="11" t="str">
        <x:v>CẦN TRA — chưa xác minh mục từ</x:v>
      </x:c>
      <x:c r="E518" s="11" t="str">
        <x:v>Diễn giải từ định nghĩa EN; cần nguồn VI</x:v>
      </x:c>
      <x:c r="F518" s="11" t="str">
        <x:v>EN</x:v>
      </x:c>
      <x:c r="G518" s="11" t="str">
        <x:v>S210</x:v>
      </x:c>
      <x:c r="H518" s="11" t="str">
        <x:v>World Food Programme — What is Food Security</x:v>
      </x:c>
      <x:c r="I518" s="30" t="str">
        <x:v>https://vamresources.manuals.wfp.org/docs/what-is-food-and-nutrition-security</x:v>
      </x:c>
      <x:c r="J518" s="11" t="str">
        <x:v>Chưa xác minh định nghĩa độc lập của nguyên biểu thức/nghĩa chọn trong ngôn ngữ này. Định nghĩa food security là trạng thái tiếp cận thức ăn đủ, an toàn, dinh dưỡng của mọi người; tìm kiếm đã đọc định nghĩa, mở trực tiếp chỉ trả phần điều hướng.</x:v>
      </x:c>
      <x:c r="K518" s="11" t="str">
        <x:v>2026-10-28</x:v>
      </x:c>
    </x:row>
    <x:row r="519" ht="72" customHeight="1">
      <x:c r="A519" s="11" t="str">
        <x:v>C070</x:v>
      </x:c>
      <x:c r="B519" s="11" t="str">
        <x:v>KO</x:v>
      </x:c>
      <x:c r="C519" s="11" t="str">
        <x:v>식량안보</x:v>
      </x:c>
      <x:c r="D519" s="11" t="str">
        <x:v>CẦN TRA — chưa xác minh mục từ</x:v>
      </x:c>
      <x:c r="E519" s="11" t="str">
        <x:v>Diễn giải từ định nghĩa EN; cần nguồn KO</x:v>
      </x:c>
      <x:c r="F519" s="11" t="str">
        <x:v>EN</x:v>
      </x:c>
      <x:c r="G519" s="11" t="str">
        <x:v>S210</x:v>
      </x:c>
      <x:c r="H519" s="11" t="str">
        <x:v>World Food Programme — What is Food Security</x:v>
      </x:c>
      <x:c r="I519" s="30" t="str">
        <x:v>https://vamresources.manuals.wfp.org/docs/what-is-food-and-nutrition-security</x:v>
      </x:c>
      <x:c r="J519" s="11" t="str">
        <x:v>Chưa xác minh định nghĩa độc lập của nguyên biểu thức/nghĩa chọn trong ngôn ngữ này. Định nghĩa food security là trạng thái tiếp cận thức ăn đủ, an toàn, dinh dưỡng của mọi người; tìm kiếm đã đọc định nghĩa, mở trực tiếp chỉ trả phần điều hướng.</x:v>
      </x:c>
      <x:c r="K519" s="11" t="str">
        <x:v>2026-10-28</x:v>
      </x:c>
    </x:row>
    <x:row r="520" ht="72" customHeight="1">
      <x:c r="A520" s="11" t="str">
        <x:v>C071</x:v>
      </x:c>
      <x:c r="B520" s="11" t="str">
        <x:v>VI</x:v>
      </x:c>
      <x:c r="C520" s="11" t="str">
        <x:v>an ninh kinh tế</x:v>
      </x:c>
      <x:c r="D520" s="11" t="str">
        <x:v>CẦN TRA — chưa xác minh mục từ</x:v>
      </x:c>
      <x:c r="E520" s="11" t="str">
        <x:v>Diễn giải từ định nghĩa KO; cần nguồn VI</x:v>
      </x:c>
      <x:c r="F520" s="11" t="str">
        <x:v>KO</x:v>
      </x:c>
      <x:c r="G520" s="11" t="str">
        <x:v>S211</x:v>
      </x:c>
      <x:c r="H520" s="11" t="str">
        <x:v>국가법령정보센터 — 경제안보를 위한 공급망 안정화 지원 기본법, 제2조 제1호; bản hiệu lực 02/01/2026</x:v>
      </x:c>
      <x:c r="I520" s="30" t="str">
        <x:v>https://www.law.go.kr/LSW/lsInfoP.do?ancYnChk=0&amp;chrClsCd=010202&amp;efYd=20260102&amp;lsiSeq=276055&amp;urlMode=lsInfoP</x:v>
      </x:c>
      <x:c r="J520" s="11" t="str">
        <x:v>Chưa xác minh định nghĩa độc lập của nguyên biểu thức/nghĩa chọn trong ngôn ngữ này. Định nghĩa pháp lý 경제안보 là trạng thái kinh tế và an ninh không bị gián đoạn trước biến động, trong phạm vi đạo luật chuỗi cung ứng. Không khẳng định là định nghĩa duy nhất mọi văn cảnh.</x:v>
      </x:c>
      <x:c r="K520" s="11" t="str">
        <x:v>2026-10-28</x:v>
      </x:c>
    </x:row>
    <x:row r="521" ht="57" customHeight="1">
      <x:c r="A521" s="11" t="str">
        <x:v>C071</x:v>
      </x:c>
      <x:c r="B521" s="11" t="str">
        <x:v>KO</x:v>
      </x:c>
      <x:c r="C521" s="11" t="str">
        <x:v>경제안보</x:v>
      </x:c>
      <x:c r="D521" s="11" t="str">
        <x:v>CẦN TRA — chưa xác minh mục từ</x:v>
      </x:c>
      <x:c r="E521" s="11" t="str">
        <x:v>Định nghĩa chuyên ngành [KO]</x:v>
      </x:c>
      <x:c r="F521" s="11" t="str">
        <x:v>KO</x:v>
      </x:c>
      <x:c r="G521" s="11" t="str">
        <x:v>S211</x:v>
      </x:c>
      <x:c r="H521" s="11" t="str">
        <x:v>국가법령정보센터 — 경제안보를 위한 공급망 안정화 지원 기본법, 제2조 제1호; bản hiệu lực 02/01/2026</x:v>
      </x:c>
      <x:c r="I521" s="30" t="str">
        <x:v>https://www.law.go.kr/LSW/lsInfoP.do?ancYnChk=0&amp;chrClsCd=010202&amp;efYd=20260102&amp;lsiSeq=276055&amp;urlMode=lsInfoP</x:v>
      </x:c>
      <x:c r="J521" s="11" t="str">
        <x:v>Đã đọc nguồn giải nghĩa bằng ngôn ngữ này; vẫn đối chiếu nghĩa chọn và ghi chú.</x:v>
      </x:c>
      <x:c r="K521" s="11" t="str">
        <x:v>2026-10-28</x:v>
      </x:c>
    </x:row>
    <x:row r="522" ht="57" customHeight="1">
      <x:c r="A522" s="11" t="str">
        <x:v>C072</x:v>
      </x:c>
      <x:c r="B522" s="11" t="str">
        <x:v>VI</x:v>
      </x:c>
      <x:c r="C522" s="11" t="str">
        <x:v>an ninh năng lượng</x:v>
      </x:c>
      <x:c r="D522" s="11" t="str">
        <x:v>CẦN TRA — chưa xác minh mục từ</x:v>
      </x:c>
      <x:c r="E522" s="11" t="str">
        <x:v>Diễn giải từ định nghĩa EN; cần nguồn VI</x:v>
      </x:c>
      <x:c r="F522" s="11" t="str">
        <x:v>EN</x:v>
      </x:c>
      <x:c r="G522" s="11" t="str">
        <x:v>S212</x:v>
      </x:c>
      <x:c r="H522" s="11" t="str">
        <x:v>International Energy Agency — Energy Supply Security 2014, Defining energy security</x:v>
      </x:c>
      <x:c r="I522" s="30" t="str">
        <x:v>https://iea.blob.core.windows.net/assets/73908149-4d6e-4f10-b626-d55c60ab3bd7/ENERGYSUPPLYSECURITY2014.pdf</x:v>
      </x:c>
      <x:c r="J522" s="11" t="str">
        <x:v>Chưa xác minh định nghĩa độc lập của nguyên biểu thức/nghĩa chọn trong ngôn ngữ này. Định nghĩa energy security là khả năng tiếp cận nguồn năng lượng liên tục với giá có thể chi trả.</x:v>
      </x:c>
      <x:c r="K522" s="11" t="str">
        <x:v>2026-10-28</x:v>
      </x:c>
    </x:row>
    <x:row r="523" ht="57" customHeight="1">
      <x:c r="A523" s="11" t="str">
        <x:v>C072</x:v>
      </x:c>
      <x:c r="B523" s="11" t="str">
        <x:v>KO</x:v>
      </x:c>
      <x:c r="C523" s="11" t="str">
        <x:v>에너지 안보</x:v>
      </x:c>
      <x:c r="D523" s="11" t="str">
        <x:v>CẦN TRA — chưa xác minh mục từ</x:v>
      </x:c>
      <x:c r="E523" s="11" t="str">
        <x:v>Diễn giải từ định nghĩa EN; cần nguồn KO</x:v>
      </x:c>
      <x:c r="F523" s="11" t="str">
        <x:v>EN</x:v>
      </x:c>
      <x:c r="G523" s="11" t="str">
        <x:v>S212</x:v>
      </x:c>
      <x:c r="H523" s="11" t="str">
        <x:v>International Energy Agency — Energy Supply Security 2014, Defining energy security</x:v>
      </x:c>
      <x:c r="I523" s="30" t="str">
        <x:v>https://iea.blob.core.windows.net/assets/73908149-4d6e-4f10-b626-d55c60ab3bd7/ENERGYSUPPLYSECURITY2014.pdf</x:v>
      </x:c>
      <x:c r="J523" s="11" t="str">
        <x:v>Chưa xác minh định nghĩa độc lập của nguyên biểu thức/nghĩa chọn trong ngôn ngữ này. Định nghĩa energy security là khả năng tiếp cận nguồn năng lượng liên tục với giá có thể chi trả.</x:v>
      </x:c>
      <x:c r="K523" s="11" t="str">
        <x:v>2026-10-28</x:v>
      </x:c>
    </x:row>
    <x:row r="524" ht="57" customHeight="1">
      <x:c r="A524" s="11" t="str">
        <x:v>C073</x:v>
      </x:c>
      <x:c r="B524" s="11" t="str">
        <x:v>VI</x:v>
      </x:c>
      <x:c r="C524" s="11" t="str">
        <x:v>an ninh mạng</x:v>
      </x:c>
      <x:c r="D524" s="11" t="str">
        <x:v>CẦN TRA — chưa xác minh mục từ</x:v>
      </x:c>
      <x:c r="E524" s="11" t="str">
        <x:v>Định nghĩa chuyên ngành [VI]</x:v>
      </x:c>
      <x:c r="F524" s="11" t="str">
        <x:v>VI</x:v>
      </x:c>
      <x:c r="G524" s="11" t="str">
        <x:v>S213</x:v>
      </x:c>
      <x:c r="H524" s="11" t="str">
        <x:v>Cổng Thông tin điện tử Chính phủ — Những nội dung mới trong Luật An ninh mạng 116/2025/QH15</x:v>
      </x:c>
      <x:c r="I524" s="30" t="str">
        <x:v>https://xaydungchinhsach.chinhphu.vn/nhung-noi-dung-moi-trong-luat-an-ninh-mang-so-116-2025-qh15-119260629145615168.htm</x:v>
      </x:c>
      <x:c r="J524" s="11" t="str">
        <x:v>Đã đọc nguồn giải nghĩa bằng ngôn ngữ này; vẫn đối chiếu nghĩa chọn và ghi chú.</x:v>
      </x:c>
      <x:c r="K524" s="11" t="str">
        <x:v>2026-10-28</x:v>
      </x:c>
    </x:row>
    <x:row r="525" ht="72" customHeight="1">
      <x:c r="A525" s="11" t="str">
        <x:v>C073</x:v>
      </x:c>
      <x:c r="B525" s="11" t="str">
        <x:v>KO</x:v>
      </x:c>
      <x:c r="C525" s="11" t="str">
        <x:v>사이버 안보</x:v>
      </x:c>
      <x:c r="D525" s="11" t="str">
        <x:v>CẦN TRA — chưa xác minh mục từ</x:v>
      </x:c>
      <x:c r="E525" s="11" t="str">
        <x:v>Diễn giải từ định nghĩa VI; cần nguồn KO</x:v>
      </x:c>
      <x:c r="F525" s="11" t="str">
        <x:v>VI</x:v>
      </x:c>
      <x:c r="G525" s="11" t="str">
        <x:v>S213</x:v>
      </x:c>
      <x:c r="H525" s="11" t="str">
        <x:v>Cổng Thông tin điện tử Chính phủ — Những nội dung mới trong Luật An ninh mạng 116/2025/QH15</x:v>
      </x:c>
      <x:c r="I525" s="30" t="str">
        <x:v>https://xaydungchinhsach.chinhphu.vn/nhung-noi-dung-moi-trong-luat-an-ninh-mang-so-116-2025-qh15-119260629145615168.htm</x:v>
      </x:c>
      <x:c r="J525" s="11" t="str">
        <x:v>Chưa xác minh định nghĩa độc lập của nguyên biểu thức/nghĩa chọn trong ngôn ngữ này. Dẫn đầy đủ khoản 1 Điều 2: an ninh mạng gồm sự ổn định/an toàn không gian mạng, bảo vệ hệ thống thông tin và bảo đảm hoạt động không phương hại lợi ích được luật bảo vệ.</x:v>
      </x:c>
      <x:c r="K525" s="11" t="str">
        <x:v>2026-10-28</x:v>
      </x:c>
    </x:row>
    <x:row r="526" ht="57" customHeight="1">
      <x:c r="A526" s="11" t="str">
        <x:v>C076</x:v>
      </x:c>
      <x:c r="B526" s="11" t="str">
        <x:v>VI</x:v>
      </x:c>
      <x:c r="C526" s="11" t="str">
        <x:v>thượng tôn pháp luật</x:v>
      </x:c>
      <x:c r="D526" s="11" t="str">
        <x:v>CẦN TRA — chưa xác minh mục từ</x:v>
      </x:c>
      <x:c r="E526" s="11" t="str">
        <x:v>Diễn giải từ định nghĩa EN; cần nguồn VI</x:v>
      </x:c>
      <x:c r="F526" s="11" t="str">
        <x:v>EN</x:v>
      </x:c>
      <x:c r="G526" s="11" t="str">
        <x:v>S214</x:v>
      </x:c>
      <x:c r="H526" s="11" t="str">
        <x:v>United Nations — What is the Rule of Law?</x:v>
      </x:c>
      <x:c r="I526" s="30" t="str">
        <x:v>https://www.un.org/ruleoflaw/en/what-is-the-rule-of-law</x:v>
      </x:c>
      <x:c r="J526" s="11" t="str">
        <x:v>Chưa xác minh định nghĩa độc lập của nguyên biểu thức/nghĩa chọn trong ngôn ngữ này. Định nghĩa rule of law rộng hơn khẩu hiệu tuân thủ pháp luật; các chủ thể, kể cả nhà nước, chịu trách nhiệm trước pháp luật công khai và công bằng.</x:v>
      </x:c>
      <x:c r="K526" s="11" t="str">
        <x:v>2026-10-28</x:v>
      </x:c>
    </x:row>
    <x:row r="527" ht="57" customHeight="1">
      <x:c r="A527" s="11" t="str">
        <x:v>C076</x:v>
      </x:c>
      <x:c r="B527" s="11" t="str">
        <x:v>KO</x:v>
      </x:c>
      <x:c r="C527" s="11" t="str">
        <x:v>법치주의</x:v>
      </x:c>
      <x:c r="D527" s="11" t="str">
        <x:v>CẦN TRA — chưa xác minh mục từ</x:v>
      </x:c>
      <x:c r="E527" s="11" t="str">
        <x:v>Diễn giải từ định nghĩa EN; cần nguồn KO</x:v>
      </x:c>
      <x:c r="F527" s="11" t="str">
        <x:v>EN</x:v>
      </x:c>
      <x:c r="G527" s="11" t="str">
        <x:v>S214</x:v>
      </x:c>
      <x:c r="H527" s="11" t="str">
        <x:v>United Nations — What is the Rule of Law?</x:v>
      </x:c>
      <x:c r="I527" s="30" t="str">
        <x:v>https://www.un.org/ruleoflaw/en/what-is-the-rule-of-law</x:v>
      </x:c>
      <x:c r="J527" s="11" t="str">
        <x:v>Chưa xác minh định nghĩa độc lập của nguyên biểu thức/nghĩa chọn trong ngôn ngữ này. Định nghĩa rule of law rộng hơn khẩu hiệu tuân thủ pháp luật; các chủ thể, kể cả nhà nước, chịu trách nhiệm trước pháp luật công khai và công bằng.</x:v>
      </x:c>
      <x:c r="K527" s="11" t="str">
        <x:v>2026-10-28</x:v>
      </x:c>
    </x:row>
    <x:row r="528" ht="57" customHeight="1">
      <x:c r="A528" s="11" t="str">
        <x:v>C085</x:v>
      </x:c>
      <x:c r="B528" s="11" t="str">
        <x:v>VI</x:v>
      </x:c>
      <x:c r="C528" s="11" t="str">
        <x:v>quản trị toàn cầu</x:v>
      </x:c>
      <x:c r="D528" s="11" t="str">
        <x:v>CẦN TRA — chưa xác minh mục từ</x:v>
      </x:c>
      <x:c r="E528" s="11" t="str">
        <x:v>* Nghĩa làm việc; cần nguồn định nghĩa</x:v>
      </x:c>
      <x:c r="F528" s="11" t="str">
        <x:v>VI</x:v>
      </x:c>
      <x:c r="G528" s="11" t="str"/>
      <x:c r="H528" s="11" t="str">
        <x:v>Nghĩa làm việc đề xuất; chưa có nguồn định nghĩa trực tiếp</x:v>
      </x:c>
      <x:c r="I528" s="30" t="str"/>
      <x:c r="J528" s="11" t="str">
        <x:v>Chưa xác minh định nghĩa độc lập của nguyên biểu thức/nghĩa chọn trong ngôn ngữ này. </x:v>
      </x:c>
      <x:c r="K528" s="11" t="str">
        <x:v>2026-10-28</x:v>
      </x:c>
    </x:row>
    <x:row r="529" ht="57" customHeight="1">
      <x:c r="A529" s="11" t="str">
        <x:v>C085</x:v>
      </x:c>
      <x:c r="B529" s="11" t="str">
        <x:v>KO</x:v>
      </x:c>
      <x:c r="C529" s="11" t="str">
        <x:v>글로벌 거버넌스</x:v>
      </x:c>
      <x:c r="D529" s="11" t="str">
        <x:v>CẦN TRA — chưa xác minh mục từ</x:v>
      </x:c>
      <x:c r="E529" s="11" t="str">
        <x:v>* Nghĩa làm việc; cần nguồn định nghĩa</x:v>
      </x:c>
      <x:c r="F529" s="11" t="str">
        <x:v>VI</x:v>
      </x:c>
      <x:c r="G529" s="11" t="str"/>
      <x:c r="H529" s="11" t="str">
        <x:v>Diễn đạt tiếng Hàn từ nghĩa làm việc; Nghĩa làm việc đề xuất; chưa có nguồn định nghĩa trực tiếp</x:v>
      </x:c>
      <x:c r="I529" s="30" t="str"/>
      <x:c r="J529" s="11" t="str">
        <x:v>Chưa xác minh định nghĩa độc lập của nguyên biểu thức/nghĩa chọn trong ngôn ngữ này. </x:v>
      </x:c>
      <x:c r="K529" s="11" t="str">
        <x:v>2026-10-28</x:v>
      </x:c>
    </x:row>
    <x:row r="530" ht="57" customHeight="1">
      <x:c r="A530" s="11" t="str">
        <x:v>C086</x:v>
      </x:c>
      <x:c r="B530" s="11" t="str">
        <x:v>VI</x:v>
      </x:c>
      <x:c r="C530" s="11" t="str">
        <x:v>trật tự quốc tế</x:v>
      </x:c>
      <x:c r="D530" s="11" t="str">
        <x:v>CẦN TRA — chưa xác minh mục từ</x:v>
      </x:c>
      <x:c r="E530" s="11" t="str">
        <x:v>* Nghĩa làm việc; cần nguồn định nghĩa</x:v>
      </x:c>
      <x:c r="F530" s="11" t="str">
        <x:v>Chưa có nguồn</x:v>
      </x:c>
      <x:c r="G530" s="11" t="str"/>
      <x:c r="H530" s="11" t="str">
        <x:v>Chưa xác minh nguồn định nghĩa trực tiếp</x:v>
      </x:c>
      <x:c r="I530" s="30" t="str"/>
      <x:c r="J530" s="11" t="str">
        <x:v>Chưa xác minh định nghĩa độc lập của nguyên biểu thức/nghĩa chọn trong ngôn ngữ này. </x:v>
      </x:c>
      <x:c r="K530" s="11" t="str">
        <x:v>2026-10-28</x:v>
      </x:c>
    </x:row>
    <x:row r="531" ht="57" customHeight="1">
      <x:c r="A531" s="11" t="str">
        <x:v>C086</x:v>
      </x:c>
      <x:c r="B531" s="11" t="str">
        <x:v>KO</x:v>
      </x:c>
      <x:c r="C531" s="11" t="str">
        <x:v>국제질서</x:v>
      </x:c>
      <x:c r="D531" s="11" t="str">
        <x:v>CẦN TRA — chưa xác minh mục từ</x:v>
      </x:c>
      <x:c r="E531" s="11" t="str">
        <x:v>* Nghĩa làm việc; cần nguồn định nghĩa</x:v>
      </x:c>
      <x:c r="F531" s="11" t="str">
        <x:v>Chưa có nguồn</x:v>
      </x:c>
      <x:c r="G531" s="11" t="str"/>
      <x:c r="H531" s="11" t="str">
        <x:v>Chưa xác minh nguồn định nghĩa trực tiếp</x:v>
      </x:c>
      <x:c r="I531" s="30" t="str"/>
      <x:c r="J531" s="11" t="str">
        <x:v>Chưa xác minh định nghĩa độc lập của nguyên biểu thức/nghĩa chọn trong ngôn ngữ này. </x:v>
      </x:c>
      <x:c r="K531" s="11" t="str">
        <x:v>2026-10-28</x:v>
      </x:c>
    </x:row>
    <x:row r="532" ht="57" customHeight="1">
      <x:c r="A532" s="11" t="str">
        <x:v>C087</x:v>
      </x:c>
      <x:c r="B532" s="11" t="str">
        <x:v>VI</x:v>
      </x:c>
      <x:c r="C532" s="11" t="str">
        <x:v>quan hệ quốc tế</x:v>
      </x:c>
      <x:c r="D532" s="11" t="str">
        <x:v>CẦN TRA — chưa xác minh mục từ</x:v>
      </x:c>
      <x:c r="E532" s="11" t="str">
        <x:v>Diễn giải từ mục từ KO; cần nguồn VI</x:v>
      </x:c>
      <x:c r="F532" s="11" t="str">
        <x:v>KO</x:v>
      </x:c>
      <x:c r="G532" s="11" t="str">
        <x:v>S215</x:v>
      </x:c>
      <x:c r="H532" s="11" t="str">
        <x:v>국립국어원 온용어: 국제 관계 — 국립국어원 우리말샘</x:v>
      </x:c>
      <x:c r="I532" s="30" t="str">
        <x:v>https://kli.korean.go.kr/term/trgtWord/indexTrgtWord.do?trgtWordNo=2062507</x:v>
      </x:c>
      <x:c r="J532" s="11" t="str">
        <x:v>Chưa xác minh định nghĩa độc lập của nguyên biểu thức/nghĩa chọn trong ngôn ngữ này. Mục từ đầy đủ có đơn vị biên soạn; diễn giải theo nghĩa chuyên ngành, không sao chép định nghĩa.</x:v>
      </x:c>
      <x:c r="K532" s="11" t="str">
        <x:v>2026-10-28</x:v>
      </x:c>
    </x:row>
    <x:row r="533" ht="57" customHeight="1">
      <x:c r="A533" s="11" t="str">
        <x:v>C087</x:v>
      </x:c>
      <x:c r="B533" s="11" t="str">
        <x:v>KO</x:v>
      </x:c>
      <x:c r="C533" s="11" t="str">
        <x:v>국제관계</x:v>
      </x:c>
      <x:c r="D533" s="11" t="str">
        <x:v>Có mục từ và đã đọc nghĩa</x:v>
      </x:c>
      <x:c r="E533" s="11" t="str">
        <x:v>Mục từ có nghĩa [KO]</x:v>
      </x:c>
      <x:c r="F533" s="11" t="str">
        <x:v>KO</x:v>
      </x:c>
      <x:c r="G533" s="11" t="str">
        <x:v>S215</x:v>
      </x:c>
      <x:c r="H533" s="11" t="str">
        <x:v>국립국어원 온용어: 국제 관계 — 국립국어원 우리말샘</x:v>
      </x:c>
      <x:c r="I533" s="30" t="str">
        <x:v>https://kli.korean.go.kr/term/trgtWord/indexTrgtWord.do?trgtWordNo=2062507</x:v>
      </x:c>
      <x:c r="J533" s="11" t="str">
        <x:v>Đã đọc nguồn giải nghĩa bằng ngôn ngữ này; vẫn đối chiếu nghĩa chọn và ghi chú.</x:v>
      </x:c>
      <x:c r="K533" s="11" t="str">
        <x:v>2026-10-28</x:v>
      </x:c>
    </x:row>
    <x:row r="534" ht="57" customHeight="1">
      <x:c r="A534" s="11" t="str">
        <x:v>C088</x:v>
      </x:c>
      <x:c r="B534" s="11" t="str">
        <x:v>VI</x:v>
      </x:c>
      <x:c r="C534" s="11" t="str">
        <x:v>sức mạnh mềm</x:v>
      </x:c>
      <x:c r="D534" s="11" t="str">
        <x:v>CẦN TRA — chưa xác minh mục từ</x:v>
      </x:c>
      <x:c r="E534" s="11" t="str">
        <x:v>Diễn giải từ định nghĩa EN; cần nguồn VI</x:v>
      </x:c>
      <x:c r="F534" s="11" t="str">
        <x:v>EN</x:v>
      </x:c>
      <x:c r="G534" s="11" t="str">
        <x:v>S216</x:v>
      </x:c>
      <x:c r="H534" s="11" t="str">
        <x:v>Joseph S. Nye Jr. — Soft Power and the Public Diplomacy Revisited, Harvard Kennedy School</x:v>
      </x:c>
      <x:c r="I534" s="30" t="str">
        <x:v>https://www.hks.harvard.edu/publications/soft-power-and-public-diplomacy-revisited</x:v>
      </x:c>
      <x:c r="J534" s="11" t="str">
        <x:v>Chưa xác minh định nghĩa độc lập của nguyên biểu thức/nghĩa chọn trong ngôn ngữ này. Định nghĩa sức mạnh mềm là năng lực gây ảnh hưởng bằng hấp dẫn/thuyết phục để đạt kết quả mong muốn.</x:v>
      </x:c>
      <x:c r="K534" s="11" t="str">
        <x:v>2026-10-28</x:v>
      </x:c>
    </x:row>
    <x:row r="535" ht="57" customHeight="1">
      <x:c r="A535" s="11" t="str">
        <x:v>C088</x:v>
      </x:c>
      <x:c r="B535" s="11" t="str">
        <x:v>KO</x:v>
      </x:c>
      <x:c r="C535" s="11" t="str">
        <x:v>소프트파워</x:v>
      </x:c>
      <x:c r="D535" s="11" t="str">
        <x:v>CẦN TRA — chưa xác minh mục từ</x:v>
      </x:c>
      <x:c r="E535" s="11" t="str">
        <x:v>Diễn giải từ định nghĩa EN; cần nguồn KO</x:v>
      </x:c>
      <x:c r="F535" s="11" t="str">
        <x:v>EN</x:v>
      </x:c>
      <x:c r="G535" s="11" t="str">
        <x:v>S216</x:v>
      </x:c>
      <x:c r="H535" s="11" t="str">
        <x:v>Joseph S. Nye Jr. — Soft Power and the Public Diplomacy Revisited, Harvard Kennedy School</x:v>
      </x:c>
      <x:c r="I535" s="30" t="str">
        <x:v>https://www.hks.harvard.edu/publications/soft-power-and-public-diplomacy-revisited</x:v>
      </x:c>
      <x:c r="J535" s="11" t="str">
        <x:v>Chưa xác minh định nghĩa độc lập của nguyên biểu thức/nghĩa chọn trong ngôn ngữ này. Định nghĩa sức mạnh mềm là năng lực gây ảnh hưởng bằng hấp dẫn/thuyết phục để đạt kết quả mong muốn.</x:v>
      </x:c>
      <x:c r="K535" s="11" t="str">
        <x:v>2026-10-28</x:v>
      </x:c>
    </x:row>
    <x:row r="536" ht="57" customHeight="1">
      <x:c r="A536" s="11" t="str">
        <x:v>C089</x:v>
      </x:c>
      <x:c r="B536" s="11" t="str">
        <x:v>VI</x:v>
      </x:c>
      <x:c r="C536" s="11" t="str">
        <x:v>tin cậy chính trị</x:v>
      </x:c>
      <x:c r="D536" s="11" t="str">
        <x:v>CẦN TRA — chưa xác minh mục từ</x:v>
      </x:c>
      <x:c r="E536" s="11" t="str">
        <x:v>* Nghĩa làm việc; cần nguồn định nghĩa</x:v>
      </x:c>
      <x:c r="F536" s="11" t="str">
        <x:v>Chưa có nguồn</x:v>
      </x:c>
      <x:c r="G536" s="11" t="str"/>
      <x:c r="H536" s="11" t="str">
        <x:v>Chưa xác minh nguồn định nghĩa trực tiếp</x:v>
      </x:c>
      <x:c r="I536" s="30" t="str"/>
      <x:c r="J536" s="11" t="str">
        <x:v>Chưa xác minh định nghĩa độc lập của nguyên biểu thức/nghĩa chọn trong ngôn ngữ này. </x:v>
      </x:c>
      <x:c r="K536" s="11" t="str">
        <x:v>2026-10-28</x:v>
      </x:c>
    </x:row>
    <x:row r="537" ht="57" customHeight="1">
      <x:c r="A537" s="11" t="str">
        <x:v>C089</x:v>
      </x:c>
      <x:c r="B537" s="11" t="str">
        <x:v>KO</x:v>
      </x:c>
      <x:c r="C537" s="11" t="str">
        <x:v>정치적 신뢰</x:v>
      </x:c>
      <x:c r="D537" s="11" t="str">
        <x:v>CẦN TRA — chưa xác minh mục từ</x:v>
      </x:c>
      <x:c r="E537" s="11" t="str">
        <x:v>* Nghĩa làm việc; cần nguồn định nghĩa</x:v>
      </x:c>
      <x:c r="F537" s="11" t="str">
        <x:v>Chưa có nguồn</x:v>
      </x:c>
      <x:c r="G537" s="11" t="str"/>
      <x:c r="H537" s="11" t="str">
        <x:v>Chưa xác minh nguồn định nghĩa trực tiếp</x:v>
      </x:c>
      <x:c r="I537" s="30" t="str"/>
      <x:c r="J537" s="11" t="str">
        <x:v>Chưa xác minh định nghĩa độc lập của nguyên biểu thức/nghĩa chọn trong ngôn ngữ này. </x:v>
      </x:c>
      <x:c r="K537" s="11" t="str">
        <x:v>2026-10-28</x:v>
      </x:c>
    </x:row>
    <x:row r="538" ht="57" customHeight="1">
      <x:c r="A538" s="11" t="str">
        <x:v>C091</x:v>
      </x:c>
      <x:c r="B538" s="11" t="str">
        <x:v>VI</x:v>
      </x:c>
      <x:c r="C538" s="11" t="str">
        <x:v>đa phương hóa</x:v>
      </x:c>
      <x:c r="D538" s="11" t="str">
        <x:v>CẦN TRA — chưa xác minh mục từ</x:v>
      </x:c>
      <x:c r="E538" s="11" t="str">
        <x:v>* Nghĩa làm việc; cần nguồn định nghĩa</x:v>
      </x:c>
      <x:c r="F538" s="11" t="str">
        <x:v>Chưa có nguồn</x:v>
      </x:c>
      <x:c r="G538" s="11" t="str"/>
      <x:c r="H538" s="11" t="str">
        <x:v>Chưa xác minh nguồn định nghĩa trực tiếp</x:v>
      </x:c>
      <x:c r="I538" s="30" t="str"/>
      <x:c r="J538" s="11" t="str">
        <x:v>Chưa xác minh định nghĩa độc lập của nguyên biểu thức/nghĩa chọn trong ngôn ngữ này. </x:v>
      </x:c>
      <x:c r="K538" s="11" t="str">
        <x:v>2026-10-28</x:v>
      </x:c>
    </x:row>
    <x:row r="539" ht="57" customHeight="1">
      <x:c r="A539" s="11" t="str">
        <x:v>C091</x:v>
      </x:c>
      <x:c r="B539" s="11" t="str">
        <x:v>KO</x:v>
      </x:c>
      <x:c r="C539" s="11" t="str">
        <x:v>다자화</x:v>
      </x:c>
      <x:c r="D539" s="11" t="str">
        <x:v>CẦN TRA — chưa xác minh mục từ</x:v>
      </x:c>
      <x:c r="E539" s="11" t="str">
        <x:v>* Nghĩa làm việc; cần nguồn định nghĩa</x:v>
      </x:c>
      <x:c r="F539" s="11" t="str">
        <x:v>Chưa có nguồn</x:v>
      </x:c>
      <x:c r="G539" s="11" t="str"/>
      <x:c r="H539" s="11" t="str">
        <x:v>Chưa xác minh nguồn định nghĩa trực tiếp</x:v>
      </x:c>
      <x:c r="I539" s="30" t="str"/>
      <x:c r="J539" s="11" t="str">
        <x:v>Chưa xác minh định nghĩa độc lập của nguyên biểu thức/nghĩa chọn trong ngôn ngữ này. </x:v>
      </x:c>
      <x:c r="K539" s="11" t="str">
        <x:v>2026-10-28</x:v>
      </x:c>
    </x:row>
    <x:row r="540" ht="57" customHeight="1">
      <x:c r="A540" s="11" t="str">
        <x:v>C092</x:v>
      </x:c>
      <x:c r="B540" s="11" t="str">
        <x:v>VI</x:v>
      </x:c>
      <x:c r="C540" s="11" t="str">
        <x:v>đa dạng hóa</x:v>
      </x:c>
      <x:c r="D540" s="11" t="str">
        <x:v>CẦN TRA — chưa xác minh mục từ</x:v>
      </x:c>
      <x:c r="E540" s="11" t="str">
        <x:v>* Nghĩa làm việc; cần nguồn định nghĩa</x:v>
      </x:c>
      <x:c r="F540" s="11" t="str">
        <x:v>Chưa có nguồn</x:v>
      </x:c>
      <x:c r="G540" s="11" t="str"/>
      <x:c r="H540" s="11" t="str">
        <x:v>Chưa xác minh nguồn định nghĩa trực tiếp</x:v>
      </x:c>
      <x:c r="I540" s="30" t="str"/>
      <x:c r="J540" s="11" t="str">
        <x:v>Chưa xác minh định nghĩa độc lập của nguyên biểu thức/nghĩa chọn trong ngôn ngữ này. </x:v>
      </x:c>
      <x:c r="K540" s="11" t="str">
        <x:v>2026-10-28</x:v>
      </x:c>
    </x:row>
    <x:row r="541" ht="57" customHeight="1">
      <x:c r="A541" s="11" t="str">
        <x:v>C092</x:v>
      </x:c>
      <x:c r="B541" s="11" t="str">
        <x:v>KO</x:v>
      </x:c>
      <x:c r="C541" s="11" t="str">
        <x:v>다변화</x:v>
      </x:c>
      <x:c r="D541" s="11" t="str">
        <x:v>CẦN TRA — chưa xác minh mục từ</x:v>
      </x:c>
      <x:c r="E541" s="11" t="str">
        <x:v>* Nghĩa làm việc; cần nguồn định nghĩa</x:v>
      </x:c>
      <x:c r="F541" s="11" t="str">
        <x:v>Chưa có nguồn</x:v>
      </x:c>
      <x:c r="G541" s="11" t="str"/>
      <x:c r="H541" s="11" t="str">
        <x:v>Chưa xác minh nguồn định nghĩa trực tiếp</x:v>
      </x:c>
      <x:c r="I541" s="30" t="str"/>
      <x:c r="J541" s="11" t="str">
        <x:v>Chưa xác minh định nghĩa độc lập của nguyên biểu thức/nghĩa chọn trong ngôn ngữ này. </x:v>
      </x:c>
      <x:c r="K541" s="11" t="str">
        <x:v>2026-10-28</x:v>
      </x:c>
    </x:row>
    <x:row r="542" ht="57" customHeight="1">
      <x:c r="A542" s="11" t="str">
        <x:v>C097</x:v>
      </x:c>
      <x:c r="B542" s="11" t="str">
        <x:v>VI</x:v>
      </x:c>
      <x:c r="C542" s="11" t="str">
        <x:v>quản trị đại dương</x:v>
      </x:c>
      <x:c r="D542" s="11" t="str">
        <x:v>CẦN TRA — chưa xác minh mục từ</x:v>
      </x:c>
      <x:c r="E542" s="11" t="str">
        <x:v>* Nghĩa làm việc; cần nguồn định nghĩa</x:v>
      </x:c>
      <x:c r="F542" s="11" t="str">
        <x:v>VI</x:v>
      </x:c>
      <x:c r="G542" s="11" t="str"/>
      <x:c r="H542" s="11" t="str">
        <x:v>Nghĩa làm việc đề xuất; chưa có nguồn định nghĩa trực tiếp</x:v>
      </x:c>
      <x:c r="I542" s="30" t="str"/>
      <x:c r="J542" s="11" t="str">
        <x:v>Chưa xác minh định nghĩa độc lập của nguyên biểu thức/nghĩa chọn trong ngôn ngữ này. </x:v>
      </x:c>
      <x:c r="K542" s="11" t="str">
        <x:v>2026-10-28</x:v>
      </x:c>
    </x:row>
    <x:row r="543" ht="57" customHeight="1">
      <x:c r="A543" s="11" t="str">
        <x:v>C097</x:v>
      </x:c>
      <x:c r="B543" s="11" t="str">
        <x:v>KO</x:v>
      </x:c>
      <x:c r="C543" s="11" t="str">
        <x:v>해양 거버넌스</x:v>
      </x:c>
      <x:c r="D543" s="11" t="str">
        <x:v>CẦN TRA — chưa xác minh mục từ</x:v>
      </x:c>
      <x:c r="E543" s="11" t="str">
        <x:v>* Nghĩa làm việc; cần nguồn định nghĩa</x:v>
      </x:c>
      <x:c r="F543" s="11" t="str">
        <x:v>VI</x:v>
      </x:c>
      <x:c r="G543" s="11" t="str"/>
      <x:c r="H543" s="11" t="str">
        <x:v>Diễn đạt tiếng Hàn từ nghĩa làm việc; Nghĩa làm việc đề xuất; chưa có nguồn định nghĩa trực tiếp</x:v>
      </x:c>
      <x:c r="I543" s="30" t="str"/>
      <x:c r="J543" s="11" t="str">
        <x:v>Chưa xác minh định nghĩa độc lập của nguyên biểu thức/nghĩa chọn trong ngôn ngữ này. </x:v>
      </x:c>
      <x:c r="K543" s="11" t="str">
        <x:v>2026-10-28</x:v>
      </x:c>
    </x:row>
    <x:row r="544" ht="57" customHeight="1">
      <x:c r="A544" s="11" t="str">
        <x:v>C099</x:v>
      </x:c>
      <x:c r="B544" s="11" t="str">
        <x:v>VI</x:v>
      </x:c>
      <x:c r="C544" s="11" t="str">
        <x:v>hợp tác song phương</x:v>
      </x:c>
      <x:c r="D544" s="11" t="str">
        <x:v>CẦN TRA — chưa xác minh mục từ</x:v>
      </x:c>
      <x:c r="E544" s="11" t="str">
        <x:v>* Nghĩa làm việc; cần nguồn định nghĩa</x:v>
      </x:c>
      <x:c r="F544" s="11" t="str">
        <x:v>VI</x:v>
      </x:c>
      <x:c r="G544" s="11" t="str"/>
      <x:c r="H544" s="11" t="str">
        <x:v>Nghĩa làm việc đề xuất; chưa có nguồn định nghĩa trực tiếp</x:v>
      </x:c>
      <x:c r="I544" s="30" t="str"/>
      <x:c r="J544" s="11" t="str">
        <x:v>Chưa xác minh định nghĩa độc lập của nguyên biểu thức/nghĩa chọn trong ngôn ngữ này. </x:v>
      </x:c>
      <x:c r="K544" s="11" t="str">
        <x:v>2026-10-28</x:v>
      </x:c>
    </x:row>
    <x:row r="545" ht="57" customHeight="1">
      <x:c r="A545" s="11" t="str">
        <x:v>C099</x:v>
      </x:c>
      <x:c r="B545" s="11" t="str">
        <x:v>KO</x:v>
      </x:c>
      <x:c r="C545" s="11" t="str">
        <x:v>양자 협력</x:v>
      </x:c>
      <x:c r="D545" s="11" t="str">
        <x:v>CẦN TRA — chưa xác minh mục từ</x:v>
      </x:c>
      <x:c r="E545" s="11" t="str">
        <x:v>* Nghĩa làm việc; cần nguồn định nghĩa</x:v>
      </x:c>
      <x:c r="F545" s="11" t="str">
        <x:v>VI</x:v>
      </x:c>
      <x:c r="G545" s="11" t="str"/>
      <x:c r="H545" s="11" t="str">
        <x:v>Diễn đạt tiếng Hàn từ nghĩa làm việc; Nghĩa làm việc đề xuất; chưa có nguồn định nghĩa trực tiếp</x:v>
      </x:c>
      <x:c r="I545" s="30" t="str"/>
      <x:c r="J545" s="11" t="str">
        <x:v>Chưa xác minh định nghĩa độc lập của nguyên biểu thức/nghĩa chọn trong ngôn ngữ này. </x:v>
      </x:c>
      <x:c r="K545" s="11" t="str">
        <x:v>2026-10-28</x:v>
      </x:c>
    </x:row>
    <x:row r="546" ht="57" customHeight="1">
      <x:c r="A546" s="11" t="str">
        <x:v>C100</x:v>
      </x:c>
      <x:c r="B546" s="11" t="str">
        <x:v>VI</x:v>
      </x:c>
      <x:c r="C546" s="11" t="str">
        <x:v>Ủy ban liên chính phủ</x:v>
      </x:c>
      <x:c r="D546" s="11" t="str">
        <x:v>CẦN TRA — chưa xác minh mục từ</x:v>
      </x:c>
      <x:c r="E546" s="11" t="str">
        <x:v>* Mô tả chính thức</x:v>
      </x:c>
      <x:c r="F546" s="11" t="str">
        <x:v>VI</x:v>
      </x:c>
      <x:c r="G546" s="11" t="str">
        <x:v>S217</x:v>
      </x:c>
      <x:c r="H546" s="11" t="str">
        <x:v>Văn phòng Chính phủ — Thành lập Phân ban Việt Nam trong các Ủy ban liên Chính phủ</x:v>
      </x:c>
      <x:c r="I546" s="30" t="str">
        <x:v>https://vpcp.chinhphu.vn/thanh-lap-phan-ban-viet-nam-trong-cac-uy-ban-lien-chinh-phu-11515680.htm</x:v>
      </x:c>
      <x:c r="J546" s="11" t="str">
        <x:v>Chưa xác minh định nghĩa độc lập của nguyên biểu thức/nghĩa chọn trong ngôn ngữ này. Nguồn dùng để đối chiếu khái niệm; phần giải nghĩa trong bảng được diễn giải, không trích nguyên văn.</x:v>
      </x:c>
      <x:c r="K546" s="11" t="str">
        <x:v>2026-10-28</x:v>
      </x:c>
    </x:row>
    <x:row r="547" ht="57" customHeight="1">
      <x:c r="A547" s="11" t="str">
        <x:v>C100</x:v>
      </x:c>
      <x:c r="B547" s="11" t="str">
        <x:v>KO</x:v>
      </x:c>
      <x:c r="C547" s="11" t="str">
        <x:v>정부 간 위원회</x:v>
      </x:c>
      <x:c r="D547" s="11" t="str">
        <x:v>CẦN TRA — chưa xác minh mục từ</x:v>
      </x:c>
      <x:c r="E547" s="11" t="str">
        <x:v>* Diễn giải mô tả VI</x:v>
      </x:c>
      <x:c r="F547" s="11" t="str">
        <x:v>VI</x:v>
      </x:c>
      <x:c r="G547" s="11" t="str">
        <x:v>S217</x:v>
      </x:c>
      <x:c r="H547" s="11" t="str">
        <x:v>Văn phòng Chính phủ — Thành lập Phân ban Việt Nam trong các Ủy ban liên Chính phủ</x:v>
      </x:c>
      <x:c r="I547" s="30" t="str">
        <x:v>https://vpcp.chinhphu.vn/thanh-lap-phan-ban-viet-nam-trong-cac-uy-ban-lien-chinh-phu-11515680.htm</x:v>
      </x:c>
      <x:c r="J547" s="11" t="str">
        <x:v>Chưa xác minh định nghĩa độc lập của nguyên biểu thức/nghĩa chọn trong ngôn ngữ này. Nguồn dùng để đối chiếu khái niệm; phần giải nghĩa trong bảng được diễn giải, không trích nguyên văn.</x:v>
      </x:c>
      <x:c r="K547" s="11" t="str">
        <x:v>2026-10-28</x:v>
      </x:c>
    </x:row>
    <x:row r="548" ht="57" customHeight="1">
      <x:c r="A548" s="11" t="str">
        <x:v>C101</x:v>
      </x:c>
      <x:c r="B548" s="11" t="str">
        <x:v>VI</x:v>
      </x:c>
      <x:c r="C548" s="11" t="str">
        <x:v>Ủy ban hỗn hợp</x:v>
      </x:c>
      <x:c r="D548" s="11" t="str">
        <x:v>CẦN TRA — chưa xác minh mục từ</x:v>
      </x:c>
      <x:c r="E548" s="11" t="str">
        <x:v>* Mô tả chính thức</x:v>
      </x:c>
      <x:c r="F548" s="11" t="str">
        <x:v>VI</x:v>
      </x:c>
      <x:c r="G548" s="11" t="str">
        <x:v>S217</x:v>
      </x:c>
      <x:c r="H548" s="11" t="str">
        <x:v>Văn phòng Chính phủ — Thành lập Phân ban Việt Nam trong các Ủy ban liên Chính phủ</x:v>
      </x:c>
      <x:c r="I548" s="30" t="str">
        <x:v>https://vpcp.chinhphu.vn/thanh-lap-phan-ban-viet-nam-trong-cac-uy-ban-lien-chinh-phu-11515680.htm</x:v>
      </x:c>
      <x:c r="J548" s="11" t="str">
        <x:v>Chưa xác minh định nghĩa độc lập của nguyên biểu thức/nghĩa chọn trong ngôn ngữ này. Nguồn dùng để đối chiếu khái niệm; phần giải nghĩa trong bảng được diễn giải, không trích nguyên văn.</x:v>
      </x:c>
      <x:c r="K548" s="11" t="str">
        <x:v>2026-10-28</x:v>
      </x:c>
    </x:row>
    <x:row r="549" ht="57" customHeight="1">
      <x:c r="A549" s="11" t="str">
        <x:v>C101</x:v>
      </x:c>
      <x:c r="B549" s="11" t="str">
        <x:v>KO</x:v>
      </x:c>
      <x:c r="C549" s="11" t="str">
        <x:v>공동위원회</x:v>
      </x:c>
      <x:c r="D549" s="11" t="str">
        <x:v>CẦN TRA — chưa xác minh mục từ</x:v>
      </x:c>
      <x:c r="E549" s="11" t="str">
        <x:v>* Diễn giải mô tả VI</x:v>
      </x:c>
      <x:c r="F549" s="11" t="str">
        <x:v>VI</x:v>
      </x:c>
      <x:c r="G549" s="11" t="str">
        <x:v>S217</x:v>
      </x:c>
      <x:c r="H549" s="11" t="str">
        <x:v>Văn phòng Chính phủ — Thành lập Phân ban Việt Nam trong các Ủy ban liên Chính phủ</x:v>
      </x:c>
      <x:c r="I549" s="30" t="str">
        <x:v>https://vpcp.chinhphu.vn/thanh-lap-phan-ban-viet-nam-trong-cac-uy-ban-lien-chinh-phu-11515680.htm</x:v>
      </x:c>
      <x:c r="J549" s="11" t="str">
        <x:v>Chưa xác minh định nghĩa độc lập của nguyên biểu thức/nghĩa chọn trong ngôn ngữ này. Nguồn dùng để đối chiếu khái niệm; phần giải nghĩa trong bảng được diễn giải, không trích nguyên văn.</x:v>
      </x:c>
      <x:c r="K549" s="11" t="str">
        <x:v>2026-10-28</x:v>
      </x:c>
    </x:row>
    <x:row r="550" ht="57" customHeight="1">
      <x:c r="A550" s="11" t="str">
        <x:v>C102</x:v>
      </x:c>
      <x:c r="B550" s="11" t="str">
        <x:v>VI</x:v>
      </x:c>
      <x:c r="C550" s="11" t="str">
        <x:v>Tham khảo chính trị</x:v>
      </x:c>
      <x:c r="D550" s="11" t="str">
        <x:v>CẦN TRA — chưa xác minh mục từ</x:v>
      </x:c>
      <x:c r="E550" s="11" t="str">
        <x:v>* Nghĩa làm việc; cần nguồn định nghĩa</x:v>
      </x:c>
      <x:c r="F550" s="11" t="str">
        <x:v>VI</x:v>
      </x:c>
      <x:c r="G550" s="11" t="str"/>
      <x:c r="H550" s="11" t="str">
        <x:v>Nghĩa làm việc đề xuất; chưa có nguồn định nghĩa trực tiếp</x:v>
      </x:c>
      <x:c r="I550" s="30" t="str"/>
      <x:c r="J550" s="11" t="str">
        <x:v>Chưa xác minh định nghĩa độc lập của nguyên biểu thức/nghĩa chọn trong ngôn ngữ này. </x:v>
      </x:c>
      <x:c r="K550" s="11" t="str">
        <x:v>2026-10-28</x:v>
      </x:c>
    </x:row>
    <x:row r="551" ht="57" customHeight="1">
      <x:c r="A551" s="11" t="str">
        <x:v>C102</x:v>
      </x:c>
      <x:c r="B551" s="11" t="str">
        <x:v>KO</x:v>
      </x:c>
      <x:c r="C551" s="11" t="str">
        <x:v>정치 협의</x:v>
      </x:c>
      <x:c r="D551" s="11" t="str">
        <x:v>CẦN TRA — chưa xác minh mục từ</x:v>
      </x:c>
      <x:c r="E551" s="11" t="str">
        <x:v>* Nghĩa làm việc; cần nguồn định nghĩa</x:v>
      </x:c>
      <x:c r="F551" s="11" t="str">
        <x:v>VI</x:v>
      </x:c>
      <x:c r="G551" s="11" t="str"/>
      <x:c r="H551" s="11" t="str">
        <x:v>Diễn đạt tiếng Hàn từ nghĩa làm việc; Nghĩa làm việc đề xuất; chưa có nguồn định nghĩa trực tiếp</x:v>
      </x:c>
      <x:c r="I551" s="30" t="str"/>
      <x:c r="J551" s="11" t="str">
        <x:v>Chưa xác minh định nghĩa độc lập của nguyên biểu thức/nghĩa chọn trong ngôn ngữ này. </x:v>
      </x:c>
      <x:c r="K551" s="11" t="str">
        <x:v>2026-10-28</x:v>
      </x:c>
    </x:row>
    <x:row r="552" ht="57" customHeight="1">
      <x:c r="A552" s="11" t="str">
        <x:v>C104</x:v>
      </x:c>
      <x:c r="B552" s="11" t="str">
        <x:v>VI</x:v>
      </x:c>
      <x:c r="C552" s="11" t="str">
        <x:v>Cộng đồng ASEAN</x:v>
      </x:c>
      <x:c r="D552" s="11" t="str">
        <x:v>Tên riêng: có nguồn về đối tượng</x:v>
      </x:c>
      <x:c r="E552" s="11" t="str">
        <x:v>* Diễn giải mô tả EN</x:v>
      </x:c>
      <x:c r="F552" s="11" t="str">
        <x:v>EN</x:v>
      </x:c>
      <x:c r="G552" s="11" t="str">
        <x:v>S218</x:v>
      </x:c>
      <x:c r="H552" s="11" t="str">
        <x:v>ASEAN — ASEAN Community Fact Sheet 2023</x:v>
      </x:c>
      <x:c r="I552" s="30" t="str">
        <x:v>https://asean.org/wp-content/uploads/2023/12/ASEAN-Community-Fact-Sheet-2023-FINAL.pdf</x:v>
      </x:c>
      <x:c r="J552" s="11" t="str">
        <x:v>Chưa xác minh định nghĩa độc lập của nguyên biểu thức/nghĩa chọn trong ngôn ngữ này. Mô tả cộng đồng ASEAN dựa trên ba trụ cột; không khẳng định một tổ chức độc lập mới.</x:v>
      </x:c>
      <x:c r="K552" s="11" t="str">
        <x:v>2026-10-28</x:v>
      </x:c>
    </x:row>
    <x:row r="553" ht="57" customHeight="1">
      <x:c r="A553" s="11" t="str">
        <x:v>C104</x:v>
      </x:c>
      <x:c r="B553" s="11" t="str">
        <x:v>KO</x:v>
      </x:c>
      <x:c r="C553" s="11" t="str">
        <x:v>아세안 공동체</x:v>
      </x:c>
      <x:c r="D553" s="11" t="str">
        <x:v>Tên riêng: có nguồn về đối tượng</x:v>
      </x:c>
      <x:c r="E553" s="11" t="str">
        <x:v>* Diễn giải mô tả EN</x:v>
      </x:c>
      <x:c r="F553" s="11" t="str">
        <x:v>EN</x:v>
      </x:c>
      <x:c r="G553" s="11" t="str">
        <x:v>S218</x:v>
      </x:c>
      <x:c r="H553" s="11" t="str">
        <x:v>ASEAN — ASEAN Community Fact Sheet 2023</x:v>
      </x:c>
      <x:c r="I553" s="30" t="str">
        <x:v>https://asean.org/wp-content/uploads/2023/12/ASEAN-Community-Fact-Sheet-2023-FINAL.pdf</x:v>
      </x:c>
      <x:c r="J553" s="11" t="str">
        <x:v>Chưa xác minh định nghĩa độc lập của nguyên biểu thức/nghĩa chọn trong ngôn ngữ này. Mô tả cộng đồng ASEAN dựa trên ba trụ cột; không khẳng định một tổ chức độc lập mới.</x:v>
      </x:c>
      <x:c r="K553" s="11" t="str">
        <x:v>2026-10-28</x:v>
      </x:c>
    </x:row>
    <x:row r="554" ht="57" customHeight="1">
      <x:c r="A554" s="11" t="str">
        <x:v>C105</x:v>
      </x:c>
      <x:c r="B554" s="11" t="str">
        <x:v>VI</x:v>
      </x:c>
      <x:c r="C554" s="11" t="str">
        <x:v>Đối thoại Shangri-la</x:v>
      </x:c>
      <x:c r="D554" s="11" t="str">
        <x:v>Tên riêng: có nguồn về đối tượng</x:v>
      </x:c>
      <x:c r="E554" s="11" t="str">
        <x:v>* Diễn giải mô tả EN</x:v>
      </x:c>
      <x:c r="F554" s="11" t="str">
        <x:v>EN</x:v>
      </x:c>
      <x:c r="G554" s="11" t="str">
        <x:v>S219</x:v>
      </x:c>
      <x:c r="H554" s="11" t="str">
        <x:v>IISS — Shangri-La Dialogue 2025, thông tin hội nghị và Notes for Editors</x:v>
      </x:c>
      <x:c r="I554" s="30" t="str">
        <x:v>https://www.iiss.org/press/20252/1/shangri-la-dialogue-2025-keynote-speaker-announcement/</x:v>
      </x:c>
      <x:c r="J554" s="11" t="str">
        <x:v>Chưa xác minh định nghĩa độc lập của nguyên biểu thức/nghĩa chọn trong ngôn ngữ này. Đơn vị tổ chức mô tả hội nghị đối thoại quốc phòng tại Singapore; hỗ trợ nghĩa sự kiện.</x:v>
      </x:c>
      <x:c r="K554" s="11" t="str">
        <x:v>2026-10-28</x:v>
      </x:c>
    </x:row>
    <x:row r="555" ht="57" customHeight="1">
      <x:c r="A555" s="11" t="str">
        <x:v>C105</x:v>
      </x:c>
      <x:c r="B555" s="11" t="str">
        <x:v>KO</x:v>
      </x:c>
      <x:c r="C555" s="11" t="str">
        <x:v>샹그릴라 대화</x:v>
      </x:c>
      <x:c r="D555" s="11" t="str">
        <x:v>Tên riêng: có nguồn về đối tượng</x:v>
      </x:c>
      <x:c r="E555" s="11" t="str">
        <x:v>* Diễn giải mô tả EN</x:v>
      </x:c>
      <x:c r="F555" s="11" t="str">
        <x:v>EN</x:v>
      </x:c>
      <x:c r="G555" s="11" t="str">
        <x:v>S219</x:v>
      </x:c>
      <x:c r="H555" s="11" t="str">
        <x:v>IISS — Shangri-La Dialogue 2025, thông tin hội nghị và Notes for Editors</x:v>
      </x:c>
      <x:c r="I555" s="30" t="str">
        <x:v>https://www.iiss.org/press/20252/1/shangri-la-dialogue-2025-keynote-speaker-announcement/</x:v>
      </x:c>
      <x:c r="J555" s="11" t="str">
        <x:v>Chưa xác minh định nghĩa độc lập của nguyên biểu thức/nghĩa chọn trong ngôn ngữ này. Đơn vị tổ chức mô tả hội nghị đối thoại quốc phòng tại Singapore; hỗ trợ nghĩa sự kiện.</x:v>
      </x:c>
      <x:c r="K555" s="11" t="str">
        <x:v>2026-10-28</x:v>
      </x:c>
    </x:row>
    <x:row r="556" ht="57" customHeight="1">
      <x:c r="A556" s="11" t="str">
        <x:v>C107</x:v>
      </x:c>
      <x:c r="B556" s="11" t="str">
        <x:v>VI</x:v>
      </x:c>
      <x:c r="C556" s="11" t="str">
        <x:v>hợp tác Mekong-Lan Thương</x:v>
      </x:c>
      <x:c r="D556" s="11" t="str">
        <x:v>Tên riêng: có nguồn về đối tượng</x:v>
      </x:c>
      <x:c r="E556" s="11" t="str">
        <x:v>* Mô tả chính thức</x:v>
      </x:c>
      <x:c r="F556" s="11" t="str">
        <x:v>VI</x:v>
      </x:c>
      <x:c r="G556" s="11" t="str">
        <x:v>S220</x:v>
      </x:c>
      <x:c r="H556" s="11" t="str">
        <x:v>Bộ Ngoại giao — Hợp tác Mê Công–Lan Thương: Một thập kỷ cùng kiến tạo tương lai bền vững</x:v>
      </x:c>
      <x:c r="I556" s="30" t="str">
        <x:v>https://web.mofa.gov.vn/web/guest/tin-chi-tiet/chi-tiet/hop-tac-me-cong-lan-thuong-mot-thap-ky-cung-kien-tao-tuong-lai-ben-vung-59216-1073.html</x:v>
      </x:c>
      <x:c r="J556" s="11" t="str">
        <x:v>Chưa xác minh định nghĩa độc lập của nguyên biểu thức/nghĩa chọn trong ngôn ngữ này. Mô tả cơ chế hợp tác sáu nước ven sông; tên cơ chế khác các hoạt động trong cơ chế.</x:v>
      </x:c>
      <x:c r="K556" s="11" t="str">
        <x:v>2026-10-28</x:v>
      </x:c>
    </x:row>
    <x:row r="557" ht="57" customHeight="1">
      <x:c r="A557" s="11" t="str">
        <x:v>C107</x:v>
      </x:c>
      <x:c r="B557" s="11" t="str">
        <x:v>KO</x:v>
      </x:c>
      <x:c r="C557" s="11" t="str">
        <x:v>메콩-란창 협력</x:v>
      </x:c>
      <x:c r="D557" s="11" t="str">
        <x:v>Tên riêng: có nguồn về đối tượng</x:v>
      </x:c>
      <x:c r="E557" s="11" t="str">
        <x:v>* Diễn giải mô tả VI</x:v>
      </x:c>
      <x:c r="F557" s="11" t="str">
        <x:v>VI</x:v>
      </x:c>
      <x:c r="G557" s="11" t="str">
        <x:v>S220</x:v>
      </x:c>
      <x:c r="H557" s="11" t="str">
        <x:v>Bộ Ngoại giao — Hợp tác Mê Công–Lan Thương: Một thập kỷ cùng kiến tạo tương lai bền vững</x:v>
      </x:c>
      <x:c r="I557" s="30" t="str">
        <x:v>https://web.mofa.gov.vn/web/guest/tin-chi-tiet/chi-tiet/hop-tac-me-cong-lan-thuong-mot-thap-ky-cung-kien-tao-tuong-lai-ben-vung-59216-1073.html</x:v>
      </x:c>
      <x:c r="J557" s="11" t="str">
        <x:v>Chưa xác minh định nghĩa độc lập của nguyên biểu thức/nghĩa chọn trong ngôn ngữ này. Mô tả cơ chế hợp tác sáu nước ven sông; tên cơ chế khác các hoạt động trong cơ chế.</x:v>
      </x:c>
      <x:c r="K557" s="11" t="str">
        <x:v>2026-10-28</x:v>
      </x:c>
    </x:row>
    <x:row r="558" ht="57" customHeight="1">
      <x:c r="A558" s="11" t="str">
        <x:v>C108</x:v>
      </x:c>
      <x:c r="B558" s="11" t="str">
        <x:v>VI</x:v>
      </x:c>
      <x:c r="C558" s="11" t="str">
        <x:v>Ủy ban chỉ đạo hợp tác song phương</x:v>
      </x:c>
      <x:c r="D558" s="11" t="str">
        <x:v>CẦN TRA — chưa xác minh mục từ</x:v>
      </x:c>
      <x:c r="E558" s="11" t="str">
        <x:v>* Mô tả chính thức</x:v>
      </x:c>
      <x:c r="F558" s="11" t="str">
        <x:v>VI</x:v>
      </x:c>
      <x:c r="G558" s="11" t="str">
        <x:v>S217</x:v>
      </x:c>
      <x:c r="H558" s="11" t="str">
        <x:v>Văn phòng Chính phủ — Thành lập Phân ban Việt Nam trong các Ủy ban liên Chính phủ</x:v>
      </x:c>
      <x:c r="I558" s="30" t="str">
        <x:v>https://vpcp.chinhphu.vn/thanh-lap-phan-ban-viet-nam-trong-cac-uy-ban-lien-chinh-phu-11515680.htm</x:v>
      </x:c>
      <x:c r="J558" s="11" t="str">
        <x:v>Chưa xác minh định nghĩa độc lập của nguyên biểu thức/nghĩa chọn trong ngôn ngữ này. Nguồn dùng để đối chiếu khái niệm; phần giải nghĩa trong bảng được diễn giải, không trích nguyên văn.</x:v>
      </x:c>
      <x:c r="K558" s="11" t="str">
        <x:v>2026-10-28</x:v>
      </x:c>
    </x:row>
    <x:row r="559" ht="57" customHeight="1">
      <x:c r="A559" s="11" t="str">
        <x:v>C108</x:v>
      </x:c>
      <x:c r="B559" s="11" t="str">
        <x:v>KO</x:v>
      </x:c>
      <x:c r="C559" s="11" t="str">
        <x:v>양자협력지도위원회</x:v>
      </x:c>
      <x:c r="D559" s="11" t="str">
        <x:v>CẦN TRA — chưa xác minh mục từ</x:v>
      </x:c>
      <x:c r="E559" s="11" t="str">
        <x:v>* Diễn giải mô tả VI</x:v>
      </x:c>
      <x:c r="F559" s="11" t="str">
        <x:v>VI</x:v>
      </x:c>
      <x:c r="G559" s="11" t="str">
        <x:v>S217</x:v>
      </x:c>
      <x:c r="H559" s="11" t="str">
        <x:v>Văn phòng Chính phủ — Thành lập Phân ban Việt Nam trong các Ủy ban liên Chính phủ</x:v>
      </x:c>
      <x:c r="I559" s="30" t="str">
        <x:v>https://vpcp.chinhphu.vn/thanh-lap-phan-ban-viet-nam-trong-cac-uy-ban-lien-chinh-phu-11515680.htm</x:v>
      </x:c>
      <x:c r="J559" s="11" t="str">
        <x:v>Chưa xác minh định nghĩa độc lập của nguyên biểu thức/nghĩa chọn trong ngôn ngữ này. Nguồn dùng để đối chiếu khái niệm; phần giải nghĩa trong bảng được diễn giải, không trích nguyên văn.</x:v>
      </x:c>
      <x:c r="K559" s="11" t="str">
        <x:v>2026-10-28</x:v>
      </x:c>
    </x:row>
    <x:row r="560" ht="57" customHeight="1">
      <x:c r="A560" s="11" t="str">
        <x:v>C109</x:v>
      </x:c>
      <x:c r="B560" s="11" t="str">
        <x:v>VI</x:v>
      </x:c>
      <x:c r="C560" s="11" t="str">
        <x:v>đàm phán</x:v>
      </x:c>
      <x:c r="D560" s="11" t="str">
        <x:v>CẦN TRA — chưa xác minh mục từ</x:v>
      </x:c>
      <x:c r="E560" s="11" t="str">
        <x:v>* Nghĩa làm việc; cần nguồn định nghĩa</x:v>
      </x:c>
      <x:c r="F560" s="11" t="str">
        <x:v>VI</x:v>
      </x:c>
      <x:c r="G560" s="11" t="str"/>
      <x:c r="H560" s="11" t="str">
        <x:v>Nghĩa làm việc đề xuất; chưa có nguồn định nghĩa trực tiếp</x:v>
      </x:c>
      <x:c r="I560" s="30" t="str"/>
      <x:c r="J560" s="11" t="str">
        <x:v>Chưa xác minh định nghĩa độc lập của nguyên biểu thức/nghĩa chọn trong ngôn ngữ này. </x:v>
      </x:c>
      <x:c r="K560" s="11" t="str">
        <x:v>2026-10-28</x:v>
      </x:c>
    </x:row>
    <x:row r="561" ht="57" customHeight="1">
      <x:c r="A561" s="11" t="str">
        <x:v>C109</x:v>
      </x:c>
      <x:c r="B561" s="11" t="str">
        <x:v>KO</x:v>
      </x:c>
      <x:c r="C561" s="11" t="str">
        <x:v>협상</x:v>
      </x:c>
      <x:c r="D561" s="11" t="str">
        <x:v>Có mục từ và đã đọc nghĩa</x:v>
      </x:c>
      <x:c r="E561" s="11" t="str">
        <x:v>Mục từ có nghĩa [KO]</x:v>
      </x:c>
      <x:c r="F561" s="11" t="str">
        <x:v>KO</x:v>
      </x:c>
      <x:c r="G561" s="11" t="str">
        <x:v>S221</x:v>
      </x:c>
      <x:c r="H561" s="11" t="str">
        <x:v>국립국어원 한국어기초사전 — 협상</x:v>
      </x:c>
      <x:c r="I561" s="30" t="str">
        <x:v>https://krdict.korean.go.kr/eng/dicSearch/SearchView?ParaWordNo=90592&amp;captchaNumber=&amp;commentTitle=&amp;comment_user_name=&amp;divSearch=defViewGlobal&amp;nation=eng&amp;nationCode=6&amp;viewTypes=on&amp;wordComment=</x:v>
      </x:c>
      <x:c r="J561" s="11" t="str">
        <x:v>Đã đọc nguồn giải nghĩa bằng ngôn ngữ này; vẫn đối chiếu nghĩa chọn và ghi chú.</x:v>
      </x:c>
      <x:c r="K561" s="11" t="str">
        <x:v>2026-10-28</x:v>
      </x:c>
    </x:row>
    <x:row r="562" ht="57" customHeight="1">
      <x:c r="A562" s="11" t="str">
        <x:v>C110</x:v>
      </x:c>
      <x:c r="B562" s="11" t="str">
        <x:v>VI</x:v>
      </x:c>
      <x:c r="C562" s="11" t="str">
        <x:v>phê chuẩn</x:v>
      </x:c>
      <x:c r="D562" s="11" t="str">
        <x:v>CẦN TRA — chưa xác minh mục từ</x:v>
      </x:c>
      <x:c r="E562" s="11" t="str">
        <x:v>* Nghĩa làm việc; cần nguồn định nghĩa</x:v>
      </x:c>
      <x:c r="F562" s="11" t="str">
        <x:v>VI</x:v>
      </x:c>
      <x:c r="G562" s="11" t="str"/>
      <x:c r="H562" s="11" t="str">
        <x:v>Nghĩa làm việc đề xuất; chưa có nguồn định nghĩa trực tiếp</x:v>
      </x:c>
      <x:c r="I562" s="30" t="str"/>
      <x:c r="J562" s="11" t="str">
        <x:v>Chưa xác minh định nghĩa độc lập của nguyên biểu thức/nghĩa chọn trong ngôn ngữ này. </x:v>
      </x:c>
      <x:c r="K562" s="11" t="str">
        <x:v>2026-10-28</x:v>
      </x:c>
    </x:row>
    <x:row r="563" ht="57" customHeight="1">
      <x:c r="A563" s="11" t="str">
        <x:v>C110</x:v>
      </x:c>
      <x:c r="B563" s="11" t="str">
        <x:v>KO</x:v>
      </x:c>
      <x:c r="C563" s="11" t="str">
        <x:v>비준</x:v>
      </x:c>
      <x:c r="D563" s="11" t="str">
        <x:v>Có mục từ và đã đọc nghĩa</x:v>
      </x:c>
      <x:c r="E563" s="11" t="str">
        <x:v>Mục từ có nghĩa [KO]</x:v>
      </x:c>
      <x:c r="F563" s="11" t="str">
        <x:v>KO</x:v>
      </x:c>
      <x:c r="G563" s="11" t="str">
        <x:v>S222</x:v>
      </x:c>
      <x:c r="H563" s="11" t="str">
        <x:v>국립국어원 한국어기초사전 — 비준</x:v>
      </x:c>
      <x:c r="I563" s="30" t="str">
        <x:v>https://krdict.korean.go.kr/eng/dicSearch/SearchView?ParaWordNo=60759</x:v>
      </x:c>
      <x:c r="J563" s="11" t="str">
        <x:v>Đã đọc nguồn giải nghĩa bằng ngôn ngữ này; vẫn đối chiếu nghĩa chọn và ghi chú.</x:v>
      </x:c>
      <x:c r="K563" s="11" t="str">
        <x:v>2026-10-28</x:v>
      </x:c>
    </x:row>
    <x:row r="564" ht="57" customHeight="1">
      <x:c r="A564" s="11" t="str">
        <x:v>C114</x:v>
      </x:c>
      <x:c r="B564" s="11" t="str">
        <x:v>VI</x:v>
      </x:c>
      <x:c r="C564" s="11" t="str">
        <x:v>hoạt động gìn giữ hòa bình</x:v>
      </x:c>
      <x:c r="D564" s="11" t="str">
        <x:v>CẦN TRA — chưa xác minh mục từ</x:v>
      </x:c>
      <x:c r="E564" s="11" t="str">
        <x:v>* Diễn giải mô tả EN</x:v>
      </x:c>
      <x:c r="F564" s="11" t="str">
        <x:v>EN</x:v>
      </x:c>
      <x:c r="G564" s="11" t="str">
        <x:v>S223</x:v>
      </x:c>
      <x:c r="H564" s="11" t="str">
        <x:v>United Nations Peacekeeping — What is peacekeeping?</x:v>
      </x:c>
      <x:c r="I564" s="30" t="str">
        <x:v>https://peacekeeping.un.org/en/what-is-peacekeeping</x:v>
      </x:c>
      <x:c r="J564" s="11" t="str">
        <x:v>Chưa xác minh định nghĩa độc lập của nguyên biểu thức/nghĩa chọn trong ngôn ngữ này. Mô tả nhiệm vụ giúp các nước chuyển từ xung đột tới hòa bình.</x:v>
      </x:c>
      <x:c r="K564" s="11" t="str">
        <x:v>2026-10-28</x:v>
      </x:c>
    </x:row>
    <x:row r="565" ht="57" customHeight="1">
      <x:c r="A565" s="11" t="str">
        <x:v>C114</x:v>
      </x:c>
      <x:c r="B565" s="11" t="str">
        <x:v>KO</x:v>
      </x:c>
      <x:c r="C565" s="11" t="str">
        <x:v>평화유지활동</x:v>
      </x:c>
      <x:c r="D565" s="11" t="str">
        <x:v>CẦN TRA — chưa xác minh mục từ</x:v>
      </x:c>
      <x:c r="E565" s="11" t="str">
        <x:v>* Diễn giải mô tả EN</x:v>
      </x:c>
      <x:c r="F565" s="11" t="str">
        <x:v>EN</x:v>
      </x:c>
      <x:c r="G565" s="11" t="str">
        <x:v>S223</x:v>
      </x:c>
      <x:c r="H565" s="11" t="str">
        <x:v>United Nations Peacekeeping — What is peacekeeping?</x:v>
      </x:c>
      <x:c r="I565" s="30" t="str">
        <x:v>https://peacekeeping.un.org/en/what-is-peacekeeping</x:v>
      </x:c>
      <x:c r="J565" s="11" t="str">
        <x:v>Chưa xác minh định nghĩa độc lập của nguyên biểu thức/nghĩa chọn trong ngôn ngữ này. Mô tả nhiệm vụ giúp các nước chuyển từ xung đột tới hòa bình.</x:v>
      </x:c>
      <x:c r="K565" s="11" t="str">
        <x:v>2026-10-28</x:v>
      </x:c>
    </x:row>
    <x:row r="566" ht="57" customHeight="1">
      <x:c r="A566" s="11" t="str">
        <x:v>C117</x:v>
      </x:c>
      <x:c r="B566" s="11" t="str">
        <x:v>VI</x:v>
      </x:c>
      <x:c r="C566" s="11" t="str">
        <x:v>bảo hộ công dân</x:v>
      </x:c>
      <x:c r="D566" s="11" t="str">
        <x:v>CẦN TRA — chưa xác minh mục từ</x:v>
      </x:c>
      <x:c r="E566" s="11" t="str">
        <x:v>* Nghĩa làm việc; cần nguồn định nghĩa</x:v>
      </x:c>
      <x:c r="F566" s="11" t="str">
        <x:v>VI</x:v>
      </x:c>
      <x:c r="G566" s="11" t="str"/>
      <x:c r="H566" s="11" t="str">
        <x:v>Nghĩa làm việc đề xuất; chưa có nguồn định nghĩa trực tiếp</x:v>
      </x:c>
      <x:c r="I566" s="30" t="str"/>
      <x:c r="J566" s="11" t="str">
        <x:v>Chưa xác minh định nghĩa độc lập của nguyên biểu thức/nghĩa chọn trong ngôn ngữ này. </x:v>
      </x:c>
      <x:c r="K566" s="11" t="str">
        <x:v>2026-10-28</x:v>
      </x:c>
    </x:row>
    <x:row r="567" ht="57" customHeight="1">
      <x:c r="A567" s="11" t="str">
        <x:v>C117</x:v>
      </x:c>
      <x:c r="B567" s="11" t="str">
        <x:v>KO</x:v>
      </x:c>
      <x:c r="C567" s="11" t="str">
        <x:v>영사 보호</x:v>
      </x:c>
      <x:c r="D567" s="11" t="str">
        <x:v>CẦN TRA — chưa xác minh mục từ</x:v>
      </x:c>
      <x:c r="E567" s="11" t="str">
        <x:v>* Mô tả chính thức</x:v>
      </x:c>
      <x:c r="F567" s="11" t="str">
        <x:v>KO</x:v>
      </x:c>
      <x:c r="G567" s="11" t="str">
        <x:v>S224</x:v>
      </x:c>
      <x:c r="H567" s="11" t="str">
        <x:v>Tổng Lãnh sự quán Hàn Quốc tại Thượng Hải — 2025년 화동지역 영사협력원 워크숍</x:v>
      </x:c>
      <x:c r="I567" s="30" t="str">
        <x:v>https://shanghai.mofa.go.kr/cn-shanghai-ko/brd/m_486/view.do?page=1&amp;seq=1346205</x:v>
      </x:c>
      <x:c r="J567" s="11" t="str">
        <x:v>Chưa xác minh định nghĩa độc lập của nguyên biểu thức/nghĩa chọn trong ngôn ngữ này. Công tác 영사보호 gắn với an toàn công dân ở nước ngoài; nguồn cách dùng, không định nghĩa toàn diện.</x:v>
      </x:c>
      <x:c r="K567" s="11" t="str">
        <x:v>2026-10-28</x:v>
      </x:c>
    </x:row>
    <x:row r="568" ht="57" customHeight="1">
      <x:c r="A568" s="11" t="str">
        <x:v>C122</x:v>
      </x:c>
      <x:c r="B568" s="11" t="str">
        <x:v>VI</x:v>
      </x:c>
      <x:c r="C568" s="11" t="str">
        <x:v>lễ mở ký</x:v>
      </x:c>
      <x:c r="D568" s="11" t="str">
        <x:v>CẦN TRA — chưa xác minh mục từ</x:v>
      </x:c>
      <x:c r="E568" s="11" t="str">
        <x:v>* Diễn giải mô tả EN</x:v>
      </x:c>
      <x:c r="F568" s="11" t="str">
        <x:v>EN</x:v>
      </x:c>
      <x:c r="G568" s="11" t="str">
        <x:v>S225</x:v>
      </x:c>
      <x:c r="H568" s="11" t="str">
        <x:v>UN Office of Legal Affairs — Convention against Cybercrime opens for signature in Hanoi</x:v>
      </x:c>
      <x:c r="I568" s="30" t="str">
        <x:v>https://www.un.org/ola/en/news/united-nations-convention-against-cybercrime-opens-signature-hanoi</x:v>
      </x:c>
      <x:c r="J568" s="11" t="str">
        <x:v>Chưa xác minh định nghĩa độc lập của nguyên biểu thức/nghĩa chọn trong ngôn ngữ này. Mô tả lễ mở ký cụ thể; không xác nhận 서명식 trong mọi ngữ cảnh đều có nghĩa mở ký.</x:v>
      </x:c>
      <x:c r="K568" s="11" t="str">
        <x:v>2026-10-28</x:v>
      </x:c>
    </x:row>
    <x:row r="569" ht="57" customHeight="1">
      <x:c r="A569" s="11" t="str">
        <x:v>C122</x:v>
      </x:c>
      <x:c r="B569" s="11" t="str">
        <x:v>KO</x:v>
      </x:c>
      <x:c r="C569" s="11" t="str">
        <x:v>서명식</x:v>
      </x:c>
      <x:c r="D569" s="11" t="str">
        <x:v>CẦN TRA — chưa xác minh mục từ</x:v>
      </x:c>
      <x:c r="E569" s="11" t="str">
        <x:v>* Nghĩa làm việc; cần nguồn định nghĩa</x:v>
      </x:c>
      <x:c r="F569" s="11" t="str">
        <x:v>VI</x:v>
      </x:c>
      <x:c r="G569" s="11" t="str"/>
      <x:c r="H569" s="11" t="str">
        <x:v>Diễn đạt tiếng Hàn từ nghĩa làm việc; Nghĩa làm việc đề xuất; chưa có nguồn định nghĩa trực tiếp</x:v>
      </x:c>
      <x:c r="I569" s="30" t="str"/>
      <x:c r="J569" s="11" t="str">
        <x:v>Chưa xác minh định nghĩa độc lập của nguyên biểu thức/nghĩa chọn trong ngôn ngữ này. </x:v>
      </x:c>
      <x:c r="K569" s="11" t="str">
        <x:v>2026-10-28</x:v>
      </x:c>
    </x:row>
    <x:row r="570" ht="57" customHeight="1">
      <x:c r="A570" s="11" t="str">
        <x:v>C123</x:v>
      </x:c>
      <x:c r="B570" s="11" t="str">
        <x:v>VI</x:v>
      </x:c>
      <x:c r="C570" s="11" t="str">
        <x:v>tương trợ tư pháp</x:v>
      </x:c>
      <x:c r="D570" s="11" t="str">
        <x:v>CẦN TRA — chưa xác minh mục từ</x:v>
      </x:c>
      <x:c r="E570" s="11" t="str">
        <x:v>Diễn giải từ mục từ KO; cần nguồn VI</x:v>
      </x:c>
      <x:c r="F570" s="11" t="str">
        <x:v>KO</x:v>
      </x:c>
      <x:c r="G570" s="11" t="str">
        <x:v>S226</x:v>
      </x:c>
      <x:c r="H570" s="11" t="str">
        <x:v>국립국어원 온용어: 국제사법공조 — 한국법제연구원 법령 용어 사례집</x:v>
      </x:c>
      <x:c r="I570" s="30" t="str">
        <x:v>https://kli.korean.go.kr/term/trgtWord/indexTrgtWord.do?trgtWordNo=220935</x:v>
      </x:c>
      <x:c r="J570" s="11" t="str">
        <x:v>Chưa xác minh định nghĩa độc lập của nguyên biểu thức/nghĩa chọn trong ngôn ngữ này. Mục tìm được là 국제사법공조, không đúng toàn bộ hình thức 사법공조; hỗ trợ nghĩa tương trợ quốc tế trong tố tụng.</x:v>
      </x:c>
      <x:c r="K570" s="11" t="str">
        <x:v>2026-10-28</x:v>
      </x:c>
    </x:row>
    <x:row r="571" ht="57" customHeight="1">
      <x:c r="A571" s="11" t="str">
        <x:v>C123</x:v>
      </x:c>
      <x:c r="B571" s="11" t="str">
        <x:v>KO</x:v>
      </x:c>
      <x:c r="C571" s="11" t="str">
        <x:v>사법공조</x:v>
      </x:c>
      <x:c r="D571" s="11" t="str">
        <x:v>Chỉ có mục gần/khác dạng; cần tra tiếp</x:v>
      </x:c>
      <x:c r="E571" s="11" t="str">
        <x:v>Mục từ có nghĩa [KO]</x:v>
      </x:c>
      <x:c r="F571" s="11" t="str">
        <x:v>KO</x:v>
      </x:c>
      <x:c r="G571" s="11" t="str">
        <x:v>S226</x:v>
      </x:c>
      <x:c r="H571" s="11" t="str">
        <x:v>국립국어원 온용어: 국제사법공조 — 한국법제연구원 법령 용어 사례집</x:v>
      </x:c>
      <x:c r="I571" s="30" t="str">
        <x:v>https://kli.korean.go.kr/term/trgtWord/indexTrgtWord.do?trgtWordNo=220935</x:v>
      </x:c>
      <x:c r="J571" s="11" t="str">
        <x:v>Đã đọc nguồn giải nghĩa bằng ngôn ngữ này; vẫn đối chiếu nghĩa chọn và ghi chú.</x:v>
      </x:c>
      <x:c r="K571" s="11" t="str">
        <x:v>2026-10-28</x:v>
      </x:c>
    </x:row>
    <x:row r="572" ht="57" customHeight="1">
      <x:c r="A572" s="11" t="str">
        <x:v>C125</x:v>
      </x:c>
      <x:c r="B572" s="11" t="str">
        <x:v>VI</x:v>
      </x:c>
      <x:c r="C572" s="11" t="str">
        <x:v>viện trợ không hoàn lại</x:v>
      </x:c>
      <x:c r="D572" s="11" t="str">
        <x:v>CẦN TRA — chưa xác minh mục từ</x:v>
      </x:c>
      <x:c r="E572" s="11" t="str">
        <x:v>Diễn giải từ định nghĩa KO; cần nguồn VI</x:v>
      </x:c>
      <x:c r="F572" s="11" t="str">
        <x:v>KO</x:v>
      </x:c>
      <x:c r="G572" s="11" t="str">
        <x:v>S227</x:v>
      </x:c>
      <x:c r="H572" s="11" t="str">
        <x:v>ODA Korea — 국제개발협력과 ODA</x:v>
      </x:c>
      <x:c r="I572" s="30" t="str">
        <x:v>https://www.odakorea.go.kr/kor/cont/ContShow?cont_seq=34</x:v>
      </x:c>
      <x:c r="J572" s="11" t="str">
        <x:v>Chưa xác minh định nghĩa độc lập của nguyên biểu thức/nghĩa chọn trong ngôn ngữ này. Giải thích hợp tác phát triển quốc tế và phân biệt viện trợ không phải hoàn trả.</x:v>
      </x:c>
      <x:c r="K572" s="11" t="str">
        <x:v>2026-10-28</x:v>
      </x:c>
    </x:row>
    <x:row r="573" ht="57" customHeight="1">
      <x:c r="A573" s="11" t="str">
        <x:v>C125</x:v>
      </x:c>
      <x:c r="B573" s="11" t="str">
        <x:v>KO</x:v>
      </x:c>
      <x:c r="C573" s="11" t="str">
        <x:v>무상원조</x:v>
      </x:c>
      <x:c r="D573" s="11" t="str">
        <x:v>CẦN TRA — chưa xác minh mục từ</x:v>
      </x:c>
      <x:c r="E573" s="11" t="str">
        <x:v>Định nghĩa chuyên ngành [KO]</x:v>
      </x:c>
      <x:c r="F573" s="11" t="str">
        <x:v>KO</x:v>
      </x:c>
      <x:c r="G573" s="11" t="str">
        <x:v>S227</x:v>
      </x:c>
      <x:c r="H573" s="11" t="str">
        <x:v>ODA Korea — 국제개발협력과 ODA</x:v>
      </x:c>
      <x:c r="I573" s="30" t="str">
        <x:v>https://www.odakorea.go.kr/kor/cont/ContShow?cont_seq=34</x:v>
      </x:c>
      <x:c r="J573" s="11" t="str">
        <x:v>Đã đọc nguồn giải nghĩa bằng ngôn ngữ này; vẫn đối chiếu nghĩa chọn và ghi chú.</x:v>
      </x:c>
      <x:c r="K573" s="11" t="str">
        <x:v>2026-10-28</x:v>
      </x:c>
    </x:row>
    <x:row r="574" ht="57" customHeight="1">
      <x:c r="A574" s="11" t="str">
        <x:v>C127</x:v>
      </x:c>
      <x:c r="B574" s="11" t="str">
        <x:v>VI</x:v>
      </x:c>
      <x:c r="C574" s="11" t="str">
        <x:v>trao đổi đoàn</x:v>
      </x:c>
      <x:c r="D574" s="11" t="str">
        <x:v>CẦN TRA — chưa xác minh mục từ</x:v>
      </x:c>
      <x:c r="E574" s="11" t="str">
        <x:v>* Nghĩa làm việc; cần nguồn định nghĩa</x:v>
      </x:c>
      <x:c r="F574" s="11" t="str">
        <x:v>VI</x:v>
      </x:c>
      <x:c r="G574" s="11" t="str"/>
      <x:c r="H574" s="11" t="str">
        <x:v>Nghĩa làm việc đề xuất; chưa có nguồn định nghĩa trực tiếp</x:v>
      </x:c>
      <x:c r="I574" s="30" t="str"/>
      <x:c r="J574" s="11" t="str">
        <x:v>Chưa xác minh định nghĩa độc lập của nguyên biểu thức/nghĩa chọn trong ngôn ngữ này. </x:v>
      </x:c>
      <x:c r="K574" s="11" t="str">
        <x:v>2026-10-28</x:v>
      </x:c>
    </x:row>
    <x:row r="575" ht="57" customHeight="1">
      <x:c r="A575" s="11" t="str">
        <x:v>C127</x:v>
      </x:c>
      <x:c r="B575" s="11" t="str">
        <x:v>KO</x:v>
      </x:c>
      <x:c r="C575" s="11" t="str">
        <x:v>대표단 교류</x:v>
      </x:c>
      <x:c r="D575" s="11" t="str">
        <x:v>CẦN TRA — chưa xác minh mục từ</x:v>
      </x:c>
      <x:c r="E575" s="11" t="str">
        <x:v>* Nghĩa làm việc; cần nguồn định nghĩa</x:v>
      </x:c>
      <x:c r="F575" s="11" t="str">
        <x:v>VI</x:v>
      </x:c>
      <x:c r="G575" s="11" t="str"/>
      <x:c r="H575" s="11" t="str">
        <x:v>Diễn đạt tiếng Hàn từ nghĩa làm việc; Nghĩa làm việc đề xuất; chưa có nguồn định nghĩa trực tiếp</x:v>
      </x:c>
      <x:c r="I575" s="30" t="str"/>
      <x:c r="J575" s="11" t="str">
        <x:v>Chưa xác minh định nghĩa độc lập của nguyên biểu thức/nghĩa chọn trong ngôn ngữ này. </x:v>
      </x:c>
      <x:c r="K575" s="11" t="str">
        <x:v>2026-10-28</x:v>
      </x:c>
    </x:row>
    <x:row r="576" ht="57" customHeight="1">
      <x:c r="A576" s="11" t="str">
        <x:v>C128</x:v>
      </x:c>
      <x:c r="B576" s="11" t="str">
        <x:v>VI</x:v>
      </x:c>
      <x:c r="C576" s="11" t="str">
        <x:v>hợp tác địa phương</x:v>
      </x:c>
      <x:c r="D576" s="11" t="str">
        <x:v>CẦN TRA — chưa xác minh mục từ</x:v>
      </x:c>
      <x:c r="E576" s="11" t="str">
        <x:v>* Nghĩa làm việc; cần nguồn định nghĩa</x:v>
      </x:c>
      <x:c r="F576" s="11" t="str">
        <x:v>VI</x:v>
      </x:c>
      <x:c r="G576" s="11" t="str"/>
      <x:c r="H576" s="11" t="str">
        <x:v>Nghĩa làm việc đề xuất; chưa có nguồn định nghĩa trực tiếp</x:v>
      </x:c>
      <x:c r="I576" s="30" t="str"/>
      <x:c r="J576" s="11" t="str">
        <x:v>Chưa xác minh định nghĩa độc lập của nguyên biểu thức/nghĩa chọn trong ngôn ngữ này. </x:v>
      </x:c>
      <x:c r="K576" s="11" t="str">
        <x:v>2026-10-28</x:v>
      </x:c>
    </x:row>
    <x:row r="577" ht="57" customHeight="1">
      <x:c r="A577" s="11" t="str">
        <x:v>C128</x:v>
      </x:c>
      <x:c r="B577" s="11" t="str">
        <x:v>KO</x:v>
      </x:c>
      <x:c r="C577" s="11" t="str">
        <x:v>지방 협력</x:v>
      </x:c>
      <x:c r="D577" s="11" t="str">
        <x:v>CẦN TRA — chưa xác minh mục từ</x:v>
      </x:c>
      <x:c r="E577" s="11" t="str">
        <x:v>* Nghĩa làm việc; cần nguồn định nghĩa</x:v>
      </x:c>
      <x:c r="F577" s="11" t="str">
        <x:v>VI</x:v>
      </x:c>
      <x:c r="G577" s="11" t="str"/>
      <x:c r="H577" s="11" t="str">
        <x:v>Diễn đạt tiếng Hàn từ nghĩa làm việc; Nghĩa làm việc đề xuất; chưa có nguồn định nghĩa trực tiếp</x:v>
      </x:c>
      <x:c r="I577" s="30" t="str"/>
      <x:c r="J577" s="11" t="str">
        <x:v>Chưa xác minh định nghĩa độc lập của nguyên biểu thức/nghĩa chọn trong ngôn ngữ này. </x:v>
      </x:c>
      <x:c r="K577" s="11" t="str">
        <x:v>2026-10-28</x:v>
      </x:c>
    </x:row>
    <x:row r="578" ht="57" customHeight="1">
      <x:c r="A578" s="11" t="str">
        <x:v>C129</x:v>
      </x:c>
      <x:c r="B578" s="11" t="str">
        <x:v>VI</x:v>
      </x:c>
      <x:c r="C578" s="11" t="str">
        <x:v>những cuộc gặp gỡ giữa các vị lãnh đạo cấp cao hai bên</x:v>
      </x:c>
      <x:c r="D578" s="11" t="str">
        <x:v>CẦN TRA — chưa xác minh mục từ</x:v>
      </x:c>
      <x:c r="E578" s="11" t="str">
        <x:v>* Nghĩa làm việc; cần nguồn định nghĩa</x:v>
      </x:c>
      <x:c r="F578" s="11" t="str">
        <x:v>VI</x:v>
      </x:c>
      <x:c r="G578" s="11" t="str"/>
      <x:c r="H578" s="11" t="str">
        <x:v>Nghĩa làm việc đề xuất; chưa có nguồn định nghĩa trực tiếp</x:v>
      </x:c>
      <x:c r="I578" s="30" t="str"/>
      <x:c r="J578" s="11" t="str">
        <x:v>Chưa xác minh định nghĩa độc lập của nguyên biểu thức/nghĩa chọn trong ngôn ngữ này. </x:v>
      </x:c>
      <x:c r="K578" s="11" t="str">
        <x:v>2026-10-28</x:v>
      </x:c>
    </x:row>
    <x:row r="579" ht="57" customHeight="1">
      <x:c r="A579" s="11" t="str">
        <x:v>C129</x:v>
      </x:c>
      <x:c r="B579" s="11" t="str">
        <x:v>KO</x:v>
      </x:c>
      <x:c r="C579" s="11" t="str">
        <x:v>고위급 회담</x:v>
      </x:c>
      <x:c r="D579" s="11" t="str">
        <x:v>CẦN TRA — chưa xác minh mục từ</x:v>
      </x:c>
      <x:c r="E579" s="11" t="str">
        <x:v>* Nghĩa làm việc; cần nguồn định nghĩa</x:v>
      </x:c>
      <x:c r="F579" s="11" t="str">
        <x:v>VI</x:v>
      </x:c>
      <x:c r="G579" s="11" t="str"/>
      <x:c r="H579" s="11" t="str">
        <x:v>Diễn đạt tiếng Hàn từ nghĩa làm việc; Nghĩa làm việc đề xuất; chưa có nguồn định nghĩa trực tiếp</x:v>
      </x:c>
      <x:c r="I579" s="30" t="str"/>
      <x:c r="J579" s="11" t="str">
        <x:v>Chưa xác minh định nghĩa độc lập của nguyên biểu thức/nghĩa chọn trong ngôn ngữ này. </x:v>
      </x:c>
      <x:c r="K579" s="11" t="str">
        <x:v>2026-10-28</x:v>
      </x:c>
    </x:row>
    <x:row r="580" ht="57" customHeight="1">
      <x:c r="A580" s="11" t="str">
        <x:v>C130</x:v>
      </x:c>
      <x:c r="B580" s="11" t="str">
        <x:v>VI</x:v>
      </x:c>
      <x:c r="C580" s="11" t="str">
        <x:v>Hợp tác kênh Đảng</x:v>
      </x:c>
      <x:c r="D580" s="11" t="str">
        <x:v>CẦN TRA — chưa xác minh mục từ</x:v>
      </x:c>
      <x:c r="E580" s="11" t="str">
        <x:v>* Nghĩa làm việc; cần nguồn định nghĩa</x:v>
      </x:c>
      <x:c r="F580" s="11" t="str">
        <x:v>VI</x:v>
      </x:c>
      <x:c r="G580" s="11" t="str"/>
      <x:c r="H580" s="11" t="str">
        <x:v>Nghĩa làm việc đề xuất; chưa có nguồn định nghĩa trực tiếp</x:v>
      </x:c>
      <x:c r="I580" s="30" t="str"/>
      <x:c r="J580" s="11" t="str">
        <x:v>Chưa xác minh định nghĩa độc lập của nguyên biểu thức/nghĩa chọn trong ngôn ngữ này. </x:v>
      </x:c>
      <x:c r="K580" s="11" t="str">
        <x:v>2026-10-28</x:v>
      </x:c>
    </x:row>
    <x:row r="581" ht="57" customHeight="1">
      <x:c r="A581" s="11" t="str">
        <x:v>C130</x:v>
      </x:c>
      <x:c r="B581" s="11" t="str">
        <x:v>KO</x:v>
      </x:c>
      <x:c r="C581" s="11" t="str">
        <x:v>당 대 당 협력</x:v>
      </x:c>
      <x:c r="D581" s="11" t="str">
        <x:v>CẦN TRA — chưa xác minh mục từ</x:v>
      </x:c>
      <x:c r="E581" s="11" t="str">
        <x:v>* Nghĩa làm việc; cần nguồn định nghĩa</x:v>
      </x:c>
      <x:c r="F581" s="11" t="str">
        <x:v>VI</x:v>
      </x:c>
      <x:c r="G581" s="11" t="str"/>
      <x:c r="H581" s="11" t="str">
        <x:v>Diễn đạt tiếng Hàn từ nghĩa làm việc; Nghĩa làm việc đề xuất; chưa có nguồn định nghĩa trực tiếp</x:v>
      </x:c>
      <x:c r="I581" s="30" t="str"/>
      <x:c r="J581" s="11" t="str">
        <x:v>Chưa xác minh định nghĩa độc lập của nguyên biểu thức/nghĩa chọn trong ngôn ngữ này. </x:v>
      </x:c>
      <x:c r="K581" s="11" t="str">
        <x:v>2026-10-28</x:v>
      </x:c>
    </x:row>
    <x:row r="582" ht="57" customHeight="1">
      <x:c r="A582" s="11" t="str">
        <x:v>C132</x:v>
      </x:c>
      <x:c r="B582" s="11" t="str">
        <x:v>VI</x:v>
      </x:c>
      <x:c r="C582" s="11" t="str">
        <x:v>ngoại giao Nhà nước</x:v>
      </x:c>
      <x:c r="D582" s="11" t="str">
        <x:v>CẦN TRA — chưa xác minh mục từ</x:v>
      </x:c>
      <x:c r="E582" s="11" t="str">
        <x:v>* Nghĩa làm việc; cần nguồn định nghĩa</x:v>
      </x:c>
      <x:c r="F582" s="11" t="str">
        <x:v>VI</x:v>
      </x:c>
      <x:c r="G582" s="11" t="str"/>
      <x:c r="H582" s="11" t="str">
        <x:v>Nghĩa làm việc đề xuất; chưa có nguồn định nghĩa trực tiếp</x:v>
      </x:c>
      <x:c r="I582" s="30" t="str"/>
      <x:c r="J582" s="11" t="str">
        <x:v>Chưa xác minh định nghĩa độc lập của nguyên biểu thức/nghĩa chọn trong ngôn ngữ này. </x:v>
      </x:c>
      <x:c r="K582" s="11" t="str">
        <x:v>2026-10-28</x:v>
      </x:c>
    </x:row>
    <x:row r="583" ht="57" customHeight="1">
      <x:c r="A583" s="11" t="str">
        <x:v>C132</x:v>
      </x:c>
      <x:c r="B583" s="11" t="str">
        <x:v>KO</x:v>
      </x:c>
      <x:c r="C583" s="11" t="str">
        <x:v>국가 외교</x:v>
      </x:c>
      <x:c r="D583" s="11" t="str">
        <x:v>CẦN TRA — chưa xác minh mục từ</x:v>
      </x:c>
      <x:c r="E583" s="11" t="str">
        <x:v>* Nghĩa làm việc; cần nguồn định nghĩa</x:v>
      </x:c>
      <x:c r="F583" s="11" t="str">
        <x:v>VI</x:v>
      </x:c>
      <x:c r="G583" s="11" t="str"/>
      <x:c r="H583" s="11" t="str">
        <x:v>Diễn đạt tiếng Hàn từ nghĩa làm việc; Nghĩa làm việc đề xuất; chưa có nguồn định nghĩa trực tiếp</x:v>
      </x:c>
      <x:c r="I583" s="30" t="str"/>
      <x:c r="J583" s="11" t="str">
        <x:v>Chưa xác minh định nghĩa độc lập của nguyên biểu thức/nghĩa chọn trong ngôn ngữ này. </x:v>
      </x:c>
      <x:c r="K583" s="11" t="str">
        <x:v>2026-10-28</x:v>
      </x:c>
    </x:row>
    <x:row r="584" ht="57" customHeight="1">
      <x:c r="A584" s="11" t="str">
        <x:v>C133</x:v>
      </x:c>
      <x:c r="B584" s="11" t="str">
        <x:v>VI</x:v>
      </x:c>
      <x:c r="C584" s="11" t="str">
        <x:v>ngoại giao láng giềng</x:v>
      </x:c>
      <x:c r="D584" s="11" t="str">
        <x:v>CẦN TRA — chưa xác minh mục từ</x:v>
      </x:c>
      <x:c r="E584" s="11" t="str">
        <x:v>* Nghĩa làm việc; cần nguồn định nghĩa</x:v>
      </x:c>
      <x:c r="F584" s="11" t="str">
        <x:v>VI</x:v>
      </x:c>
      <x:c r="G584" s="11" t="str"/>
      <x:c r="H584" s="11" t="str">
        <x:v>Nghĩa làm việc đề xuất; chưa có nguồn định nghĩa trực tiếp</x:v>
      </x:c>
      <x:c r="I584" s="30" t="str"/>
      <x:c r="J584" s="11" t="str">
        <x:v>Chưa xác minh định nghĩa độc lập của nguyên biểu thức/nghĩa chọn trong ngôn ngữ này. </x:v>
      </x:c>
      <x:c r="K584" s="11" t="str">
        <x:v>2026-10-28</x:v>
      </x:c>
    </x:row>
    <x:row r="585" ht="57" customHeight="1">
      <x:c r="A585" s="11" t="str">
        <x:v>C133</x:v>
      </x:c>
      <x:c r="B585" s="11" t="str">
        <x:v>KO</x:v>
      </x:c>
      <x:c r="C585" s="11" t="str">
        <x:v>주변 외교</x:v>
      </x:c>
      <x:c r="D585" s="11" t="str">
        <x:v>CẦN TRA — chưa xác minh mục từ</x:v>
      </x:c>
      <x:c r="E585" s="11" t="str">
        <x:v>* Nghĩa làm việc; cần nguồn định nghĩa</x:v>
      </x:c>
      <x:c r="F585" s="11" t="str">
        <x:v>VI</x:v>
      </x:c>
      <x:c r="G585" s="11" t="str"/>
      <x:c r="H585" s="11" t="str">
        <x:v>Diễn đạt tiếng Hàn từ nghĩa làm việc; Nghĩa làm việc đề xuất; chưa có nguồn định nghĩa trực tiếp</x:v>
      </x:c>
      <x:c r="I585" s="30" t="str"/>
      <x:c r="J585" s="11" t="str">
        <x:v>Chưa xác minh định nghĩa độc lập của nguyên biểu thức/nghĩa chọn trong ngôn ngữ này. </x:v>
      </x:c>
      <x:c r="K585" s="11" t="str">
        <x:v>2026-10-28</x:v>
      </x:c>
    </x:row>
    <x:row r="586" ht="57" customHeight="1">
      <x:c r="A586" s="11" t="str">
        <x:v>C134</x:v>
      </x:c>
      <x:c r="B586" s="11" t="str">
        <x:v>VI</x:v>
      </x:c>
      <x:c r="C586" s="11" t="str">
        <x:v>hợp tác tư pháp</x:v>
      </x:c>
      <x:c r="D586" s="11" t="str">
        <x:v>CẦN TRA — chưa xác minh mục từ</x:v>
      </x:c>
      <x:c r="E586" s="11" t="str">
        <x:v>* Nghĩa làm việc; cần nguồn định nghĩa</x:v>
      </x:c>
      <x:c r="F586" s="11" t="str">
        <x:v>VI</x:v>
      </x:c>
      <x:c r="G586" s="11" t="str"/>
      <x:c r="H586" s="11" t="str">
        <x:v>Nghĩa làm việc đề xuất; chưa có nguồn định nghĩa trực tiếp</x:v>
      </x:c>
      <x:c r="I586" s="30" t="str"/>
      <x:c r="J586" s="11" t="str">
        <x:v>Chưa xác minh định nghĩa độc lập của nguyên biểu thức/nghĩa chọn trong ngôn ngữ này. </x:v>
      </x:c>
      <x:c r="K586" s="11" t="str">
        <x:v>2026-10-28</x:v>
      </x:c>
    </x:row>
    <x:row r="587" ht="57" customHeight="1">
      <x:c r="A587" s="11" t="str">
        <x:v>C134</x:v>
      </x:c>
      <x:c r="B587" s="11" t="str">
        <x:v>KO</x:v>
      </x:c>
      <x:c r="C587" s="11" t="str">
        <x:v>사법 협력</x:v>
      </x:c>
      <x:c r="D587" s="11" t="str">
        <x:v>CẦN TRA — chưa xác minh mục từ</x:v>
      </x:c>
      <x:c r="E587" s="11" t="str">
        <x:v>* Nghĩa làm việc; cần nguồn định nghĩa</x:v>
      </x:c>
      <x:c r="F587" s="11" t="str">
        <x:v>VI</x:v>
      </x:c>
      <x:c r="G587" s="11" t="str"/>
      <x:c r="H587" s="11" t="str">
        <x:v>Diễn đạt tiếng Hàn từ nghĩa làm việc; Nghĩa làm việc đề xuất; chưa có nguồn định nghĩa trực tiếp</x:v>
      </x:c>
      <x:c r="I587" s="30" t="str"/>
      <x:c r="J587" s="11" t="str">
        <x:v>Chưa xác minh định nghĩa độc lập của nguyên biểu thức/nghĩa chọn trong ngôn ngữ này. </x:v>
      </x:c>
      <x:c r="K587" s="11" t="str">
        <x:v>2026-10-28</x:v>
      </x:c>
    </x:row>
    <x:row r="588" ht="57" customHeight="1">
      <x:c r="A588" s="11" t="str">
        <x:v>C135</x:v>
      </x:c>
      <x:c r="B588" s="11" t="str">
        <x:v>VI</x:v>
      </x:c>
      <x:c r="C588" s="11" t="str">
        <x:v>hợp tác phát triển</x:v>
      </x:c>
      <x:c r="D588" s="11" t="str">
        <x:v>CẦN TRA — chưa xác minh mục từ</x:v>
      </x:c>
      <x:c r="E588" s="11" t="str">
        <x:v>Diễn giải từ định nghĩa KO; cần nguồn VI</x:v>
      </x:c>
      <x:c r="F588" s="11" t="str">
        <x:v>KO</x:v>
      </x:c>
      <x:c r="G588" s="11" t="str">
        <x:v>S227</x:v>
      </x:c>
      <x:c r="H588" s="11" t="str">
        <x:v>ODA Korea — 국제개발협력과 ODA</x:v>
      </x:c>
      <x:c r="I588" s="30" t="str">
        <x:v>https://www.odakorea.go.kr/kor/cont/ContShow?cont_seq=34</x:v>
      </x:c>
      <x:c r="J588" s="11" t="str">
        <x:v>Chưa xác minh định nghĩa độc lập của nguyên biểu thức/nghĩa chọn trong ngôn ngữ này. Giải thích hợp tác phát triển quốc tế và phân biệt viện trợ không phải hoàn trả.</x:v>
      </x:c>
      <x:c r="K588" s="11" t="str">
        <x:v>2026-10-28</x:v>
      </x:c>
    </x:row>
    <x:row r="589" ht="57" customHeight="1">
      <x:c r="A589" s="11" t="str">
        <x:v>C135</x:v>
      </x:c>
      <x:c r="B589" s="11" t="str">
        <x:v>KO</x:v>
      </x:c>
      <x:c r="C589" s="11" t="str">
        <x:v>개발 협력</x:v>
      </x:c>
      <x:c r="D589" s="11" t="str">
        <x:v>CẦN TRA — chưa xác minh mục từ</x:v>
      </x:c>
      <x:c r="E589" s="11" t="str">
        <x:v>Định nghĩa chuyên ngành [KO]</x:v>
      </x:c>
      <x:c r="F589" s="11" t="str">
        <x:v>KO</x:v>
      </x:c>
      <x:c r="G589" s="11" t="str">
        <x:v>S227</x:v>
      </x:c>
      <x:c r="H589" s="11" t="str">
        <x:v>ODA Korea — 국제개발협력과 ODA</x:v>
      </x:c>
      <x:c r="I589" s="30" t="str">
        <x:v>https://www.odakorea.go.kr/kor/cont/ContShow?cont_seq=34</x:v>
      </x:c>
      <x:c r="J589" s="11" t="str">
        <x:v>Đã đọc nguồn giải nghĩa bằng ngôn ngữ này; vẫn đối chiếu nghĩa chọn và ghi chú.</x:v>
      </x:c>
      <x:c r="K589" s="11" t="str">
        <x:v>2026-10-28</x:v>
      </x:c>
    </x:row>
    <x:row r="590" ht="57" customHeight="1">
      <x:c r="A590" s="11" t="str">
        <x:v>C137</x:v>
      </x:c>
      <x:c r="B590" s="11" t="str">
        <x:v>VI</x:v>
      </x:c>
      <x:c r="C590" s="11" t="str">
        <x:v>Tuyên bố chung</x:v>
      </x:c>
      <x:c r="D590" s="11" t="str">
        <x:v>CẦN TRA — chưa xác minh mục từ</x:v>
      </x:c>
      <x:c r="E590" s="11" t="str">
        <x:v>* Diễn giải mô tả KO</x:v>
      </x:c>
      <x:c r="F590" s="11" t="str">
        <x:v>KO</x:v>
      </x:c>
      <x:c r="G590" s="11" t="str">
        <x:v>S228</x:v>
      </x:c>
      <x:c r="H590" s="11" t="str">
        <x:v>Bộ Ngoại giao Hàn Quốc — Công bố 공동성명 nhân ba năm đảo chính Myanmar</x:v>
      </x:c>
      <x:c r="I590" s="30" t="str">
        <x:v>https://www.mofa.go.kr/www/brd/m_4080/view.do?seq=374611</x:v>
      </x:c>
      <x:c r="J590" s="11" t="str">
        <x:v>Chưa xác minh định nghĩa độc lập của nguyên biểu thức/nghĩa chọn trong ngôn ngữ này. Các bên cùng công bố lập trường và đính kèm văn bản Joint Statement; chứng cứ tên loại và cách dùng, không phải định nghĩa từ điển.</x:v>
      </x:c>
      <x:c r="K590" s="11" t="str">
        <x:v>2026-10-28</x:v>
      </x:c>
    </x:row>
    <x:row r="591" ht="57" customHeight="1">
      <x:c r="A591" s="11" t="str">
        <x:v>C137</x:v>
      </x:c>
      <x:c r="B591" s="11" t="str">
        <x:v>KO</x:v>
      </x:c>
      <x:c r="C591" s="11" t="str">
        <x:v>공동성명</x:v>
      </x:c>
      <x:c r="D591" s="11" t="str">
        <x:v>CẦN TRA — chưa xác minh mục từ</x:v>
      </x:c>
      <x:c r="E591" s="11" t="str">
        <x:v>* Mô tả chính thức</x:v>
      </x:c>
      <x:c r="F591" s="11" t="str">
        <x:v>KO</x:v>
      </x:c>
      <x:c r="G591" s="11" t="str">
        <x:v>S228</x:v>
      </x:c>
      <x:c r="H591" s="11" t="str">
        <x:v>Bộ Ngoại giao Hàn Quốc — Công bố 공동성명 nhân ba năm đảo chính Myanmar</x:v>
      </x:c>
      <x:c r="I591" s="30" t="str">
        <x:v>https://www.mofa.go.kr/www/brd/m_4080/view.do?seq=374611</x:v>
      </x:c>
      <x:c r="J591" s="11" t="str">
        <x:v>Chưa xác minh định nghĩa độc lập của nguyên biểu thức/nghĩa chọn trong ngôn ngữ này. Các bên cùng công bố lập trường và đính kèm văn bản Joint Statement; chứng cứ tên loại và cách dùng, không phải định nghĩa từ điển.</x:v>
      </x:c>
      <x:c r="K591" s="11" t="str">
        <x:v>2026-10-28</x:v>
      </x:c>
    </x:row>
    <x:row r="592" ht="57" customHeight="1">
      <x:c r="A592" s="11" t="str">
        <x:v>C139</x:v>
      </x:c>
      <x:c r="B592" s="11" t="str">
        <x:v>VI</x:v>
      </x:c>
      <x:c r="C592" s="11" t="str">
        <x:v>Thư ủy nhiệm</x:v>
      </x:c>
      <x:c r="D592" s="11" t="str">
        <x:v>CẦN TRA — chưa xác minh mục từ</x:v>
      </x:c>
      <x:c r="E592" s="11" t="str">
        <x:v>* Mô tả chính thức</x:v>
      </x:c>
      <x:c r="F592" s="11" t="str">
        <x:v>VI</x:v>
      </x:c>
      <x:c r="G592" s="11" t="str">
        <x:v>S230</x:v>
      </x:c>
      <x:c r="H592" s="11" t="str">
        <x:v>Bộ Ngoại giao Việt Nam — Đại sứ Việt Nam tại Phần Lan trình Quốc thư</x:v>
      </x:c>
      <x:c r="I592" s="30" t="str">
        <x:v>https://mofa.gov.vn/tin-chi-tiet/chi-tiet/dai-su-viet-nam-tai-phan-lan-trinh-quoc-thu-163.html</x:v>
      </x:c>
      <x:c r="J592" s="11" t="str">
        <x:v>Chưa xác minh định nghĩa độc lập của nguyên biểu thức/nghĩa chọn trong ngôn ngữ này. Tiêu đề Quốc thư, nội dung Thư ủy nhiệm, cùng sự kiện trình credentials của đại sứ.</x:v>
      </x:c>
      <x:c r="K592" s="11" t="str">
        <x:v>2026-10-28</x:v>
      </x:c>
    </x:row>
    <x:row r="593" ht="57" customHeight="1">
      <x:c r="A593" s="11" t="str">
        <x:v>C139</x:v>
      </x:c>
      <x:c r="B593" s="11" t="str">
        <x:v>KO</x:v>
      </x:c>
      <x:c r="C593" s="11" t="str">
        <x:v>신임장</x:v>
      </x:c>
      <x:c r="D593" s="11" t="str">
        <x:v>Có mục từ và đã đọc nghĩa</x:v>
      </x:c>
      <x:c r="E593" s="11" t="str">
        <x:v>Mục từ có nghĩa [KO]</x:v>
      </x:c>
      <x:c r="F593" s="11" t="str">
        <x:v>KO</x:v>
      </x:c>
      <x:c r="G593" s="11" t="str">
        <x:v>S229</x:v>
      </x:c>
      <x:c r="H593" s="11" t="str">
        <x:v>국립국어원 온용어: 신임장 — 한국법제연구원 법령 용어 사례집</x:v>
      </x:c>
      <x:c r="I593" s="30" t="str">
        <x:v>https://kli.korean.go.kr/term/trgtWord/indexTrgtWord.do?trgtWordNo=223277</x:v>
      </x:c>
      <x:c r="J593" s="11" t="str">
        <x:v>Đã đọc nguồn giải nghĩa bằng ngôn ngữ này; vẫn đối chiếu nghĩa chọn và ghi chú.</x:v>
      </x:c>
      <x:c r="K593" s="11" t="str">
        <x:v>2026-10-28</x:v>
      </x:c>
    </x:row>
    <x:row r="594" ht="87" customHeight="1">
      <x:c r="A594" s="11" t="str">
        <x:v>C141</x:v>
      </x:c>
      <x:c r="B594" s="11" t="str">
        <x:v>VI</x:v>
      </x:c>
      <x:c r="C594" s="11" t="str">
        <x:v>điều ước quốc tế</x:v>
      </x:c>
      <x:c r="D594" s="11" t="str">
        <x:v>CẦN TRA — chưa xác minh mục từ</x:v>
      </x:c>
      <x:c r="E594" s="11" t="str">
        <x:v>Diễn giải từ định nghĩa EN; cần nguồn VI</x:v>
      </x:c>
      <x:c r="F594" s="11" t="str">
        <x:v>EN</x:v>
      </x:c>
      <x:c r="G594" s="11" t="str">
        <x:v>S162</x:v>
      </x:c>
      <x:c r="H594" s="11" t="str">
        <x:v>United Nations Treaty Collection — Definition of key terms</x:v>
      </x:c>
      <x:c r="I594" s="30" t="str">
        <x:v>https://treaties.un.org/Pages/overview.aspx?path=overview/definition/page1_en.xml</x:v>
      </x:c>
      <x:c r="J594" s="11" t="str">
        <x:v>Chưa xác minh định nghĩa độc lập của nguyên biểu thức/nghĩa chọn trong ngôn ngữ này. Nguồn dẫn trong hồ sơ định nghĩa làm việc: DIP_D16: Memoranda of Understanding
DIP_D03: Điểm 28 và phụ lục
S09: trang in 163/PDF 163</x:v>
      </x:c>
      <x:c r="K594" s="11" t="str">
        <x:v>2026-10-28</x:v>
      </x:c>
    </x:row>
    <x:row r="595" ht="57" customHeight="1">
      <x:c r="A595" s="11" t="str">
        <x:v>C141</x:v>
      </x:c>
      <x:c r="B595" s="11" t="str">
        <x:v>KO</x:v>
      </x:c>
      <x:c r="C595" s="11" t="str">
        <x:v>국제조약</x:v>
      </x:c>
      <x:c r="D595" s="11" t="str">
        <x:v>Chỉ có mục gần/khác dạng; cần tra tiếp</x:v>
      </x:c>
      <x:c r="E595" s="11" t="str">
        <x:v>Mục từ có nghĩa [KO]</x:v>
      </x:c>
      <x:c r="F595" s="11" t="str">
        <x:v>KO</x:v>
      </x:c>
      <x:c r="G595" s="11" t="str">
        <x:v>S231</x:v>
      </x:c>
      <x:c r="H595" s="11" t="str">
        <x:v>국립국어원 온용어: 조약 — 방위사업청 국방 통합 용어 사전</x:v>
      </x:c>
      <x:c r="I595" s="30" t="str">
        <x:v>https://kli.korean.go.kr/term/trgtWord/indexTrgtWord.do?trgtWordNo=221614009</x:v>
      </x:c>
      <x:c r="J595" s="11" t="str">
        <x:v>Đã đọc nguồn giải nghĩa bằng ngôn ngữ này; vẫn đối chiếu nghĩa chọn và ghi chú.</x:v>
      </x:c>
      <x:c r="K595" s="11" t="str">
        <x:v>2026-10-28</x:v>
      </x:c>
    </x:row>
    <x:row r="596" ht="87" customHeight="1">
      <x:c r="A596" s="11" t="str">
        <x:v>C142</x:v>
      </x:c>
      <x:c r="B596" s="11" t="str">
        <x:v>VI</x:v>
      </x:c>
      <x:c r="C596" s="11" t="str">
        <x:v>thỏa thuận hợp tác</x:v>
      </x:c>
      <x:c r="D596" s="11" t="str">
        <x:v>CẦN TRA — chưa xác minh mục từ</x:v>
      </x:c>
      <x:c r="E596" s="11" t="str">
        <x:v>Diễn giải từ định nghĩa EN; cần nguồn VI</x:v>
      </x:c>
      <x:c r="F596" s="11" t="str">
        <x:v>EN</x:v>
      </x:c>
      <x:c r="G596" s="11" t="str">
        <x:v>S162</x:v>
      </x:c>
      <x:c r="H596" s="11" t="str">
        <x:v>United Nations Treaty Collection — Definition of key terms</x:v>
      </x:c>
      <x:c r="I596" s="30" t="str">
        <x:v>https://treaties.un.org/Pages/overview.aspx?path=overview/definition/page1_en.xml</x:v>
      </x:c>
      <x:c r="J596" s="11" t="str">
        <x:v>Chưa xác minh định nghĩa độc lập của nguyên biểu thức/nghĩa chọn trong ngôn ngữ này. Nguồn dẫn trong hồ sơ định nghĩa làm việc: DIP_D16: Memoranda of Understanding
DIP_D03: Điểm 28 và phụ lục
S09: trang in 163/PDF 163</x:v>
      </x:c>
      <x:c r="K596" s="11" t="str">
        <x:v>2026-10-28</x:v>
      </x:c>
    </x:row>
    <x:row r="597" ht="57" customHeight="1">
      <x:c r="A597" s="11" t="str">
        <x:v>C142</x:v>
      </x:c>
      <x:c r="B597" s="11" t="str">
        <x:v>KO</x:v>
      </x:c>
      <x:c r="C597" s="11" t="str">
        <x:v>협정</x:v>
      </x:c>
      <x:c r="D597" s="11" t="str">
        <x:v>Có mục từ và đã đọc nghĩa</x:v>
      </x:c>
      <x:c r="E597" s="11" t="str">
        <x:v>Mục từ có nghĩa [KO]</x:v>
      </x:c>
      <x:c r="F597" s="11" t="str">
        <x:v>KO</x:v>
      </x:c>
      <x:c r="G597" s="11" t="str">
        <x:v>S232</x:v>
      </x:c>
      <x:c r="H597" s="11" t="str">
        <x:v>국립국어원 한국어기초사전 — 협정</x:v>
      </x:c>
      <x:c r="I597" s="30" t="str">
        <x:v>https://krdict.korean.go.kr/jpn/dicSearch/SearchView?ParaWordNo=86041&amp;captchaNumber=&amp;comment_user_name=&amp;nation=jpn&amp;nationCode=7&amp;viewTypes=on&amp;wordComment=</x:v>
      </x:c>
      <x:c r="J597" s="11" t="str">
        <x:v>Đã đọc nguồn giải nghĩa bằng ngôn ngữ này; vẫn đối chiếu nghĩa chọn và ghi chú.</x:v>
      </x:c>
      <x:c r="K597" s="11" t="str">
        <x:v>2026-10-28</x:v>
      </x:c>
    </x:row>
    <x:row r="598" ht="57" customHeight="1">
      <x:c r="A598" s="11" t="str">
        <x:v>C143</x:v>
      </x:c>
      <x:c r="B598" s="11" t="str">
        <x:v>VI</x:v>
      </x:c>
      <x:c r="C598" s="11" t="str">
        <x:v>Nghị định thư</x:v>
      </x:c>
      <x:c r="D598" s="11" t="str">
        <x:v>CẦN TRA — chưa xác minh mục từ</x:v>
      </x:c>
      <x:c r="E598" s="11" t="str">
        <x:v>Diễn giải từ mục từ KO; cần nguồn VI</x:v>
      </x:c>
      <x:c r="F598" s="11" t="str">
        <x:v>KO</x:v>
      </x:c>
      <x:c r="G598" s="11" t="str">
        <x:v>S233</x:v>
      </x:c>
      <x:c r="H598" s="11" t="str">
        <x:v>국립국어원 온용어: 의정서 — 방위사업청 국방 통합 용어 사전</x:v>
      </x:c>
      <x:c r="I598" s="30" t="str">
        <x:v>https://kli.korean.go.kr/term/trgtWord/indexTrgtWord.do?trgtWordNo=221611260</x:v>
      </x:c>
      <x:c r="J598" s="11" t="str">
        <x:v>Chưa xác minh định nghĩa độc lập của nguyên biểu thức/nghĩa chọn trong ngôn ngữ này. Mục từ đầy đủ có đơn vị biên soạn; diễn giải theo nghĩa chuyên ngành, không sao chép định nghĩa.</x:v>
      </x:c>
      <x:c r="K598" s="11" t="str">
        <x:v>2026-10-28</x:v>
      </x:c>
    </x:row>
    <x:row r="599" ht="57" customHeight="1">
      <x:c r="A599" s="11" t="str">
        <x:v>C143</x:v>
      </x:c>
      <x:c r="B599" s="11" t="str">
        <x:v>KO</x:v>
      </x:c>
      <x:c r="C599" s="11" t="str">
        <x:v>의정서</x:v>
      </x:c>
      <x:c r="D599" s="11" t="str">
        <x:v>Có mục từ và đã đọc nghĩa</x:v>
      </x:c>
      <x:c r="E599" s="11" t="str">
        <x:v>Mục từ có nghĩa [KO]</x:v>
      </x:c>
      <x:c r="F599" s="11" t="str">
        <x:v>KO</x:v>
      </x:c>
      <x:c r="G599" s="11" t="str">
        <x:v>S233</x:v>
      </x:c>
      <x:c r="H599" s="11" t="str">
        <x:v>국립국어원 온용어: 의정서 — 방위사업청 국방 통합 용어 사전</x:v>
      </x:c>
      <x:c r="I599" s="30" t="str">
        <x:v>https://kli.korean.go.kr/term/trgtWord/indexTrgtWord.do?trgtWordNo=221611260</x:v>
      </x:c>
      <x:c r="J599" s="11" t="str">
        <x:v>Đã đọc nguồn giải nghĩa bằng ngôn ngữ này; vẫn đối chiếu nghĩa chọn và ghi chú.</x:v>
      </x:c>
      <x:c r="K599" s="11" t="str">
        <x:v>2026-10-28</x:v>
      </x:c>
    </x:row>
    <x:row r="600" ht="57" customHeight="1">
      <x:c r="A600" s="11" t="str">
        <x:v>C144</x:v>
      </x:c>
      <x:c r="B600" s="11" t="str">
        <x:v>VI</x:v>
      </x:c>
      <x:c r="C600" s="11" t="str">
        <x:v>Hiệp định Thương mại tự do</x:v>
      </x:c>
      <x:c r="D600" s="11" t="str">
        <x:v>CẦN TRA — chưa xác minh mục từ</x:v>
      </x:c>
      <x:c r="E600" s="11" t="str">
        <x:v>Diễn giải từ mục từ KO; cần nguồn VI</x:v>
      </x:c>
      <x:c r="F600" s="11" t="str">
        <x:v>KO</x:v>
      </x:c>
      <x:c r="G600" s="11" t="str">
        <x:v>S234</x:v>
      </x:c>
      <x:c r="H600" s="11" t="str">
        <x:v>국립국어원 온용어: 자유 무역 협정 — 한국무역보험공사 무역 보험 용어집</x:v>
      </x:c>
      <x:c r="I600" s="30" t="str">
        <x:v>https://kli.korean.go.kr/term/trgtWord/indexTrgtWord.do?trgtWordNo=111553</x:v>
      </x:c>
      <x:c r="J600" s="11" t="str">
        <x:v>Chưa xác minh định nghĩa độc lập của nguyên biểu thức/nghĩa chọn trong ngôn ngữ này. Mục từ đầy đủ có đơn vị biên soạn; diễn giải theo nghĩa chuyên ngành, không sao chép định nghĩa.</x:v>
      </x:c>
      <x:c r="K600" s="11" t="str">
        <x:v>2026-10-28</x:v>
      </x:c>
    </x:row>
    <x:row r="601" ht="57" customHeight="1">
      <x:c r="A601" s="11" t="str">
        <x:v>C144</x:v>
      </x:c>
      <x:c r="B601" s="11" t="str">
        <x:v>KO</x:v>
      </x:c>
      <x:c r="C601" s="11" t="str">
        <x:v>자유무역협정</x:v>
      </x:c>
      <x:c r="D601" s="11" t="str">
        <x:v>Có mục từ và đã đọc nghĩa</x:v>
      </x:c>
      <x:c r="E601" s="11" t="str">
        <x:v>Mục từ có nghĩa [KO]</x:v>
      </x:c>
      <x:c r="F601" s="11" t="str">
        <x:v>KO</x:v>
      </x:c>
      <x:c r="G601" s="11" t="str">
        <x:v>S234</x:v>
      </x:c>
      <x:c r="H601" s="11" t="str">
        <x:v>국립국어원 온용어: 자유 무역 협정 — 한국무역보험공사 무역 보험 용어집</x:v>
      </x:c>
      <x:c r="I601" s="30" t="str">
        <x:v>https://kli.korean.go.kr/term/trgtWord/indexTrgtWord.do?trgtWordNo=111553</x:v>
      </x:c>
      <x:c r="J601" s="11" t="str">
        <x:v>Đã đọc nguồn giải nghĩa bằng ngôn ngữ này; vẫn đối chiếu nghĩa chọn và ghi chú.</x:v>
      </x:c>
      <x:c r="K601" s="11" t="str">
        <x:v>2026-10-28</x:v>
      </x:c>
    </x:row>
    <x:row r="602" ht="57" customHeight="1">
      <x:c r="A602" s="11" t="str">
        <x:v>C145</x:v>
      </x:c>
      <x:c r="B602" s="11" t="str">
        <x:v>VI</x:v>
      </x:c>
      <x:c r="C602" s="11" t="str">
        <x:v>Hiệp định Bảo hộ đầu tư</x:v>
      </x:c>
      <x:c r="D602" s="11" t="str">
        <x:v>CẦN TRA — chưa xác minh mục từ</x:v>
      </x:c>
      <x:c r="E602" s="11" t="str">
        <x:v>* Diễn giải mô tả KO</x:v>
      </x:c>
      <x:c r="F602" s="11" t="str">
        <x:v>KO</x:v>
      </x:c>
      <x:c r="G602" s="11" t="str">
        <x:v>S235</x:v>
      </x:c>
      <x:c r="H602" s="11" t="str">
        <x:v>Bộ Ngoại giao Hàn Quốc — Giải thích 투자보장협정 trong thông cáo ký hiệp định</x:v>
      </x:c>
      <x:c r="I602" s="30" t="str">
        <x:v>https://www.mofa.go.kr/www/brd/m_4060/view.do?page=1&amp;seq=365330</x:v>
      </x:c>
      <x:c r="J602" s="11" t="str">
        <x:v>Chưa xác minh định nghĩa độc lập của nguyên biểu thức/nghĩa chọn trong ngôn ngữ này. Nguồn giải thích đầu tư và bảo hộ dưới hình thức 투자보장협정; chưa xác nhận mục từ nguyên dạng 투자보호협정.</x:v>
      </x:c>
      <x:c r="K602" s="11" t="str">
        <x:v>2026-10-28</x:v>
      </x:c>
    </x:row>
    <x:row r="603" ht="57" customHeight="1">
      <x:c r="A603" s="11" t="str">
        <x:v>C145</x:v>
      </x:c>
      <x:c r="B603" s="11" t="str">
        <x:v>KO</x:v>
      </x:c>
      <x:c r="C603" s="11" t="str">
        <x:v>투자보호협정</x:v>
      </x:c>
      <x:c r="D603" s="11" t="str">
        <x:v>CẦN TRA — chưa xác minh mục từ</x:v>
      </x:c>
      <x:c r="E603" s="11" t="str">
        <x:v>* Mô tả chính thức</x:v>
      </x:c>
      <x:c r="F603" s="11" t="str">
        <x:v>KO</x:v>
      </x:c>
      <x:c r="G603" s="11" t="str">
        <x:v>S235</x:v>
      </x:c>
      <x:c r="H603" s="11" t="str">
        <x:v>Bộ Ngoại giao Hàn Quốc — Giải thích 투자보장협정 trong thông cáo ký hiệp định</x:v>
      </x:c>
      <x:c r="I603" s="30" t="str">
        <x:v>https://www.mofa.go.kr/www/brd/m_4060/view.do?page=1&amp;seq=365330</x:v>
      </x:c>
      <x:c r="J603" s="11" t="str">
        <x:v>Chưa xác minh định nghĩa độc lập của nguyên biểu thức/nghĩa chọn trong ngôn ngữ này. Nguồn giải thích đầu tư và bảo hộ dưới hình thức 투자보장협정; chưa xác nhận mục từ nguyên dạng 투자보호협정.</x:v>
      </x:c>
      <x:c r="K603" s="11" t="str">
        <x:v>2026-10-28</x:v>
      </x:c>
    </x:row>
    <x:row r="604" ht="57" customHeight="1">
      <x:c r="A604" s="11" t="str">
        <x:v>C151</x:v>
      </x:c>
      <x:c r="B604" s="11" t="str">
        <x:v>VI</x:v>
      </x:c>
      <x:c r="C604" s="11" t="str">
        <x:v>Công ước Hà Nội</x:v>
      </x:c>
      <x:c r="D604" s="11" t="str">
        <x:v>Tên riêng: có nguồn về đối tượng</x:v>
      </x:c>
      <x:c r="E604" s="11" t="str">
        <x:v>* Mô tả chính thức</x:v>
      </x:c>
      <x:c r="F604" s="11" t="str">
        <x:v>VI</x:v>
      </x:c>
      <x:c r="G604" s="11" t="str">
        <x:v>S236</x:v>
      </x:c>
      <x:c r="H604" s="11" t="str">
        <x:v>Bộ Ngoại giao Việt Nam — Phê chuẩn Công ước Liên hợp quốc về chống tội phạm mạng (Công ước Hà Nội)</x:v>
      </x:c>
      <x:c r="I604" s="30" t="str">
        <x:v>https://web.mofa.gov.vn/web/guest/tin-chi-tiet/chi-tiet/tong-bi-thu-chu-tich-nuoc-to-lam-ky-quyet-dinh-phe-chuan-cong-uoc-ha-noi-59345-138.html</x:v>
      </x:c>
      <x:c r="J604" s="11" t="str">
        <x:v>Chưa xác minh định nghĩa độc lập của nguyên biểu thức/nghĩa chọn trong ngôn ngữ này. Nguồn đặt hai tên cạnh nhau và mô tả mục đích, nội dung công ước.</x:v>
      </x:c>
      <x:c r="K604" s="11" t="str">
        <x:v>2026-10-28</x:v>
      </x:c>
    </x:row>
    <x:row r="605" ht="57" customHeight="1">
      <x:c r="A605" s="11" t="str">
        <x:v>C151</x:v>
      </x:c>
      <x:c r="B605" s="11" t="str">
        <x:v>KO</x:v>
      </x:c>
      <x:c r="C605" s="11" t="str">
        <x:v>하노이협약</x:v>
      </x:c>
      <x:c r="D605" s="11" t="str">
        <x:v>Tên riêng: có nguồn về đối tượng</x:v>
      </x:c>
      <x:c r="E605" s="11" t="str">
        <x:v>* Diễn giải mô tả VI</x:v>
      </x:c>
      <x:c r="F605" s="11" t="str">
        <x:v>VI</x:v>
      </x:c>
      <x:c r="G605" s="11" t="str">
        <x:v>S236</x:v>
      </x:c>
      <x:c r="H605" s="11" t="str">
        <x:v>Bộ Ngoại giao Việt Nam — Phê chuẩn Công ước Liên hợp quốc về chống tội phạm mạng (Công ước Hà Nội)</x:v>
      </x:c>
      <x:c r="I605" s="30" t="str">
        <x:v>https://web.mofa.gov.vn/web/guest/tin-chi-tiet/chi-tiet/tong-bi-thu-chu-tich-nuoc-to-lam-ky-quyet-dinh-phe-chuan-cong-uoc-ha-noi-59345-138.html</x:v>
      </x:c>
      <x:c r="J605" s="11" t="str">
        <x:v>Chưa xác minh định nghĩa độc lập của nguyên biểu thức/nghĩa chọn trong ngôn ngữ này. Nguồn đặt hai tên cạnh nhau và mô tả mục đích, nội dung công ước.</x:v>
      </x:c>
      <x:c r="K605" s="11" t="str">
        <x:v>2026-10-28</x:v>
      </x:c>
    </x:row>
    <x:row r="606" ht="57" customHeight="1">
      <x:c r="A606" s="11" t="str">
        <x:v>C154</x:v>
      </x:c>
      <x:c r="B606" s="11" t="str">
        <x:v>VI</x:v>
      </x:c>
      <x:c r="C606" s="11" t="str">
        <x:v>Thỏa thuận Paris</x:v>
      </x:c>
      <x:c r="D606" s="11" t="str">
        <x:v>Tên riêng: có nguồn về đối tượng</x:v>
      </x:c>
      <x:c r="E606" s="11" t="str">
        <x:v>* Diễn giải mô tả EN</x:v>
      </x:c>
      <x:c r="F606" s="11" t="str">
        <x:v>EN</x:v>
      </x:c>
      <x:c r="G606" s="11" t="str">
        <x:v>S237</x:v>
      </x:c>
      <x:c r="H606" s="11" t="str">
        <x:v>UNFCCC — The Paris Agreement</x:v>
      </x:c>
      <x:c r="I606" s="30" t="str">
        <x:v>https://unfccc.int/process-and-meetings/the-paris-agreement</x:v>
      </x:c>
      <x:c r="J606" s="11" t="str">
        <x:v>Chưa xác minh định nghĩa độc lập của nguyên biểu thức/nghĩa chọn trong ngôn ngữ này. Định danh điều ước khí hậu năm 2015; chưa chứng minh đây là văn kiện được câu nguồn C154 nói tới.</x:v>
      </x:c>
      <x:c r="K606" s="11" t="str">
        <x:v>2026-10-28</x:v>
      </x:c>
    </x:row>
    <x:row r="607" ht="57" customHeight="1">
      <x:c r="A607" s="11" t="str">
        <x:v>C154</x:v>
      </x:c>
      <x:c r="B607" s="11" t="str">
        <x:v>KO</x:v>
      </x:c>
      <x:c r="C607" s="11" t="str">
        <x:v>파리협정</x:v>
      </x:c>
      <x:c r="D607" s="11" t="str">
        <x:v>Tên riêng: có nguồn về đối tượng</x:v>
      </x:c>
      <x:c r="E607" s="11" t="str">
        <x:v>* Diễn giải mô tả EN</x:v>
      </x:c>
      <x:c r="F607" s="11" t="str">
        <x:v>EN</x:v>
      </x:c>
      <x:c r="G607" s="11" t="str">
        <x:v>S237</x:v>
      </x:c>
      <x:c r="H607" s="11" t="str">
        <x:v>UNFCCC — The Paris Agreement</x:v>
      </x:c>
      <x:c r="I607" s="30" t="str">
        <x:v>https://unfccc.int/process-and-meetings/the-paris-agreement</x:v>
      </x:c>
      <x:c r="J607" s="11" t="str">
        <x:v>Chưa xác minh định nghĩa độc lập của nguyên biểu thức/nghĩa chọn trong ngôn ngữ này. Định danh điều ước khí hậu năm 2015; chưa chứng minh đây là văn kiện được câu nguồn C154 nói tới.</x:v>
      </x:c>
      <x:c r="K607" s="11" t="str">
        <x:v>2026-10-28</x:v>
      </x:c>
    </x:row>
    <x:row r="608" ht="57" customHeight="1">
      <x:c r="A608" s="11" t="str">
        <x:v>C155</x:v>
      </x:c>
      <x:c r="B608" s="11" t="str">
        <x:v>VI</x:v>
      </x:c>
      <x:c r="C608" s="11" t="str">
        <x:v>Nghị định thư Kyoto</x:v>
      </x:c>
      <x:c r="D608" s="11" t="str">
        <x:v>Tên riêng: có nguồn về đối tượng</x:v>
      </x:c>
      <x:c r="E608" s="11" t="str">
        <x:v>* Diễn giải mô tả EN</x:v>
      </x:c>
      <x:c r="F608" s="11" t="str">
        <x:v>EN</x:v>
      </x:c>
      <x:c r="G608" s="11" t="str">
        <x:v>S238</x:v>
      </x:c>
      <x:c r="H608" s="11" t="str">
        <x:v>UNFCCC — The Kyoto Protocol</x:v>
      </x:c>
      <x:c r="I608" s="30" t="str">
        <x:v>https://www.unfccc.int/process-and-meetings/the-kyoto-protocol</x:v>
      </x:c>
      <x:c r="J608" s="11" t="str">
        <x:v>Chưa xác minh định nghĩa độc lập của nguyên biểu thức/nghĩa chọn trong ngôn ngữ này. Mô tả nghị định thư khí hậu năm 1997 và nghĩa vụ giảm phát thải.</x:v>
      </x:c>
      <x:c r="K608" s="11" t="str">
        <x:v>2026-10-28</x:v>
      </x:c>
    </x:row>
    <x:row r="609" ht="57" customHeight="1">
      <x:c r="A609" s="11" t="str">
        <x:v>C155</x:v>
      </x:c>
      <x:c r="B609" s="11" t="str">
        <x:v>KO</x:v>
      </x:c>
      <x:c r="C609" s="11" t="str">
        <x:v>교토의정서</x:v>
      </x:c>
      <x:c r="D609" s="11" t="str">
        <x:v>Tên riêng: có nguồn về đối tượng</x:v>
      </x:c>
      <x:c r="E609" s="11" t="str">
        <x:v>* Diễn giải mô tả EN</x:v>
      </x:c>
      <x:c r="F609" s="11" t="str">
        <x:v>EN</x:v>
      </x:c>
      <x:c r="G609" s="11" t="str">
        <x:v>S238</x:v>
      </x:c>
      <x:c r="H609" s="11" t="str">
        <x:v>UNFCCC — The Kyoto Protocol</x:v>
      </x:c>
      <x:c r="I609" s="30" t="str">
        <x:v>https://www.unfccc.int/process-and-meetings/the-kyoto-protocol</x:v>
      </x:c>
      <x:c r="J609" s="11" t="str">
        <x:v>Chưa xác minh định nghĩa độc lập của nguyên biểu thức/nghĩa chọn trong ngôn ngữ này. Mô tả nghị định thư khí hậu năm 1997 và nghĩa vụ giảm phát thải.</x:v>
      </x:c>
      <x:c r="K609" s="11" t="str">
        <x:v>2026-10-28</x:v>
      </x:c>
    </x:row>
    <x:row r="610" ht="57" customHeight="1">
      <x:c r="A610" s="11" t="str">
        <x:v>C157</x:v>
      </x:c>
      <x:c r="B610" s="11" t="str">
        <x:v>VI</x:v>
      </x:c>
      <x:c r="C610" s="11" t="str">
        <x:v>Hiệp định Đối tác Toàn diện và tiến bộ xuyên Thái Bình Dương</x:v>
      </x:c>
      <x:c r="D610" s="11" t="str">
        <x:v>Tên riêng: có nguồn về đối tượng</x:v>
      </x:c>
      <x:c r="E610" s="11" t="str">
        <x:v>* Diễn giải mô tả EN</x:v>
      </x:c>
      <x:c r="F610" s="11" t="str">
        <x:v>EN</x:v>
      </x:c>
      <x:c r="G610" s="11" t="str">
        <x:v>S239</x:v>
      </x:c>
      <x:c r="H610" s="11" t="str">
        <x:v>New Zealand MFAT — Comprehensive and Progressive Agreement for Trans-Pacific Partnership</x:v>
      </x:c>
      <x:c r="I610" s="30" t="str">
        <x:v>https://www.mfat.govt.nz/en/about-us/who-we-are/treaties/comprehensive-and-progressive-agreement-for-tpp</x:v>
      </x:c>
      <x:c r="J610" s="11" t="str">
        <x:v>Chưa xác minh định nghĩa độc lập của nguyên biểu thức/nghĩa chọn trong ngôn ngữ này. Cơ quan lưu chiểu công bố tên, văn bản và đặc điểm tiếp nhận/sửa đổi TPP.</x:v>
      </x:c>
      <x:c r="K610" s="11" t="str">
        <x:v>2026-10-28</x:v>
      </x:c>
    </x:row>
    <x:row r="611" ht="57" customHeight="1">
      <x:c r="A611" s="11" t="str">
        <x:v>C157</x:v>
      </x:c>
      <x:c r="B611" s="11" t="str">
        <x:v>KO</x:v>
      </x:c>
      <x:c r="C611" s="11" t="str">
        <x:v>포괄적·점진적 환태평양경제동반자협정</x:v>
      </x:c>
      <x:c r="D611" s="11" t="str">
        <x:v>Tên riêng: có nguồn về đối tượng</x:v>
      </x:c>
      <x:c r="E611" s="11" t="str">
        <x:v>* Diễn giải mô tả EN</x:v>
      </x:c>
      <x:c r="F611" s="11" t="str">
        <x:v>EN</x:v>
      </x:c>
      <x:c r="G611" s="11" t="str">
        <x:v>S239</x:v>
      </x:c>
      <x:c r="H611" s="11" t="str">
        <x:v>New Zealand MFAT — Comprehensive and Progressive Agreement for Trans-Pacific Partnership</x:v>
      </x:c>
      <x:c r="I611" s="30" t="str">
        <x:v>https://www.mfat.govt.nz/en/about-us/who-we-are/treaties/comprehensive-and-progressive-agreement-for-tpp</x:v>
      </x:c>
      <x:c r="J611" s="11" t="str">
        <x:v>Chưa xác minh định nghĩa độc lập của nguyên biểu thức/nghĩa chọn trong ngôn ngữ này. Cơ quan lưu chiểu công bố tên, văn bản và đặc điểm tiếp nhận/sửa đổi TPP.</x:v>
      </x:c>
      <x:c r="K611" s="11" t="str">
        <x:v>2026-10-28</x:v>
      </x:c>
    </x:row>
    <x:row r="612" ht="57" customHeight="1">
      <x:c r="A612" s="11" t="str">
        <x:v>C159</x:v>
      </x:c>
      <x:c r="B612" s="11" t="str">
        <x:v>VI</x:v>
      </x:c>
      <x:c r="C612" s="11" t="str">
        <x:v>Chương trình hành động</x:v>
      </x:c>
      <x:c r="D612" s="11" t="str">
        <x:v>CẦN TRA — chưa xác minh mục từ</x:v>
      </x:c>
      <x:c r="E612" s="11" t="str">
        <x:v>* Diễn giải mô tả KO/EN</x:v>
      </x:c>
      <x:c r="F612" s="11" t="str">
        <x:v>KO/EN</x:v>
      </x:c>
      <x:c r="G612" s="11" t="str">
        <x:v>S240</x:v>
      </x:c>
      <x:c r="H612" s="11" t="str">
        <x:v>Bộ Ngoại giao Hàn Quốc — 한-브라질 2026–2029년 행동계획 문안</x:v>
      </x:c>
      <x:c r="I612" s="30" t="str">
        <x:v>https://www.mofa.go.kr/www/brd/m_20274/view.do?page=1&amp;seq=368132</x:v>
      </x:c>
      <x:c r="J612" s="11" t="str">
        <x:v>Chưa xác minh định nghĩa độc lập của nguyên biểu thức/nghĩa chọn trong ngôn ngữ này. Một ví dụ chính thức về hành động kế hoạch như văn bản, không định danh chương trình C159.</x:v>
      </x:c>
      <x:c r="K612" s="11" t="str">
        <x:v>2026-10-28</x:v>
      </x:c>
    </x:row>
    <x:row r="613" ht="57" customHeight="1">
      <x:c r="A613" s="11" t="str">
        <x:v>C159</x:v>
      </x:c>
      <x:c r="B613" s="11" t="str">
        <x:v>KO</x:v>
      </x:c>
      <x:c r="C613" s="11" t="str">
        <x:v>행동계획</x:v>
      </x:c>
      <x:c r="D613" s="11" t="str">
        <x:v>CẦN TRA — chưa xác minh mục từ</x:v>
      </x:c>
      <x:c r="E613" s="11" t="str">
        <x:v>* Diễn giải mô tả KO/EN</x:v>
      </x:c>
      <x:c r="F613" s="11" t="str">
        <x:v>KO/EN</x:v>
      </x:c>
      <x:c r="G613" s="11" t="str">
        <x:v>S240</x:v>
      </x:c>
      <x:c r="H613" s="11" t="str">
        <x:v>Bộ Ngoại giao Hàn Quốc — 한-브라질 2026–2029년 행동계획 문안</x:v>
      </x:c>
      <x:c r="I613" s="30" t="str">
        <x:v>https://www.mofa.go.kr/www/brd/m_20274/view.do?page=1&amp;seq=368132</x:v>
      </x:c>
      <x:c r="J613" s="11" t="str">
        <x:v>Chưa xác minh định nghĩa độc lập của nguyên biểu thức/nghĩa chọn trong ngôn ngữ này. Một ví dụ chính thức về hành động kế hoạch như văn bản, không định danh chương trình C159.</x:v>
      </x:c>
      <x:c r="K613" s="11" t="str">
        <x:v>2026-10-28</x:v>
      </x:c>
    </x:row>
    <x:row r="614" ht="57" customHeight="1">
      <x:c r="A614" s="11" t="str">
        <x:v>C160</x:v>
      </x:c>
      <x:c r="B614" s="11" t="str">
        <x:v>VI</x:v>
      </x:c>
      <x:c r="C614" s="11" t="str">
        <x:v>Hiệp định liên Chính phủ</x:v>
      </x:c>
      <x:c r="D614" s="11" t="str">
        <x:v>CẦN TRA — chưa xác minh mục từ</x:v>
      </x:c>
      <x:c r="E614" s="11" t="str">
        <x:v>* Nghĩa làm việc; cần nguồn định nghĩa</x:v>
      </x:c>
      <x:c r="F614" s="11" t="str">
        <x:v>VI</x:v>
      </x:c>
      <x:c r="G614" s="11" t="str"/>
      <x:c r="H614" s="11" t="str">
        <x:v>Nghĩa làm việc đề xuất; chưa có nguồn định nghĩa trực tiếp</x:v>
      </x:c>
      <x:c r="I614" s="30" t="str"/>
      <x:c r="J614" s="11" t="str">
        <x:v>Chưa xác minh định nghĩa độc lập của nguyên biểu thức/nghĩa chọn trong ngôn ngữ này. </x:v>
      </x:c>
      <x:c r="K614" s="11" t="str">
        <x:v>2026-10-28</x:v>
      </x:c>
    </x:row>
    <x:row r="615" ht="57" customHeight="1">
      <x:c r="A615" s="11" t="str">
        <x:v>C160</x:v>
      </x:c>
      <x:c r="B615" s="11" t="str">
        <x:v>KO</x:v>
      </x:c>
      <x:c r="C615" s="11" t="str">
        <x:v>정부 간 협정</x:v>
      </x:c>
      <x:c r="D615" s="11" t="str">
        <x:v>CẦN TRA — chưa xác minh mục từ</x:v>
      </x:c>
      <x:c r="E615" s="11" t="str">
        <x:v>* Nghĩa làm việc; cần nguồn định nghĩa</x:v>
      </x:c>
      <x:c r="F615" s="11" t="str">
        <x:v>VI</x:v>
      </x:c>
      <x:c r="G615" s="11" t="str"/>
      <x:c r="H615" s="11" t="str">
        <x:v>Diễn đạt tiếng Hàn từ nghĩa làm việc; Nghĩa làm việc đề xuất; chưa có nguồn định nghĩa trực tiếp</x:v>
      </x:c>
      <x:c r="I615" s="30" t="str"/>
      <x:c r="J615" s="11" t="str">
        <x:v>Chưa xác minh định nghĩa độc lập của nguyên biểu thức/nghĩa chọn trong ngôn ngữ này. </x:v>
      </x:c>
      <x:c r="K615" s="11" t="str">
        <x:v>2026-10-28</x:v>
      </x:c>
    </x:row>
    <x:row r="616" ht="57" customHeight="1">
      <x:c r="A616" s="11" t="str">
        <x:v>C161</x:v>
      </x:c>
      <x:c r="B616" s="11" t="str">
        <x:v>VI</x:v>
      </x:c>
      <x:c r="C616" s="11" t="str">
        <x:v>Công ước Liên hợp quốc về chống tội phạm mạng</x:v>
      </x:c>
      <x:c r="D616" s="11" t="str">
        <x:v>Tên riêng: có nguồn về đối tượng</x:v>
      </x:c>
      <x:c r="E616" s="11" t="str">
        <x:v>* Mô tả chính thức</x:v>
      </x:c>
      <x:c r="F616" s="11" t="str">
        <x:v>VI</x:v>
      </x:c>
      <x:c r="G616" s="11" t="str">
        <x:v>S236</x:v>
      </x:c>
      <x:c r="H616" s="11" t="str">
        <x:v>Bộ Ngoại giao Việt Nam — Phê chuẩn Công ước Liên hợp quốc về chống tội phạm mạng (Công ước Hà Nội)</x:v>
      </x:c>
      <x:c r="I616" s="30" t="str">
        <x:v>https://web.mofa.gov.vn/web/guest/tin-chi-tiet/chi-tiet/tong-bi-thu-chu-tich-nuoc-to-lam-ky-quyet-dinh-phe-chuan-cong-uoc-ha-noi-59345-138.html</x:v>
      </x:c>
      <x:c r="J616" s="11" t="str">
        <x:v>Chưa xác minh định nghĩa độc lập của nguyên biểu thức/nghĩa chọn trong ngôn ngữ này. Nguồn đặt hai tên cạnh nhau và mô tả mục đích, nội dung công ước.</x:v>
      </x:c>
      <x:c r="K616" s="11" t="str">
        <x:v>2026-10-28</x:v>
      </x:c>
    </x:row>
    <x:row r="617" ht="57" customHeight="1">
      <x:c r="A617" s="11" t="str">
        <x:v>C161</x:v>
      </x:c>
      <x:c r="B617" s="11" t="str">
        <x:v>KO</x:v>
      </x:c>
      <x:c r="C617" s="11" t="str">
        <x:v>유엔 사이버범죄 방지 협약</x:v>
      </x:c>
      <x:c r="D617" s="11" t="str">
        <x:v>Tên riêng: có nguồn về đối tượng</x:v>
      </x:c>
      <x:c r="E617" s="11" t="str">
        <x:v>* Diễn giải mô tả VI</x:v>
      </x:c>
      <x:c r="F617" s="11" t="str">
        <x:v>VI</x:v>
      </x:c>
      <x:c r="G617" s="11" t="str">
        <x:v>S236</x:v>
      </x:c>
      <x:c r="H617" s="11" t="str">
        <x:v>Bộ Ngoại giao Việt Nam — Phê chuẩn Công ước Liên hợp quốc về chống tội phạm mạng (Công ước Hà Nội)</x:v>
      </x:c>
      <x:c r="I617" s="30" t="str">
        <x:v>https://web.mofa.gov.vn/web/guest/tin-chi-tiet/chi-tiet/tong-bi-thu-chu-tich-nuoc-to-lam-ky-quyet-dinh-phe-chuan-cong-uoc-ha-noi-59345-138.html</x:v>
      </x:c>
      <x:c r="J617" s="11" t="str">
        <x:v>Chưa xác minh định nghĩa độc lập của nguyên biểu thức/nghĩa chọn trong ngôn ngữ này. Nguồn đặt hai tên cạnh nhau và mô tả mục đích, nội dung công ước.</x:v>
      </x:c>
      <x:c r="K617" s="11" t="str">
        <x:v>2026-10-28</x:v>
      </x:c>
    </x:row>
    <x:row r="618" ht="57" customHeight="1">
      <x:c r="A618" s="11" t="str">
        <x:v>C163</x:v>
      </x:c>
      <x:c r="B618" s="11" t="str">
        <x:v>VI</x:v>
      </x:c>
      <x:c r="C618" s="11" t="str">
        <x:v>Đối thoại chiến lược</x:v>
      </x:c>
      <x:c r="D618" s="11" t="str">
        <x:v>CẦN TRA — chưa xác minh mục từ</x:v>
      </x:c>
      <x:c r="E618" s="11" t="str">
        <x:v>* Nghĩa làm việc; cần nguồn định nghĩa</x:v>
      </x:c>
      <x:c r="F618" s="11" t="str">
        <x:v>Chưa có nguồn</x:v>
      </x:c>
      <x:c r="G618" s="11" t="str"/>
      <x:c r="H618" s="11" t="str">
        <x:v>Chưa xác minh nguồn định nghĩa trực tiếp</x:v>
      </x:c>
      <x:c r="I618" s="30" t="str"/>
      <x:c r="J618" s="11" t="str">
        <x:v>Chưa xác minh định nghĩa độc lập của nguyên biểu thức/nghĩa chọn trong ngôn ngữ này. </x:v>
      </x:c>
      <x:c r="K618" s="11" t="str">
        <x:v>2026-10-28</x:v>
      </x:c>
    </x:row>
    <x:row r="619" ht="57" customHeight="1">
      <x:c r="A619" s="11" t="str">
        <x:v>C163</x:v>
      </x:c>
      <x:c r="B619" s="11" t="str">
        <x:v>KO</x:v>
      </x:c>
      <x:c r="C619" s="11" t="str">
        <x:v>전략적 대화</x:v>
      </x:c>
      <x:c r="D619" s="11" t="str">
        <x:v>CẦN TRA — chưa xác minh mục từ</x:v>
      </x:c>
      <x:c r="E619" s="11" t="str">
        <x:v>* Nghĩa làm việc; cần nguồn định nghĩa</x:v>
      </x:c>
      <x:c r="F619" s="11" t="str">
        <x:v>Chưa có nguồn</x:v>
      </x:c>
      <x:c r="G619" s="11" t="str"/>
      <x:c r="H619" s="11" t="str">
        <x:v>Chưa xác minh nguồn định nghĩa trực tiếp</x:v>
      </x:c>
      <x:c r="I619" s="30" t="str"/>
      <x:c r="J619" s="11" t="str">
        <x:v>Chưa xác minh định nghĩa độc lập của nguyên biểu thức/nghĩa chọn trong ngôn ngữ này. </x:v>
      </x:c>
      <x:c r="K619" s="11" t="str">
        <x:v>2026-10-28</x:v>
      </x:c>
    </x:row>
    <x:row r="620" ht="57" customHeight="1">
      <x:c r="A620" s="11" t="str">
        <x:v>C164</x:v>
      </x:c>
      <x:c r="B620" s="11" t="str">
        <x:v>VI</x:v>
      </x:c>
      <x:c r="C620" s="11" t="str">
        <x:v>Thứ trưởng Ngoại giao</x:v>
      </x:c>
      <x:c r="D620" s="11" t="str">
        <x:v>CẦN TRA — chưa xác minh mục từ</x:v>
      </x:c>
      <x:c r="E620" s="11" t="str">
        <x:v>* Nghĩa làm việc; cần nguồn định nghĩa</x:v>
      </x:c>
      <x:c r="F620" s="11" t="str">
        <x:v>VI</x:v>
      </x:c>
      <x:c r="G620" s="11" t="str">
        <x:v>S041</x:v>
      </x:c>
      <x:c r="H620" s="11" t="str">
        <x:v>Quyết định số 1176/QĐ-TTg: Bổ nhiệm bà Nguyễn Minh Hằng giữ chức Thứ trưởng Bộ Ngoại giao</x:v>
      </x:c>
      <x:c r="I620" s="30" t="str">
        <x:v>https://vanban.chinhphu.vn/?docid=208766&amp;pageid=27160</x:v>
      </x:c>
      <x:c r="J620" s="11" t="str">
        <x:v>Chưa xác minh định nghĩa độc lập của nguyên biểu thức/nghĩa chọn trong ngôn ngữ này. Đối chiếu trong hồ sơ cũ;</x:v>
      </x:c>
      <x:c r="K620" s="11" t="str">
        <x:v>2026-10-28</x:v>
      </x:c>
    </x:row>
    <x:row r="621" ht="57" customHeight="1">
      <x:c r="A621" s="11" t="str">
        <x:v>C164</x:v>
      </x:c>
      <x:c r="B621" s="11" t="str">
        <x:v>KO</x:v>
      </x:c>
      <x:c r="C621" s="11" t="str">
        <x:v>외교차관</x:v>
      </x:c>
      <x:c r="D621" s="11" t="str">
        <x:v>CẦN TRA — chưa xác minh mục từ</x:v>
      </x:c>
      <x:c r="E621" s="11" t="str">
        <x:v>* Nghĩa làm việc; cần nguồn định nghĩa</x:v>
      </x:c>
      <x:c r="F621" s="11" t="str">
        <x:v>VI</x:v>
      </x:c>
      <x:c r="G621" s="11" t="str">
        <x:v>S041</x:v>
      </x:c>
      <x:c r="H621" s="11" t="str">
        <x:v>Quyết định số 1176/QĐ-TTg: Bổ nhiệm bà Nguyễn Minh Hằng giữ chức Thứ trưởng Bộ Ngoại giao</x:v>
      </x:c>
      <x:c r="I621" s="30" t="str">
        <x:v>https://vanban.chinhphu.vn/?docid=208766&amp;pageid=27160</x:v>
      </x:c>
      <x:c r="J621" s="11" t="str">
        <x:v>Chưa xác minh định nghĩa độc lập của nguyên biểu thức/nghĩa chọn trong ngôn ngữ này. Đối chiếu trong hồ sơ cũ;</x:v>
      </x:c>
      <x:c r="K621" s="11" t="str">
        <x:v>2026-10-28</x:v>
      </x:c>
    </x:row>
    <x:row r="622" ht="57" customHeight="1">
      <x:c r="A622" s="11" t="str">
        <x:v>C164</x:v>
      </x:c>
      <x:c r="B622" s="11" t="str">
        <x:v>Bổ sung</x:v>
      </x:c>
      <x:c r="C622" s="11" t="str">
        <x:v>Thứ trưởng Ngoại giao / 외교차관</x:v>
      </x:c>
      <x:c r="D622" s="11" t="str">
        <x:v>Xem dòng VI/KO</x:v>
      </x:c>
      <x:c r="E622" s="11" t="str">
        <x:v>Chứng cứ cách dùng trong ngữ liệu</x:v>
      </x:c>
      <x:c r="F622" s="11" t="str">
        <x:v>KO</x:v>
      </x:c>
      <x:c r="G622" s="11" t="str">
        <x:v>S020</x:v>
      </x:c>
      <x:c r="H622" s="11" t="str">
        <x:v>Nhân Dân tiếng Hàn – dẫn chứng trong hồ sơ gốc</x:v>
      </x:c>
      <x:c r="I622" s="30" t="str">
        <x:v>https://kr.nhandan.vn/article-post3123.html</x:v>
      </x:c>
      <x:c r="J622" s="11" t="str">
        <x:v>Chứng cứ biểu thức trong corpus; không tự là định nghĩa từ điển hoặc xác nhận mọi nét nghĩa.</x:v>
      </x:c>
      <x:c r="K622" s="11" t="str">
        <x:v>2026-10-28</x:v>
      </x:c>
    </x:row>
    <x:row r="623" ht="57" customHeight="1">
      <x:c r="A623" s="11" t="str">
        <x:v>C165</x:v>
      </x:c>
      <x:c r="B623" s="11" t="str">
        <x:v>VI</x:v>
      </x:c>
      <x:c r="C623" s="11" t="str">
        <x:v>Tổng Bí thư</x:v>
      </x:c>
      <x:c r="D623" s="11" t="str">
        <x:v>CẦN TRA — chưa xác minh mục từ</x:v>
      </x:c>
      <x:c r="E623" s="11" t="str">
        <x:v>* Mô tả chính thức</x:v>
      </x:c>
      <x:c r="F623" s="11" t="str">
        <x:v>VI</x:v>
      </x:c>
      <x:c r="G623" s="11" t="str">
        <x:v>S021</x:v>
      </x:c>
      <x:c r="H623" s="11" t="str">
        <x:v>Điều lệ Đảng (do Đại hội đại biểu toàn quốc lần thứ XI của Đảng thông qua)</x:v>
      </x:c>
      <x:c r="I623" s="30" t="str">
        <x:v>https://tulieuvankien.dangcongsan.vn/ban-chap-hanh-trung-uong-dang/dai-hoi-dang/lan-thu-xi/dieu-le-dang-do-dai-hoi-dai-bieu-toan-quoc-lan-thu-xi-cua-dang-thong-qua-1472</x:v>
      </x:c>
      <x:c r="J623" s="11" t="str">
        <x:v>Chưa xác minh định nghĩa độc lập của nguyên biểu thức/nghĩa chọn trong ngôn ngữ này. Đối chiếu trong hồ sơ cũ;</x:v>
      </x:c>
      <x:c r="K623" s="11" t="str">
        <x:v>2026-10-28</x:v>
      </x:c>
    </x:row>
    <x:row r="624" ht="57" customHeight="1">
      <x:c r="A624" s="11" t="str">
        <x:v>C165</x:v>
      </x:c>
      <x:c r="B624" s="11" t="str">
        <x:v>KO</x:v>
      </x:c>
      <x:c r="C624" s="11" t="str">
        <x:v>당서기장</x:v>
      </x:c>
      <x:c r="D624" s="11" t="str">
        <x:v>CẦN TRA — chưa xác minh mục từ</x:v>
      </x:c>
      <x:c r="E624" s="11" t="str">
        <x:v>* Nghĩa làm việc; cần nguồn định nghĩa</x:v>
      </x:c>
      <x:c r="F624" s="11" t="str">
        <x:v>KO</x:v>
      </x:c>
      <x:c r="G624" s="11" t="str">
        <x:v>S045</x:v>
      </x:c>
      <x:c r="H624" s="11" t="str">
        <x:v>한영 북한인권용어집 (2016), mục 316 서기장; 국가인권위원회</x:v>
      </x:c>
      <x:c r="I624" s="30" t="str">
        <x:v>https://www.humanrights.go.kr/template/resources/file/2016%20%ED%95%9C%EC%98%81%20%EB%B6%81%ED%95%9C%EC%9D%B8%EA%B6%8C%EC%9A%A9%EC%96%B4%EC%A7%91.pdf</x:v>
      </x:c>
      <x:c r="J624" s="11" t="str">
        <x:v>Chưa xác minh định nghĩa độc lập của nguyên biểu thức/nghĩa chọn trong ngôn ngữ này. Sổ thuật ngữ có mục độc lập 서기장, định nghĩa chức lãnh đạo cao nhất của đảng xã hội chủ nghĩa/cộng sản.</x:v>
      </x:c>
      <x:c r="K624" s="11" t="str">
        <x:v>2026-10-28</x:v>
      </x:c>
    </x:row>
    <x:row r="625" ht="57" customHeight="1">
      <x:c r="A625" s="11" t="str">
        <x:v>C165</x:v>
      </x:c>
      <x:c r="B625" s="11" t="str">
        <x:v>Bổ sung</x:v>
      </x:c>
      <x:c r="C625" s="11" t="str">
        <x:v>Tổng Bí thư / 당서기장</x:v>
      </x:c>
      <x:c r="D625" s="11" t="str">
        <x:v>Xem dòng VI/KO</x:v>
      </x:c>
      <x:c r="E625" s="11" t="str">
        <x:v>Chứng cứ cách dùng trong ngữ liệu</x:v>
      </x:c>
      <x:c r="F625" s="11" t="str">
        <x:v>KO</x:v>
      </x:c>
      <x:c r="G625" s="11" t="str">
        <x:v>S046</x:v>
      </x:c>
      <x:c r="H625" s="11" t="str">
        <x:v>Nhân Dân tiếng Hàn – dẫn chứng trong hồ sơ gốc</x:v>
      </x:c>
      <x:c r="I625" s="30" t="str">
        <x:v>https://kr.nhandan.vn/article-post3733.html</x:v>
      </x:c>
      <x:c r="J625" s="11" t="str">
        <x:v>Chứng cứ biểu thức trong corpus; không tự là định nghĩa từ điển hoặc xác nhận mọi nét nghĩa.</x:v>
      </x:c>
      <x:c r="K625" s="11" t="str">
        <x:v>2026-10-28</x:v>
      </x:c>
    </x:row>
    <x:row r="626" ht="57" customHeight="1">
      <x:c r="A626" s="11" t="str">
        <x:v>C166</x:v>
      </x:c>
      <x:c r="B626" s="11" t="str">
        <x:v>VI</x:v>
      </x:c>
      <x:c r="C626" s="11" t="str">
        <x:v>Ủy viên Trung ương Đảng</x:v>
      </x:c>
      <x:c r="D626" s="11" t="str">
        <x:v>CẦN TRA — chưa xác minh mục từ</x:v>
      </x:c>
      <x:c r="E626" s="11" t="str">
        <x:v>* Mô tả chính thức</x:v>
      </x:c>
      <x:c r="F626" s="11" t="str">
        <x:v>VI</x:v>
      </x:c>
      <x:c r="G626" s="11" t="str">
        <x:v>S001</x:v>
      </x:c>
      <x:c r="H626" s="11" t="str">
        <x:v>Danh sách Ban Bí thư Trung ương Đảng Cộng sản Việt Nam khóa XIV</x:v>
      </x:c>
      <x:c r="I626" s="30" t="str">
        <x:v>https://xaydungchinhsach.chinhphu.vn/danh-sach-ban-bi-thu-trung-uong-dang-cong-san-viet-nam-khoa-xiv-119260130145320517.htm</x:v>
      </x:c>
      <x:c r="J626"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626" s="11" t="str">
        <x:v>2026-10-28</x:v>
      </x:c>
    </x:row>
    <x:row r="627" ht="57" customHeight="1">
      <x:c r="A627" s="11" t="str">
        <x:v>C166</x:v>
      </x:c>
      <x:c r="B627" s="11" t="str">
        <x:v>KO</x:v>
      </x:c>
      <x:c r="C627" s="11" t="str">
        <x:v>당 중앙위원</x:v>
      </x:c>
      <x:c r="D627" s="11" t="str">
        <x:v>CẦN TRA — chưa xác minh mục từ</x:v>
      </x:c>
      <x:c r="E627" s="11" t="str">
        <x:v>* Diễn giải mô tả VI</x:v>
      </x:c>
      <x:c r="F627" s="11" t="str">
        <x:v>VI</x:v>
      </x:c>
      <x:c r="G627" s="11" t="str">
        <x:v>S001</x:v>
      </x:c>
      <x:c r="H627" s="11" t="str">
        <x:v>Danh sách Ban Bí thư Trung ương Đảng Cộng sản Việt Nam khóa XIV</x:v>
      </x:c>
      <x:c r="I627" s="30" t="str">
        <x:v>https://xaydungchinhsach.chinhphu.vn/danh-sach-ban-bi-thu-trung-uong-dang-cong-san-viet-nam-khoa-xiv-119260130145320517.htm</x:v>
      </x:c>
      <x:c r="J627" s="11" t="str">
        <x:v>Chưa xác minh định nghĩa độc lập của nguyên biểu thức/nghĩa chọn trong ngôn ngữ này. Đối chiếu trong hồ sơ cũ; Chỉ dùng các nhãn chức danh hiển thị, không dùng lỗi ngày 30/01/2025 trong bài làm chứng cứ niên đại.</x:v>
      </x:c>
      <x:c r="K627" s="11" t="str">
        <x:v>2026-10-28</x:v>
      </x:c>
    </x:row>
    <x:row r="628" ht="57" customHeight="1">
      <x:c r="A628" s="11" t="str">
        <x:v>C166</x:v>
      </x:c>
      <x:c r="B628" s="11" t="str">
        <x:v>Bổ sung</x:v>
      </x:c>
      <x:c r="C628" s="11" t="str">
        <x:v>Ủy viên Trung ương Đảng / 당 중앙위원</x:v>
      </x:c>
      <x:c r="D628" s="11" t="str">
        <x:v>Xem dòng VI/KO</x:v>
      </x:c>
      <x:c r="E628" s="11" t="str">
        <x:v>Chứng cứ cách dùng trong ngữ liệu</x:v>
      </x:c>
      <x:c r="F628" s="11" t="str">
        <x:v>KO</x:v>
      </x:c>
      <x:c r="G628" s="11" t="str">
        <x:v>S020</x:v>
      </x:c>
      <x:c r="H628" s="11" t="str">
        <x:v>Nhân Dân tiếng Hàn – dẫn chứng trong hồ sơ gốc</x:v>
      </x:c>
      <x:c r="I628" s="30" t="str">
        <x:v>https://kr.nhandan.vn/article-post3123.html</x:v>
      </x:c>
      <x:c r="J628" s="11" t="str">
        <x:v>Chứng cứ biểu thức trong corpus; không tự là định nghĩa từ điển hoặc xác nhận mọi nét nghĩa.</x:v>
      </x:c>
      <x:c r="K628" s="11" t="str">
        <x:v>2026-10-28</x:v>
      </x:c>
    </x:row>
    <x:row r="629" ht="57" customHeight="1">
      <x:c r="A629" s="11" t="str">
        <x:v>C167</x:v>
      </x:c>
      <x:c r="B629" s="11" t="str">
        <x:v>VI</x:v>
      </x:c>
      <x:c r="C629" s="11" t="str">
        <x:v>Đảng Cộng sản Việt Nam</x:v>
      </x:c>
      <x:c r="D629" s="11" t="str">
        <x:v>Tên riêng: có nguồn về đối tượng</x:v>
      </x:c>
      <x:c r="E629" s="11" t="str">
        <x:v>* Mô tả chính thức</x:v>
      </x:c>
      <x:c r="F629" s="11" t="str">
        <x:v>VI</x:v>
      </x:c>
      <x:c r="G629" s="11" t="str">
        <x:v>S009</x:v>
      </x:c>
      <x:c r="H629" s="11" t="str">
        <x:v>Hệ thống chính trị</x:v>
      </x:c>
      <x:c r="I629" s="30" t="str">
        <x:v>https://vanban.chinhphu.vn/he-thong-chinh-tri-68381</x:v>
      </x:c>
      <x:c r="J629" s="11" t="str">
        <x:v>Chưa xác minh định nghĩa độc lập của nguyên biểu thức/nghĩa chọn trong ngôn ngữ này. Đối chiếu trong hồ sơ cũ; Trang hệ thống chính trị có cập nhật các sửa đổi Hiến pháp năm 2025.</x:v>
      </x:c>
      <x:c r="K629" s="11" t="str">
        <x:v>2026-10-28</x:v>
      </x:c>
    </x:row>
    <x:row r="630" ht="57" customHeight="1">
      <x:c r="A630" s="11" t="str">
        <x:v>C167</x:v>
      </x:c>
      <x:c r="B630" s="11" t="str">
        <x:v>KO</x:v>
      </x:c>
      <x:c r="C630" s="11" t="str">
        <x:v>베트남공산당</x:v>
      </x:c>
      <x:c r="D630" s="11" t="str">
        <x:v>Tên riêng: có nguồn về đối tượng</x:v>
      </x:c>
      <x:c r="E630" s="11" t="str">
        <x:v>* Diễn giải mô tả VI</x:v>
      </x:c>
      <x:c r="F630" s="11" t="str">
        <x:v>VI</x:v>
      </x:c>
      <x:c r="G630" s="11" t="str">
        <x:v>S009</x:v>
      </x:c>
      <x:c r="H630" s="11" t="str">
        <x:v>Hệ thống chính trị</x:v>
      </x:c>
      <x:c r="I630" s="30" t="str">
        <x:v>https://vanban.chinhphu.vn/he-thong-chinh-tri-68381</x:v>
      </x:c>
      <x:c r="J630" s="11" t="str">
        <x:v>Chưa xác minh định nghĩa độc lập của nguyên biểu thức/nghĩa chọn trong ngôn ngữ này. Đối chiếu trong hồ sơ cũ; Trang hệ thống chính trị có cập nhật các sửa đổi Hiến pháp năm 2025.</x:v>
      </x:c>
      <x:c r="K630" s="11" t="str">
        <x:v>2026-10-28</x:v>
      </x:c>
    </x:row>
    <x:row r="631" ht="57" customHeight="1">
      <x:c r="A631" s="11" t="str">
        <x:v>C167</x:v>
      </x:c>
      <x:c r="B631" s="11" t="str">
        <x:v>Bổ sung</x:v>
      </x:c>
      <x:c r="C631" s="11" t="str">
        <x:v>Đảng Cộng sản Việt Nam / 베트남공산당</x:v>
      </x:c>
      <x:c r="D631" s="11" t="str">
        <x:v>Xem dòng VI/KO</x:v>
      </x:c>
      <x:c r="E631" s="11" t="str">
        <x:v>Chứng cứ cách dùng trong ngữ liệu</x:v>
      </x:c>
      <x:c r="F631" s="11" t="str">
        <x:v>KO</x:v>
      </x:c>
      <x:c r="G631" s="11" t="str">
        <x:v>S066</x:v>
      </x:c>
      <x:c r="H631" s="11" t="str">
        <x:v>Nhân Dân tiếng Hàn – dẫn chứng trong hồ sơ gốc</x:v>
      </x:c>
      <x:c r="I631" s="30" t="str">
        <x:v>https://kr.nhandan.vn/article-post3118.html</x:v>
      </x:c>
      <x:c r="J631" s="11" t="str">
        <x:v>Chứng cứ biểu thức trong corpus; không tự là định nghĩa từ điển hoặc xác nhận mọi nét nghĩa.</x:v>
      </x:c>
      <x:c r="K631" s="11" t="str">
        <x:v>2026-10-28</x:v>
      </x:c>
    </x:row>
    <x:row r="632" ht="57" customHeight="1">
      <x:c r="A632" s="11" t="str">
        <x:v>C168</x:v>
      </x:c>
      <x:c r="B632" s="11" t="str">
        <x:v>VI</x:v>
      </x:c>
      <x:c r="C632" s="11" t="str">
        <x:v>Ban Chấp hành Trung ương</x:v>
      </x:c>
      <x:c r="D632" s="11" t="str">
        <x:v>CẦN TRA — chưa xác minh mục từ</x:v>
      </x:c>
      <x:c r="E632" s="11" t="str">
        <x:v>* Nghĩa làm việc; cần nguồn định nghĩa</x:v>
      </x:c>
      <x:c r="F632" s="11" t="str">
        <x:v>Chưa có nguồn</x:v>
      </x:c>
      <x:c r="G632" s="11" t="str"/>
      <x:c r="H632" s="11" t="str">
        <x:v>Chưa xác minh nguồn định nghĩa trực tiếp</x:v>
      </x:c>
      <x:c r="I632" s="30" t="str"/>
      <x:c r="J632" s="11" t="str">
        <x:v>Chưa xác minh định nghĩa độc lập của nguyên biểu thức/nghĩa chọn trong ngôn ngữ này. </x:v>
      </x:c>
      <x:c r="K632" s="11" t="str">
        <x:v>2026-10-28</x:v>
      </x:c>
    </x:row>
    <x:row r="633" ht="57" customHeight="1">
      <x:c r="A633" s="11" t="str">
        <x:v>C168</x:v>
      </x:c>
      <x:c r="B633" s="11" t="str">
        <x:v>KO</x:v>
      </x:c>
      <x:c r="C633" s="11" t="str">
        <x:v>중앙집행위원회</x:v>
      </x:c>
      <x:c r="D633" s="11" t="str">
        <x:v>CẦN TRA — chưa xác minh mục từ</x:v>
      </x:c>
      <x:c r="E633" s="11" t="str">
        <x:v>* Nghĩa làm việc; cần nguồn định nghĩa</x:v>
      </x:c>
      <x:c r="F633" s="11" t="str">
        <x:v>Chưa có nguồn</x:v>
      </x:c>
      <x:c r="G633" s="11" t="str"/>
      <x:c r="H633" s="11" t="str">
        <x:v>Chưa xác minh nguồn định nghĩa trực tiếp</x:v>
      </x:c>
      <x:c r="I633" s="30" t="str"/>
      <x:c r="J633" s="11" t="str">
        <x:v>Chưa xác minh định nghĩa độc lập của nguyên biểu thức/nghĩa chọn trong ngôn ngữ này. </x:v>
      </x:c>
      <x:c r="K633" s="11" t="str">
        <x:v>2026-10-28</x:v>
      </x:c>
    </x:row>
    <x:row r="634" ht="72" customHeight="1">
      <x:c r="A634" s="11" t="str">
        <x:v>C169</x:v>
      </x:c>
      <x:c r="B634" s="11" t="str">
        <x:v>VI</x:v>
      </x:c>
      <x:c r="C634" s="11" t="str">
        <x:v>Hội đồng Bảo an Liên hợp quốc</x:v>
      </x:c>
      <x:c r="D634" s="11" t="str">
        <x:v>Tên riêng: có nguồn về đối tượng</x:v>
      </x:c>
      <x:c r="E634" s="11" t="str">
        <x:v>* Diễn giải mô tả EN</x:v>
      </x:c>
      <x:c r="F634" s="11" t="str">
        <x:v>EN</x:v>
      </x:c>
      <x:c r="G634" s="11" t="str">
        <x:v>S067</x:v>
      </x:c>
      <x:c r="H634" s="11" t="str">
        <x:v>Main Bodies – United Nations</x:v>
      </x:c>
      <x:c r="I634" s="30" t="str">
        <x:v>https://www.un.org/about-us/main-bodies</x:v>
      </x:c>
      <x:c r="J634"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634" s="11" t="str">
        <x:v>2026-10-28</x:v>
      </x:c>
    </x:row>
    <x:row r="635" ht="72" customHeight="1">
      <x:c r="A635" s="11" t="str">
        <x:v>C169</x:v>
      </x:c>
      <x:c r="B635" s="11" t="str">
        <x:v>KO</x:v>
      </x:c>
      <x:c r="C635" s="11" t="str">
        <x:v>유엔안보리</x:v>
      </x:c>
      <x:c r="D635" s="11" t="str">
        <x:v>Tên riêng: có nguồn về đối tượng</x:v>
      </x:c>
      <x:c r="E635" s="11" t="str">
        <x:v>* Diễn giải mô tả EN</x:v>
      </x:c>
      <x:c r="F635" s="11" t="str">
        <x:v>EN</x:v>
      </x:c>
      <x:c r="G635" s="11" t="str">
        <x:v>S067</x:v>
      </x:c>
      <x:c r="H635" s="11" t="str">
        <x:v>Main Bodies – United Nations</x:v>
      </x:c>
      <x:c r="I635" s="30" t="str">
        <x:v>https://www.un.org/about-us/main-bodies</x:v>
      </x:c>
      <x:c r="J635" s="11" t="str">
        <x:v>Chưa xác minh định nghĩa độc lập của nguyên biểu thức/nghĩa chọn trong ngôn ngữ này. Đối chiếu trong hồ sơ cũ; Đã đọc các đoạn General Assembly và Security Council từ kết quả lập chỉ mục; mở trực tiếp trả 403. Không coi là đã đọc toàn trang.</x:v>
      </x:c>
      <x:c r="K635" s="11" t="str">
        <x:v>2026-10-28</x:v>
      </x:c>
    </x:row>
    <x:row r="636" ht="57" customHeight="1">
      <x:c r="A636" s="11" t="str">
        <x:v>C169</x:v>
      </x:c>
      <x:c r="B636" s="11" t="str">
        <x:v>Bổ sung</x:v>
      </x:c>
      <x:c r="C636" s="11" t="str">
        <x:v>Hội đồng Bảo an Liên hợp quốc / 유엔안보리</x:v>
      </x:c>
      <x:c r="D636" s="11" t="str">
        <x:v>Xem dòng VI/KO</x:v>
      </x:c>
      <x:c r="E636" s="11" t="str">
        <x:v>Chứng cứ cách dùng trong ngữ liệu</x:v>
      </x:c>
      <x:c r="F636" s="11" t="str">
        <x:v>KO</x:v>
      </x:c>
      <x:c r="G636" s="11" t="str">
        <x:v>S079</x:v>
      </x:c>
      <x:c r="H636" s="11" t="str">
        <x:v>Nhân Dân tiếng Hàn – dẫn chứng trong hồ sơ gốc</x:v>
      </x:c>
      <x:c r="I636" s="30" t="str">
        <x:v>https://kr.nhandan.vn/article-post5282.html</x:v>
      </x:c>
      <x:c r="J636" s="11" t="str">
        <x:v>Chứng cứ biểu thức trong corpus; không tự là định nghĩa từ điển hoặc xác nhận mọi nét nghĩa.</x:v>
      </x:c>
      <x:c r="K636" s="11" t="str">
        <x:v>2026-10-28</x:v>
      </x:c>
    </x:row>
    <x:row r="637" ht="72" customHeight="1">
      <x:c r="A637" s="11" t="str">
        <x:v>C170</x:v>
      </x:c>
      <x:c r="B637" s="11" t="str">
        <x:v>VI</x:v>
      </x:c>
      <x:c r="C637" s="11" t="str">
        <x:v>ngoại giao kinh tế</x:v>
      </x:c>
      <x:c r="D637" s="11" t="str">
        <x:v>CẦN TRA — chưa xác minh mục từ</x:v>
      </x:c>
      <x:c r="E637" s="11" t="str">
        <x:v>* Nghĩa làm việc; cần nguồn định nghĩa</x:v>
      </x:c>
      <x:c r="F637" s="11" t="str">
        <x:v>VI</x:v>
      </x:c>
      <x:c r="G637" s="11" t="str">
        <x:v>S152</x:v>
      </x:c>
      <x:c r="H637" s="11" t="str">
        <x:v>Thủ tướng Chính phủ Phạm Minh Chính tham dự và phát biểu chỉ đạo Hội nghị Ngoại giao Kinh tế</x:v>
      </x:c>
      <x:c r="I637" s="30" t="str">
        <x:v>https://web.mofa.gov.vn/web/guest/tin-chi-tiet/chi-tiet/thu-tuong-chinh-phu-pham-minh-chinh-tham-du-va-phat-bieu-chi-dao-hoi-nghi-ngoai-giao-kinh-te-132.html</x:v>
      </x:c>
      <x:c r="J637" s="11" t="str">
        <x:v>Chưa xác minh định nghĩa độc lập của nguyên biểu thức/nghĩa chọn trong ngôn ngữ này. Nguồn dẫn trong hồ sơ định nghĩa làm việc: DIP_D20: Phiên toàn thể; phát biểu khai mạc
S09: trang in 89/PDF 89</x:v>
      </x:c>
      <x:c r="K637" s="11" t="str">
        <x:v>2026-10-28</x:v>
      </x:c>
    </x:row>
    <x:row r="638" ht="72" customHeight="1">
      <x:c r="A638" s="11" t="str">
        <x:v>C170</x:v>
      </x:c>
      <x:c r="B638" s="11" t="str">
        <x:v>KO</x:v>
      </x:c>
      <x:c r="C638" s="11" t="str">
        <x:v>경제외교</x:v>
      </x:c>
      <x:c r="D638" s="11" t="str">
        <x:v>CẦN TRA — chưa xác minh mục từ</x:v>
      </x:c>
      <x:c r="E638" s="11" t="str">
        <x:v>* Nghĩa làm việc; cần nguồn định nghĩa</x:v>
      </x:c>
      <x:c r="F638" s="11" t="str">
        <x:v>VI</x:v>
      </x:c>
      <x:c r="G638" s="11" t="str">
        <x:v>S152</x:v>
      </x:c>
      <x:c r="H638" s="11" t="str">
        <x:v>Diễn đạt tiếng Hàn từ nghĩa làm việc; Thủ tướng Chính phủ Phạm Minh Chính tham dự và phát biểu chỉ đạo Hội nghị Ngoại giao Kinh tế</x:v>
      </x:c>
      <x:c r="I638" s="30" t="str">
        <x:v>https://web.mofa.gov.vn/web/guest/tin-chi-tiet/chi-tiet/thu-tuong-chinh-phu-pham-minh-chinh-tham-du-va-phat-bieu-chi-dao-hoi-nghi-ngoai-giao-kinh-te-132.html</x:v>
      </x:c>
      <x:c r="J638" s="11" t="str">
        <x:v>Chưa xác minh định nghĩa độc lập của nguyên biểu thức/nghĩa chọn trong ngôn ngữ này. Nguồn dẫn trong hồ sơ định nghĩa làm việc: DIP_D20: Phiên toàn thể; phát biểu khai mạc
S09: trang in 89/PDF 89</x:v>
      </x:c>
      <x:c r="K638" s="11" t="str">
        <x:v>2026-10-28</x:v>
      </x:c>
    </x:row>
    <x:row r="639" ht="57" customHeight="1">
      <x:c r="A639" s="11" t="str">
        <x:v>C175</x:v>
      </x:c>
      <x:c r="B639" s="11" t="str">
        <x:v>VI</x:v>
      </x:c>
      <x:c r="C639" s="11" t="str">
        <x:v>hội nhập quốc tế</x:v>
      </x:c>
      <x:c r="D639" s="11" t="str">
        <x:v>CẦN TRA — chưa xác minh mục từ</x:v>
      </x:c>
      <x:c r="E639" s="11" t="str">
        <x:v>* Nghĩa làm việc; cần nguồn định nghĩa</x:v>
      </x:c>
      <x:c r="F639" s="11" t="str">
        <x:v>VI</x:v>
      </x:c>
      <x:c r="G639" s="11" t="str">
        <x:v>S116</x:v>
      </x:c>
      <x:c r="H639" s="11" t="str">
        <x:v>Chủ động, tích cực triển khai Nghị quyết Đại hội Đảng toàn quốc lần thứ XIV trong công tác Đối ngoại</x:v>
      </x:c>
      <x:c r="I639" s="30" t="str">
        <x:v>https://mofa.gov.vn/vi/tin-chi-tiet/chi-tiet/chu-dong-tich-cuc-trien-khai-nghi-quyet-dai-hoi-dang-toan-quoc-lan-thu-xiv-trong-cong-tac-doi-ngoai-58834-140.html</x:v>
      </x:c>
      <x:c r="J639" s="11" t="str">
        <x:v>Chưa xác minh định nghĩa độc lập của nguyên biểu thức/nghĩa chọn trong ngôn ngữ này. Nguồn dẫn trong hồ sơ cũ; không phải xác nhận đã tìm được mục từ giải nghĩa trực tiếp.</x:v>
      </x:c>
      <x:c r="K639" s="11" t="str">
        <x:v>2026-10-28</x:v>
      </x:c>
    </x:row>
    <x:row r="640" ht="57" customHeight="1">
      <x:c r="A640" s="11" t="str">
        <x:v>C175</x:v>
      </x:c>
      <x:c r="B640" s="11" t="str">
        <x:v>KO</x:v>
      </x:c>
      <x:c r="C640" s="11" t="str">
        <x:v>국제통합</x:v>
      </x:c>
      <x:c r="D640" s="11" t="str">
        <x:v>CẦN TRA — chưa xác minh mục từ</x:v>
      </x:c>
      <x:c r="E640" s="11" t="str">
        <x:v>* Nghĩa làm việc; cần nguồn định nghĩa</x:v>
      </x:c>
      <x:c r="F640" s="11" t="str">
        <x:v>VI</x:v>
      </x:c>
      <x:c r="G640" s="11" t="str">
        <x:v>S116</x:v>
      </x:c>
      <x:c r="H640" s="11" t="str">
        <x:v>Diễn đạt tiếng Hàn từ nghĩa làm việc; Chủ động, tích cực triển khai Nghị quyết Đại hội Đảng toàn quốc lần thứ XIV trong công tác Đối ngoại</x:v>
      </x:c>
      <x:c r="I640" s="30" t="str">
        <x:v>https://mofa.gov.vn/vi/tin-chi-tiet/chi-tiet/chu-dong-tich-cuc-trien-khai-nghi-quyet-dai-hoi-dang-toan-quoc-lan-thu-xiv-trong-cong-tac-doi-ngoai-58834-140.html</x:v>
      </x:c>
      <x:c r="J640" s="11" t="str">
        <x:v>Chưa xác minh định nghĩa độc lập của nguyên biểu thức/nghĩa chọn trong ngôn ngữ này. Nguồn dẫn trong hồ sơ cũ; không phải xác nhận đã tìm được mục từ giải nghĩa trực tiếp.</x:v>
      </x:c>
      <x:c r="K640" s="11" t="str">
        <x:v>2026-10-28</x:v>
      </x:c>
    </x:row>
    <x:row r="641" ht="57" customHeight="1">
      <x:c r="A641" s="11" t="str">
        <x:v>C182</x:v>
      </x:c>
      <x:c r="B641" s="11" t="str">
        <x:v>VI</x:v>
      </x:c>
      <x:c r="C641" s="11" t="str">
        <x:v>Hiệp ước Biển cả</x:v>
      </x:c>
      <x:c r="D641" s="11" t="str">
        <x:v>Tên riêng: có nguồn về đối tượng</x:v>
      </x:c>
      <x:c r="E641" s="11" t="str">
        <x:v>* Mô tả chính thức</x:v>
      </x:c>
      <x:c r="F641" s="11" t="str">
        <x:v>VI</x:v>
      </x:c>
      <x:c r="G641" s="11" t="str">
        <x:v>S241</x:v>
      </x:c>
      <x:c r="H641" s="11" t="str">
        <x:v>Bộ Ngoại giao Việt Nam — Phỏng vấn về Hiệp ước Biển cả/Hiệp định BBNJ</x:v>
      </x:c>
      <x:c r="I641" s="30" t="str">
        <x:v>https://web.mofa.gov.vn/vi/web/guest/tin-chi-tiet/chi-tiet/uy-vien-du-khuyet-trung-uong-dang-thu-truong-thuong-truc-bo-ngoai-giao-nguyen-minh-vu-tra-loi-phong-van-nhan-dip-hiep-uoc-bien-ca-co-hieu-luc-58409-140.html</x:v>
      </x:c>
      <x:c r="J641" s="11" t="str">
        <x:v>Chưa xác minh định nghĩa độc lập của nguyên biểu thức/nghĩa chọn trong ngôn ngữ này. Nguồn định danh BBNJ và phân biệt với UNCLOS.</x:v>
      </x:c>
      <x:c r="K641" s="11" t="str">
        <x:v>2026-10-28</x:v>
      </x:c>
    </x:row>
    <x:row r="642" ht="57" customHeight="1">
      <x:c r="A642" s="11" t="str">
        <x:v>C182</x:v>
      </x:c>
      <x:c r="B642" s="11" t="str">
        <x:v>KO</x:v>
      </x:c>
      <x:c r="C642" s="11" t="str">
        <x:v>공해조약</x:v>
      </x:c>
      <x:c r="D642" s="11" t="str">
        <x:v>Tên riêng: có nguồn về đối tượng</x:v>
      </x:c>
      <x:c r="E642" s="11" t="str">
        <x:v>* Diễn giải mô tả VI</x:v>
      </x:c>
      <x:c r="F642" s="11" t="str">
        <x:v>VI</x:v>
      </x:c>
      <x:c r="G642" s="11" t="str">
        <x:v>S241</x:v>
      </x:c>
      <x:c r="H642" s="11" t="str">
        <x:v>Bộ Ngoại giao Việt Nam — Phỏng vấn về Hiệp ước Biển cả/Hiệp định BBNJ</x:v>
      </x:c>
      <x:c r="I642" s="30" t="str">
        <x:v>https://web.mofa.gov.vn/vi/web/guest/tin-chi-tiet/chi-tiet/uy-vien-du-khuyet-trung-uong-dang-thu-truong-thuong-truc-bo-ngoai-giao-nguyen-minh-vu-tra-loi-phong-van-nhan-dip-hiep-uoc-bien-ca-co-hieu-luc-58409-140.html</x:v>
      </x:c>
      <x:c r="J642" s="11" t="str">
        <x:v>Chưa xác minh định nghĩa độc lập của nguyên biểu thức/nghĩa chọn trong ngôn ngữ này. Nguồn định danh BBNJ và phân biệt với UNCLOS.</x:v>
      </x:c>
      <x:c r="K642" s="11" t="str">
        <x:v>2026-10-28</x:v>
      </x:c>
    </x:row>
    <x:row r="643" ht="57" customHeight="1">
      <x:c r="A643" s="11" t="str">
        <x:v>C186</x:v>
      </x:c>
      <x:c r="B643" s="11" t="str">
        <x:v>VI</x:v>
      </x:c>
      <x:c r="C643" s="11" t="str">
        <x:v>chạy đua vũ ttrang</x:v>
      </x:c>
      <x:c r="D643" s="11" t="str">
        <x:v>CẦN TRA — chưa xác minh mục từ</x:v>
      </x:c>
      <x:c r="E643" s="11" t="str">
        <x:v>Diễn giải từ mục từ KO; cần nguồn VI</x:v>
      </x:c>
      <x:c r="F643" s="11" t="str">
        <x:v>KO</x:v>
      </x:c>
      <x:c r="G643" s="11" t="str">
        <x:v>S242</x:v>
      </x:c>
      <x:c r="H643" s="11" t="str">
        <x:v>국립국어원 온용어: 군비 경쟁 — 국립국어원 우리말샘</x:v>
      </x:c>
      <x:c r="I643" s="30" t="str">
        <x:v>https://kli.korean.go.kr/term/trgtWord/indexTrgtWord.do?trgtWordNo=2064277</x:v>
      </x:c>
      <x:c r="J643" s="11" t="str">
        <x:v>Chưa xác minh định nghĩa độc lập của nguyên biểu thức/nghĩa chọn trong ngôn ngữ này. Mục từ đầy đủ có đơn vị biên soạn; diễn giải theo nghĩa chuyên ngành, không sao chép định nghĩa.</x:v>
      </x:c>
      <x:c r="K643" s="11" t="str">
        <x:v>2026-10-28</x:v>
      </x:c>
    </x:row>
    <x:row r="644" ht="57" customHeight="1">
      <x:c r="A644" s="11" t="str">
        <x:v>C186</x:v>
      </x:c>
      <x:c r="B644" s="11" t="str">
        <x:v>KO</x:v>
      </x:c>
      <x:c r="C644" s="11" t="str">
        <x:v>군비 경쟁</x:v>
      </x:c>
      <x:c r="D644" s="11" t="str">
        <x:v>Có mục từ và đã đọc nghĩa</x:v>
      </x:c>
      <x:c r="E644" s="11" t="str">
        <x:v>Mục từ có nghĩa [KO]</x:v>
      </x:c>
      <x:c r="F644" s="11" t="str">
        <x:v>KO</x:v>
      </x:c>
      <x:c r="G644" s="11" t="str">
        <x:v>S242</x:v>
      </x:c>
      <x:c r="H644" s="11" t="str">
        <x:v>국립국어원 온용어: 군비 경쟁 — 국립국어원 우리말샘</x:v>
      </x:c>
      <x:c r="I644" s="30" t="str">
        <x:v>https://kli.korean.go.kr/term/trgtWord/indexTrgtWord.do?trgtWordNo=2064277</x:v>
      </x:c>
      <x:c r="J644" s="11" t="str">
        <x:v>Đã đọc nguồn giải nghĩa bằng ngôn ngữ này; vẫn đối chiếu nghĩa chọn và ghi chú.</x:v>
      </x:c>
      <x:c r="K644" s="11" t="str">
        <x:v>2026-10-28</x:v>
      </x:c>
    </x:row>
    <x:row r="645" ht="85.5" customHeight="1">
      <x:c r="A645" s="11" t="str">
        <x:v>T085</x:v>
      </x:c>
      <x:c r="B645" s="11" t="str">
        <x:v>VI–EN</x:v>
      </x:c>
      <x:c r="C645" s="11" t="str">
        <x:v>Bí thư Trung ương Đảng → Secretary of the Party Central Committee</x:v>
      </x:c>
      <x:c r="D645" s="11" t="str">
        <x:v>Không kết luận mục từ từ điển từ nguồn này.</x:v>
      </x:c>
      <x:c r="E645" s="11" t="str">
        <x:v>Đối chiếu văn bản song song</x:v>
      </x:c>
      <x:c r="F645" s="11" t="str">
        <x:v>vi + en</x:v>
      </x:c>
      <x:c r="G645" s="11" t="str">
        <x:v>EB001</x:v>
      </x:c>
      <x:c r="H645" s="11" t="str">
        <x:v>Văn phòng Chủ tịch nước: Tổng Bí thư Tô Lâm lên đường dự họp Gaza, 18/02/2026 | Nhân Dân/VNA: Party leader leaves for inaugural meeting of Gaza Board of Peace in US, 18/02/2026</x:v>
      </x:c>
      <x:c r="I645" s="30" t="str">
        <x:v>https://vpctn.gov.vn/tin-tuc-su-kien/hoat-dong-cua-lanh-dao-dang-nha-nuoc/tong-bi-thu-to-lam-len-duong-tham-du-cuoc-hop-khai-mac-hoi-dong-hoa-binh-ve-gaza.html
https://en.nhandan.vn/party-leader-leaves-for-inaugural-meeting-of-gaza-board-of-peace-in-us-post159197.html</x:v>
      </x:c>
      <x:c r="J645" s="11" t="str">
        <x:v>Đối chiếu cùng người (Phạm Gia Túc), cùng chuyến đi ngày 18/02/2026 và cùng chức vụ trong các bản tin chính thức; tên người dùng để khóa nghĩa, không thay thế kiểm tra danh hiệu.
Nghĩa dùng để đối chiếu: Chức danh Bí thư ở Trung ương Đảng, tham gia Ban Bí thư theo cơ cấu tổ chức được dẫn.</x:v>
      </x:c>
      <x:c r="K645" s="11" t="str">
        <x:v>2026-10-29 (KST)</x:v>
      </x:c>
    </x:row>
    <x:row r="646" ht="85.5" customHeight="1">
      <x:c r="A646" s="11" t="str">
        <x:v>T085</x:v>
      </x:c>
      <x:c r="B646" s="11" t="str">
        <x:v>KO–EN</x:v>
      </x:c>
      <x:c r="C646" s="11" t="str">
        <x:v>당 중앙위원회 서기 → Secretary of the Party Central Committee</x:v>
      </x:c>
      <x:c r="D646" s="11" t="str">
        <x:v>Không kết luận mục từ từ điển từ nguồn này.</x:v>
      </x:c>
      <x:c r="E646" s="11" t="str">
        <x:v>Đối chiếu văn bản song song</x:v>
      </x:c>
      <x:c r="F646" s="11" t="str">
        <x:v>ko + en</x:v>
      </x:c>
      <x:c r="G646" s="11" t="str">
        <x:v>EB002</x:v>
      </x:c>
      <x:c r="H646" s="11" t="str">
        <x:v>Nhân Dân tiếng Hàn: 또럼 당 서기장… 출국, 18/02/2026 | Nhân Dân/VNA: Party leader leaves for inaugural meeting of Gaza Board of Peace in US, 18/02/2026</x:v>
      </x:c>
      <x:c r="I646" s="30" t="str">
        <x:v>https://kr.nhandan.vn/article-post4069.html
https://en.nhandan.vn/party-leader-leaves-for-inaugural-meeting-of-gaza-board-of-peace-in-us-post159197.html</x:v>
      </x:c>
      <x:c r="J646" s="11" t="str">
        <x:v>Đối chiếu cùng người (Phạm Gia Túc), cùng chuyến đi ngày 18/02/2026 và cùng chức vụ trong các bản tin chính thức; tên người dùng để khóa nghĩa, không thay thế kiểm tra danh hiệu.
Nghĩa dùng để đối chiếu: Chức danh Bí thư ở Trung ương Đảng, tham gia Ban Bí thư theo cơ cấu tổ chức được dẫn.</x:v>
      </x:c>
      <x:c r="K646" s="11" t="str">
        <x:v>2026-10-29 (KST)</x:v>
      </x:c>
    </x:row>
    <x:row r="647" ht="75" customHeight="1">
      <x:c r="A647" s="11" t="str">
        <x:v>T078</x:v>
      </x:c>
      <x:c r="B647" s="11" t="str">
        <x:v>VI–EN</x:v>
      </x:c>
      <x:c r="C647" s="11" t="str">
        <x:v>Bộ trưởng → minister</x:v>
      </x:c>
      <x:c r="D647" s="11" t="str">
        <x:v>Đối dịch trong từ điển; không mặc nhiên là định nghĩa Việt/Hàn độc lập.</x:v>
      </x:c>
      <x:c r="E647" s="11" t="str">
        <x:v>Đối dịch trong từ điển</x:v>
      </x:c>
      <x:c r="F647" s="11" t="str">
        <x:v>en+vi</x:v>
      </x:c>
      <x:c r="G647" s="11" t="str">
        <x:v>EB003</x:v>
      </x:c>
      <x:c r="H647" s="11" t="str">
        <x:v>PASSWORD English–Vietnamese Dictionary: minister (Cambridge/K Dictionaries)</x:v>
      </x:c>
      <x:c r="I647" s="30" t="str">
        <x:v>https://dictionary.cambridge.org/dictionary/english-vietnamese/minister</x:v>
      </x:c>
      <x:c r="J647" s="11" t="str">
        <x:v>Đọc được cặp nhãn và bản dịch đúng nghĩa trong nguồn dẫn.
Nghĩa dùng để đối chiếu: Người đứng đầu một bộ, phụ trách quản lý lĩnh vực được giao.</x:v>
      </x:c>
      <x:c r="K647" s="11" t="str">
        <x:v>2026-10-29 (KST)</x:v>
      </x:c>
    </x:row>
    <x:row r="648" ht="75" customHeight="1">
      <x:c r="A648" s="11" t="str">
        <x:v>T078</x:v>
      </x:c>
      <x:c r="B648" s="11" t="str">
        <x:v>KO–EN</x:v>
      </x:c>
      <x:c r="C648" s="11" t="str">
        <x:v>장관 → minister</x:v>
      </x:c>
      <x:c r="D648" s="11" t="str">
        <x:v>Không kết luận mục từ từ điển từ nguồn này.</x:v>
      </x:c>
      <x:c r="E648" s="11" t="str">
        <x:v>Đối dịch tường minh trong nguồn</x:v>
      </x:c>
      <x:c r="F648" s="11" t="str">
        <x:v>ko+en</x:v>
      </x:c>
      <x:c r="G648" s="11" t="str">
        <x:v>EB004</x:v>
      </x:c>
      <x:c r="H648" s="11" t="str">
        <x:v>정부조직 영어명칭에 관한 규칙, 2018 — Điều 6–8</x:v>
      </x:c>
      <x:c r="I648" s="30" t="str">
        <x:v>https://law.go.kr/LSW/admRulLsInfoP.do?admRulSeq=2100000139869&amp;chrClsCd=</x:v>
      </x:c>
      <x:c r="J648" s="11" t="str">
        <x:v>Đọc được cặp nhãn và bản dịch đúng nghĩa trong nguồn dẫn.
Nghĩa dùng để đối chiếu: Người đứng đầu một bộ, phụ trách quản lý lĩnh vực được giao.</x:v>
      </x:c>
      <x:c r="K648" s="11" t="str">
        <x:v>2026-10-29 (KST)</x:v>
      </x:c>
    </x:row>
    <x:row r="649" ht="85.5" customHeight="1">
      <x:c r="A649" s="11" t="str">
        <x:v>T103</x:v>
      </x:c>
      <x:c r="B649" s="11" t="str">
        <x:v>VI–EN</x:v>
      </x:c>
      <x:c r="C649" s="11" t="str">
        <x:v>Bộ trưởng Bộ Công an → Minister of Public Security</x:v>
      </x:c>
      <x:c r="D649" s="11" t="str">
        <x:v>Không kết luận mục từ từ điển từ nguồn này.</x:v>
      </x:c>
      <x:c r="E649" s="11" t="str">
        <x:v>Đối chiếu văn bản song song</x:v>
      </x:c>
      <x:c r="F649" s="11" t="str">
        <x:v>vi + en</x:v>
      </x:c>
      <x:c r="G649" s="11" t="str">
        <x:v>EB005</x:v>
      </x:c>
      <x:c r="H649" s="11" t="str">
        <x:v>Văn phòng Chủ tịch nước: Tổng Bí thư Tô Lâm lên đường dự họp Gaza, 18/02/2026 | Nhân Dân/VNA: Party leader leaves for inaugural meeting of Gaza Board of Peace in US, 18/02/2026</x:v>
      </x:c>
      <x:c r="I649" s="30" t="str">
        <x:v>https://vpctn.gov.vn/tin-tuc-su-kien/hoat-dong-cua-lanh-dao-dang-nha-nuoc/tong-bi-thu-to-lam-len-duong-tham-du-cuoc-hop-khai-mac-hoi-dong-hoa-binh-ve-gaza.html
https://en.nhandan.vn/party-leader-leaves-for-inaugural-meeting-of-gaza-board-of-peace-in-us-post159197.html</x:v>
      </x:c>
      <x:c r="J649" s="11" t="str">
        <x:v>Đối chiếu cùng người (Lương Tam Quang), cùng chuyến đi ngày 18/02/2026 và cùng chức vụ trong các bản tin chính thức; tên người dùng để khóa nghĩa, không thay thế kiểm tra danh hiệu.
Nghĩa dùng để đối chiếu: Chức danh người đứng đầu Bộ Công an.</x:v>
      </x:c>
      <x:c r="K649" s="11" t="str">
        <x:v>2026-10-29 (KST)</x:v>
      </x:c>
    </x:row>
    <x:row r="650" ht="75" customHeight="1">
      <x:c r="A650" s="11" t="str">
        <x:v>T103</x:v>
      </x:c>
      <x:c r="B650" s="11" t="str">
        <x:v>KO–EN</x:v>
      </x:c>
      <x:c r="C650" s="11" t="str">
        <x:v>공안부 장관 → Minister of Public Security</x:v>
      </x:c>
      <x:c r="D650" s="11" t="str">
        <x:v>Không kết luận mục từ từ điển từ nguồn này.</x:v>
      </x:c>
      <x:c r="E650" s="11" t="str">
        <x:v>Đối chiếu văn bản song song</x:v>
      </x:c>
      <x:c r="F650" s="11" t="str">
        <x:v>ko + en</x:v>
      </x:c>
      <x:c r="G650" s="11" t="str">
        <x:v>EB006</x:v>
      </x:c>
      <x:c r="H650" s="11" t="str">
        <x:v>Nhân Dân tiếng Hàn: 또럼 당 서기장… 출국, 18/02/2026 | Nhân Dân/VNA: Party leader leaves for inaugural meeting of Gaza Board of Peace in US, 18/02/2026</x:v>
      </x:c>
      <x:c r="I650" s="30" t="str">
        <x:v>https://kr.nhandan.vn/article-post4069.html
https://en.nhandan.vn/party-leader-leaves-for-inaugural-meeting-of-gaza-board-of-peace-in-us-post159197.html</x:v>
      </x:c>
      <x:c r="J650" s="11" t="str">
        <x:v>Đối chiếu cùng người (Lương Tam Quang), cùng chuyến đi ngày 18/02/2026 và cùng chức vụ trong các bản tin chính thức; tên người dùng để khóa nghĩa, không thay thế kiểm tra danh hiệu.
Nghĩa dùng để đối chiếu: Chức danh người đứng đầu Bộ Công an.</x:v>
      </x:c>
      <x:c r="K650" s="11" t="str">
        <x:v>2026-10-29 (KST)</x:v>
      </x:c>
    </x:row>
    <x:row r="651" ht="75" customHeight="1">
      <x:c r="A651" s="11" t="str">
        <x:v>T100</x:v>
      </x:c>
      <x:c r="B651" s="11" t="str">
        <x:v>VI–EN</x:v>
      </x:c>
      <x:c r="C651" s="11" t="str">
        <x:v>Bộ trưởng Bộ Ngoại giao → Minister of Foreign Affairs</x:v>
      </x:c>
      <x:c r="D651" s="11" t="str">
        <x:v>Không kết luận mục từ từ điển từ nguồn này.</x:v>
      </x:c>
      <x:c r="E651" s="11" t="str">
        <x:v>Đối chiếu văn bản song song</x:v>
      </x:c>
      <x:c r="F651" s="11" t="str">
        <x:v>vi + en</x:v>
      </x:c>
      <x:c r="G651" s="11" t="str">
        <x:v>EB007</x:v>
      </x:c>
      <x:c r="H651" s="11" t="str">
        <x:v>Nhân Dân: Bộ trưởng Lê Hoài Trung tiếp Park Yoon Joo, 03/04/2026 | VNA: Foreign Minister calls for enhancing Vietnam–RoK cooperation effectiveness, 03/04/2026</x:v>
      </x:c>
      <x:c r="I651" s="30" t="str">
        <x:v>https://nhandan.vn/bo-truong-ngoai-giao-le-hoai-trung-tiep-thu-truong-thu-nhat-bo-ngoai-giao-han-quoc-park-joon-yoo-post953129.html
https://en.vietnamplus.vn/foreign-minister-calls-for-enhancing-vietnam-rok-cooperation-effectiveness-post340476.vnp</x:v>
      </x:c>
      <x:c r="J651" s="11" t="str">
        <x:v>Ba bài ghi cùng cuộc gặp ngày 03/04/2026; khóa đúng Lê Hoài Trung, Park Yoon Joo và Nguyễn Minh Vũ, tách ba chức danh.
Nghĩa dùng để đối chiếu: Chức danh người đứng đầu Bộ Ngoại giao.</x:v>
      </x:c>
      <x:c r="K651" s="11" t="str">
        <x:v>2026-10-29 (KST)</x:v>
      </x:c>
    </x:row>
    <x:row r="652" ht="75" customHeight="1">
      <x:c r="A652" s="11" t="str">
        <x:v>T100</x:v>
      </x:c>
      <x:c r="B652" s="11" t="str">
        <x:v>KO–EN</x:v>
      </x:c>
      <x:c r="C652" s="11" t="str">
        <x:v>외교부 장관 → Minister of Foreign Affairs</x:v>
      </x:c>
      <x:c r="D652" s="11" t="str">
        <x:v>Không kết luận mục từ từ điển từ nguồn này.</x:v>
      </x:c>
      <x:c r="E652" s="11" t="str">
        <x:v>Đối chiếu văn bản song song</x:v>
      </x:c>
      <x:c r="F652" s="11" t="str">
        <x:v>ko + en</x:v>
      </x:c>
      <x:c r="G652" s="11" t="str">
        <x:v>EB008</x:v>
      </x:c>
      <x:c r="H652" s="11" t="str">
        <x:v>Nhân Dân Hàn: 쭝 외교장관, 박윤주 한국 외교차관 접견, 04/04/2026 | VNA: Foreign Minister calls for enhancing Vietnam–RoK cooperation effectiveness, 03/04/2026</x:v>
      </x:c>
      <x:c r="I652" s="30" t="str">
        <x:v>https://kr.nhandan.vn/article-post4752.html
https://en.vietnamplus.vn/foreign-minister-calls-for-enhancing-vietnam-rok-cooperation-effectiveness-post340476.vnp</x:v>
      </x:c>
      <x:c r="J652" s="11" t="str">
        <x:v>Ba bài ghi cùng cuộc gặp ngày 03/04/2026; khóa đúng Lê Hoài Trung, Park Yoon Joo và Nguyễn Minh Vũ, tách ba chức danh.
Nghĩa dùng để đối chiếu: Chức danh người đứng đầu Bộ Ngoại giao.</x:v>
      </x:c>
      <x:c r="K652" s="11" t="str">
        <x:v>2026-10-29 (KST)</x:v>
      </x:c>
    </x:row>
    <x:row r="653" ht="85.5" customHeight="1">
      <x:c r="A653" s="11" t="str">
        <x:v>T101</x:v>
      </x:c>
      <x:c r="B653" s="11" t="str">
        <x:v>VI–EN</x:v>
      </x:c>
      <x:c r="C653" s="11" t="str">
        <x:v>Bộ trưởng Bộ Quốc phòng → Minister of National Defence</x:v>
      </x:c>
      <x:c r="D653" s="11" t="str">
        <x:v>Không kết luận mục từ từ điển từ nguồn này.</x:v>
      </x:c>
      <x:c r="E653" s="11" t="str">
        <x:v>Đối chiếu văn bản song song</x:v>
      </x:c>
      <x:c r="F653" s="11" t="str">
        <x:v>vi + en</x:v>
      </x:c>
      <x:c r="G653" s="11" t="str">
        <x:v>EB009</x:v>
      </x:c>
      <x:c r="H653" s="11" t="str">
        <x:v>Văn phòng Chủ tịch nước: Tổng Bí thư Tô Lâm lên đường dự họp Gaza, 18/02/2026 | Nhân Dân/VNA: Party leader leaves for inaugural meeting of Gaza Board of Peace in US, 18/02/2026</x:v>
      </x:c>
      <x:c r="I653" s="30" t="str">
        <x:v>https://vpctn.gov.vn/tin-tuc-su-kien/hoat-dong-cua-lanh-dao-dang-nha-nuoc/tong-bi-thu-to-lam-len-duong-tham-du-cuoc-hop-khai-mac-hoi-dong-hoa-binh-ve-gaza.html
https://en.nhandan.vn/party-leader-leaves-for-inaugural-meeting-of-gaza-board-of-peace-in-us-post159197.html</x:v>
      </x:c>
      <x:c r="J653" s="11" t="str">
        <x:v>Đối chiếu cùng người (Phan Văn Giang), cùng chuyến đi ngày 18/02/2026 và cùng chức vụ trong các bản tin chính thức; tên người dùng để khóa nghĩa, không thay thế kiểm tra danh hiệu.
Nghĩa dùng để đối chiếu: Chức danh người đứng đầu Bộ Quốc phòng.</x:v>
      </x:c>
      <x:c r="K653" s="11" t="str">
        <x:v>2026-10-29 (KST)</x:v>
      </x:c>
    </x:row>
    <x:row r="654" ht="75" customHeight="1">
      <x:c r="A654" s="11" t="str">
        <x:v>T101</x:v>
      </x:c>
      <x:c r="B654" s="11" t="str">
        <x:v>KO–EN</x:v>
      </x:c>
      <x:c r="C654" s="11" t="str">
        <x:v>국방부 장관 → Minister of National Defence</x:v>
      </x:c>
      <x:c r="D654" s="11" t="str">
        <x:v>Không kết luận mục từ từ điển từ nguồn này.</x:v>
      </x:c>
      <x:c r="E654" s="11" t="str">
        <x:v>Đối chiếu văn bản song song</x:v>
      </x:c>
      <x:c r="F654" s="11" t="str">
        <x:v>ko + en</x:v>
      </x:c>
      <x:c r="G654" s="11" t="str">
        <x:v>EB010</x:v>
      </x:c>
      <x:c r="H654" s="11" t="str">
        <x:v>Nhân Dân tiếng Hàn: 또럼 당 서기장… 출국, 18/02/2026 | Nhân Dân/VNA: Party leader leaves for inaugural meeting of Gaza Board of Peace in US, 18/02/2026</x:v>
      </x:c>
      <x:c r="I654" s="30" t="str">
        <x:v>https://kr.nhandan.vn/article-post4069.html
https://en.nhandan.vn/party-leader-leaves-for-inaugural-meeting-of-gaza-board-of-peace-in-us-post159197.html</x:v>
      </x:c>
      <x:c r="J654" s="11" t="str">
        <x:v>Đối chiếu cùng người (Phan Văn Giang), cùng chuyến đi ngày 18/02/2026 và cùng chức vụ trong các bản tin chính thức; tên người dùng để khóa nghĩa, không thay thế kiểm tra danh hiệu.
Nghĩa dùng để đối chiếu: Chức danh người đứng đầu Bộ Quốc phòng.</x:v>
      </x:c>
      <x:c r="K654" s="11" t="str">
        <x:v>2026-10-29 (KST)</x:v>
      </x:c>
    </x:row>
    <x:row r="655" ht="75" customHeight="1">
      <x:c r="A655" s="11" t="str">
        <x:v>T076</x:v>
      </x:c>
      <x:c r="B655" s="11" t="str">
        <x:v>VI–EN</x:v>
      </x:c>
      <x:c r="C655" s="11" t="str">
        <x:v>Chủ tịch nước → President of the Socialist Republic of Viet Nam</x:v>
      </x:c>
      <x:c r="D655" s="11" t="str">
        <x:v>Không kết luận mục từ từ điển từ nguồn này.</x:v>
      </x:c>
      <x:c r="E655" s="11" t="str">
        <x:v>Đối dịch tường minh trong nguồn</x:v>
      </x:c>
      <x:c r="F655" s="11" t="str">
        <x:v>vi+en</x:v>
      </x:c>
      <x:c r="G655" s="11" t="str">
        <x:v>EB011</x:v>
      </x:c>
      <x:c r="H655" s="11" t="str">
        <x:v>Hướng dẫn dịch chức danh sang tiếng Anh — bản công bố tại ĐH Dược Hà Nội ngày 01/03/2016, nội dung TT03/2009 | Thông tư 03/2009/TT-BNG — bản Bộ Công Thương lưu</x:v>
      </x:c>
      <x:c r="I655" s="30" t="str">
        <x:v>https://hup.edu.vn/hop-tac-quoc-te/van-ban-phap-quy-ve-htqt/huong-dan-dich-quoc-hieu-ten-cac-co-quan-don-vi-va-chuc-danh-lanh-dao-can-bo-cong-chuc-trong-he-thong-hanh-chinh-nha-nuoc-sang-tieng-anh-de-giao-dich-doi-ngoai-3357
https://moit.gov.vn/upload/2005517/20210623/TT%2003-2009-BNG.pdf</x:v>
      </x:c>
      <x:c r="J655" s="11" t="str">
        <x:v>Đọc bảng tương ứng của hướng dẫn TT03/2009 qua bản trường công lập công bố; nguồn lịch sử, không khẳng định là quy định hiện hành sau TT05/2026.
Nghĩa dùng để đối chiếu: Nguyên thủ Việt Nam, đại diện Nhà nước về đối nội và đối ngoại.</x:v>
      </x:c>
      <x:c r="K655" s="11" t="str">
        <x:v>2026-10-29 (KST)</x:v>
      </x:c>
    </x:row>
    <x:row r="656" ht="75" customHeight="1">
      <x:c r="A656" s="11" t="str">
        <x:v>T089</x:v>
      </x:c>
      <x:c r="B656" s="11" t="str">
        <x:v>VI–EN</x:v>
      </x:c>
      <x:c r="C656" s="11" t="str">
        <x:v>Chủ tịch Ủy ban nhân dân → Chairman/Chairwoman of the People’s Committee</x:v>
      </x:c>
      <x:c r="D656" s="11" t="str">
        <x:v>Không kết luận mục từ từ điển từ nguồn này.</x:v>
      </x:c>
      <x:c r="E656" s="11" t="str">
        <x:v>Đối dịch tường minh trong nguồn</x:v>
      </x:c>
      <x:c r="F656" s="11" t="str">
        <x:v>vi+en</x:v>
      </x:c>
      <x:c r="G656" s="11" t="str">
        <x:v>EB012</x:v>
      </x:c>
      <x:c r="H656" s="11" t="str">
        <x:v>Hướng dẫn dịch chức danh sang tiếng Anh — bản công bố tại ĐH Dược Hà Nội ngày 01/03/2016, nội dung TT03/2009 | Thông tư 03/2009/TT-BNG — bản Bộ Công Thương lưu</x:v>
      </x:c>
      <x:c r="I656" s="30" t="str">
        <x:v>https://hup.edu.vn/hop-tac-quoc-te/van-ban-phap-quy-ve-htqt/huong-dan-dich-quoc-hieu-ten-cac-co-quan-don-vi-va-chuc-danh-lanh-dao-can-bo-cong-chuc-trong-he-thong-hanh-chinh-nha-nuoc-sang-tieng-anh-de-giao-dich-doi-ngoai-3357
https://moit.gov.vn/upload/2005517/20210623/TT%2003-2009-BNG.pdf</x:v>
      </x:c>
      <x:c r="J656" s="11" t="str">
        <x:v>Đọc bảng tương ứng của hướng dẫn TT03/2009 qua bản trường công lập công bố; nguồn lịch sử, không khẳng định là quy định hiện hành sau TT05/2026.
Nghĩa dùng để đối chiếu: Chức danh người đứng đầu Ủy ban nhân dân của một cấp chính quyền địa phương.</x:v>
      </x:c>
      <x:c r="K656" s="11" t="str">
        <x:v>2026-10-29 (KST)</x:v>
      </x:c>
    </x:row>
    <x:row r="657" ht="75" customHeight="1">
      <x:c r="A657" s="11" t="str">
        <x:v>T003</x:v>
      </x:c>
      <x:c r="B657" s="11" t="str">
        <x:v>VI–EN</x:v>
      </x:c>
      <x:c r="C657" s="11" t="str">
        <x:v>cử tri → voter</x:v>
      </x:c>
      <x:c r="D657" s="11" t="str">
        <x:v>Không kết luận mục từ từ điển từ nguồn này.</x:v>
      </x:c>
      <x:c r="E657" s="11" t="str">
        <x:v>Đối dịch tường minh trong nguồn</x:v>
      </x:c>
      <x:c r="F657" s="11" t="str">
        <x:v>en+vi</x:v>
      </x:c>
      <x:c r="G657" s="11" t="str">
        <x:v>EB013</x:v>
      </x:c>
      <x:c r="H657" s="11" t="str">
        <x:v>U.S. Election Assistance Commission: Glossary of Election Terminology — Vietnamese, Voter</x:v>
      </x:c>
      <x:c r="I657" s="30" t="str">
        <x:v>https://www.eac.gov/sites/default/files/glossary_files/Glossary_Vietnamese.pdf</x:v>
      </x:c>
      <x:c r="J657" s="11" t="str">
        <x:v>Đọc được cặp nhãn và bản dịch đúng nghĩa trong nguồn dẫn.
Nghĩa dùng để đối chiếu: Người đáp ứng điều kiện pháp luật để bỏ phiếu trong cuộc bầu cử.</x:v>
      </x:c>
      <x:c r="K657" s="11" t="str">
        <x:v>2026-10-29 (KST)</x:v>
      </x:c>
    </x:row>
    <x:row r="658" ht="75" customHeight="1">
      <x:c r="A658" s="11" t="str">
        <x:v>T003</x:v>
      </x:c>
      <x:c r="B658" s="11" t="str">
        <x:v>KO–EN</x:v>
      </x:c>
      <x:c r="C658" s="11" t="str">
        <x:v>유권자 → voter</x:v>
      </x:c>
      <x:c r="D658" s="11" t="str">
        <x:v>Đối dịch trong từ điển; không mặc nhiên là định nghĩa Việt/Hàn độc lập.</x:v>
      </x:c>
      <x:c r="E658" s="11" t="str">
        <x:v>Đối dịch trong từ điển</x:v>
      </x:c>
      <x:c r="F658" s="11" t="str">
        <x:v>en+ko</x:v>
      </x:c>
      <x:c r="G658" s="11" t="str">
        <x:v>EB014</x:v>
      </x:c>
      <x:c r="H658" s="11" t="str">
        <x:v>Cambridge English–Korean Dictionary: voter</x:v>
      </x:c>
      <x:c r="I658" s="30" t="str">
        <x:v>https://dictionary.cambridge.org/dictionary/english-korean/voter</x:v>
      </x:c>
      <x:c r="J658" s="11" t="str">
        <x:v>Đọc được cặp nhãn và bản dịch đúng nghĩa trong nguồn dẫn.
Nghĩa dùng để đối chiếu: Người đáp ứng điều kiện pháp luật để bỏ phiếu trong cuộc bầu cử.</x:v>
      </x:c>
      <x:c r="K658" s="11" t="str">
        <x:v>2026-10-29 (KST)</x:v>
      </x:c>
    </x:row>
    <x:row r="659" ht="75" customHeight="1">
      <x:c r="A659" s="11" t="str">
        <x:v>T079</x:v>
      </x:c>
      <x:c r="B659" s="11" t="str">
        <x:v>VI–EN</x:v>
      </x:c>
      <x:c r="C659" s="11" t="str">
        <x:v>Đại sứ → ambassador</x:v>
      </x:c>
      <x:c r="D659" s="11" t="str">
        <x:v>Đối dịch trong từ điển; không mặc nhiên là định nghĩa Việt/Hàn độc lập.</x:v>
      </x:c>
      <x:c r="E659" s="11" t="str">
        <x:v>Đối dịch trong từ điển</x:v>
      </x:c>
      <x:c r="F659" s="11" t="str">
        <x:v>en+vi</x:v>
      </x:c>
      <x:c r="G659" s="11" t="str">
        <x:v>EB015</x:v>
      </x:c>
      <x:c r="H659" s="11" t="str">
        <x:v>PASSWORD English–Vietnamese Dictionary: ambassador</x:v>
      </x:c>
      <x:c r="I659" s="30" t="str">
        <x:v>https://dictionary.cambridge.org/dictionary/english-vietnamese/ambassador</x:v>
      </x:c>
      <x:c r="J659" s="11" t="str">
        <x:v>Đọc được cặp nhãn và bản dịch đúng nghĩa trong nguồn dẫn.
Nghĩa dùng để đối chiếu: Chức danh ngoại giao cấp đại sứ, đại diện quốc gia tại nước khác hoặc tổ chức quốc tế theo bổ nhiệm.</x:v>
      </x:c>
      <x:c r="K659" s="11" t="str">
        <x:v>2026-10-29 (KST)</x:v>
      </x:c>
    </x:row>
    <x:row r="660" ht="75" customHeight="1">
      <x:c r="A660" s="11" t="str">
        <x:v>T079</x:v>
      </x:c>
      <x:c r="B660" s="11" t="str">
        <x:v>KO–EN</x:v>
      </x:c>
      <x:c r="C660" s="11" t="str">
        <x:v>대사 → ambassador</x:v>
      </x:c>
      <x:c r="D660" s="11" t="str">
        <x:v>Đối dịch trong từ điển; không mặc nhiên là định nghĩa Việt/Hàn độc lập.</x:v>
      </x:c>
      <x:c r="E660" s="11" t="str">
        <x:v>Đối dịch trong từ điển</x:v>
      </x:c>
      <x:c r="F660" s="11" t="str">
        <x:v>ko+en</x:v>
      </x:c>
      <x:c r="G660" s="11" t="str">
        <x:v>EB016</x:v>
      </x:c>
      <x:c r="H660" s="11" t="str">
        <x:v>국립국어원 한국어기초사전: 대사² (大使)</x:v>
      </x:c>
      <x:c r="I660" s="30" t="str">
        <x:v>https://krdict.korean.go.kr/m/eng/searchResult?ParaWordNo=48464&amp;currentPage=9&amp;exaType=&amp;font_size=12&amp;mainSearchWord=%EB%8C%80&amp;nation=eng&amp;nationCode=6&amp;proverbType=&amp;searchType=W&amp;sort=W&amp;viewType=A&amp;wordMatchFlag=N</x:v>
      </x:c>
      <x:c r="J660" s="11" t="str">
        <x:v>Đọc được cặp nhãn và bản dịch đúng nghĩa trong nguồn dẫn.
Nghĩa dùng để đối chiếu: Chức danh ngoại giao cấp đại sứ, đại diện quốc gia tại nước khác hoặc tổ chức quốc tế theo bổ nhiệm.</x:v>
      </x:c>
      <x:c r="K660" s="11" t="str">
        <x:v>2026-10-29 (KST)</x:v>
      </x:c>
    </x:row>
    <x:row r="661" ht="75" customHeight="1">
      <x:c r="A661" s="11" t="str">
        <x:v>M011</x:v>
      </x:c>
      <x:c r="B661" s="11" t="str">
        <x:v>KO–EN</x:v>
      </x:c>
      <x:c r="C661" s="11" t="str">
        <x:v>국가 원수 → head of state</x:v>
      </x:c>
      <x:c r="D661" s="11" t="str">
        <x:v>Không kết luận mục từ từ điển từ nguồn này.</x:v>
      </x:c>
      <x:c r="E661" s="11" t="str">
        <x:v>Đối dịch tường minh trong nguồn</x:v>
      </x:c>
      <x:c r="F661" s="11" t="str">
        <x:v>ko+en</x:v>
      </x:c>
      <x:c r="G661" s="11" t="str">
        <x:v>EB017</x:v>
      </x:c>
      <x:c r="H661" s="11" t="str">
        <x:v>National Archives of Korea: 국가 원수 — thesaurus</x:v>
      </x:c>
      <x:c r="I661" s="30" t="str">
        <x:v>https://www.archives.go.kr/next/newsearch/thesaurusSearchDetail.do?match=1&amp;thesaurusId=34786&amp;thesaurusWord=%EA%B5%AD%EA%B0%80+%EC%9B%90%EC%88%98</x:v>
      </x:c>
      <x:c r="J661" s="11" t="str">
        <x:v>Thesaurus cơ quan lưu trữ quốc gia liên kết nhãn Hàn với head of state/chief of state; chưa có nguồn Việt–Anh độc lập trong lượt này.
Nghĩa dùng để đối chiếu: Người giữ tư cách đứng đầu và đại diện Nhà nước theo thể chế của quốc gia.</x:v>
      </x:c>
      <x:c r="K661" s="11" t="str">
        <x:v>2026-10-29 (KST)</x:v>
      </x:c>
    </x:row>
    <x:row r="662" ht="75" customHeight="1">
      <x:c r="A662" s="11" t="str">
        <x:v>T093</x:v>
      </x:c>
      <x:c r="B662" s="11" t="str">
        <x:v>VI–EN</x:v>
      </x:c>
      <x:c r="C662" s="11" t="str">
        <x:v>người phát ngôn → spokesman</x:v>
      </x:c>
      <x:c r="D662" s="11" t="str">
        <x:v>Đối dịch trong từ điển; không mặc nhiên là định nghĩa Việt/Hàn độc lập.</x:v>
      </x:c>
      <x:c r="E662" s="11" t="str">
        <x:v>Đối dịch trong từ điển</x:v>
      </x:c>
      <x:c r="F662" s="11" t="str">
        <x:v>en+vi</x:v>
      </x:c>
      <x:c r="G662" s="11" t="str">
        <x:v>EB018</x:v>
      </x:c>
      <x:c r="H662" s="11" t="str">
        <x:v>PASSWORD English–Vietnamese Dictionary: spokesman</x:v>
      </x:c>
      <x:c r="I662" s="30" t="str">
        <x:v>https://dictionary.cambridge.org/dictionary/english-vietnamese/spokesman</x:v>
      </x:c>
      <x:c r="J662" s="11" t="str">
        <x:v>Đọc được cặp nhãn và bản dịch đúng nghĩa trong nguồn dẫn.
Nghĩa dùng để đối chiếu: Người được giao phát biểu quan điểm hoặc thông tin chính thức thay mặt một chủ thể.</x:v>
      </x:c>
      <x:c r="K662" s="11" t="str">
        <x:v>2026-10-29 (KST)</x:v>
      </x:c>
    </x:row>
    <x:row r="663" ht="75" customHeight="1">
      <x:c r="A663" s="11" t="str">
        <x:v>T093</x:v>
      </x:c>
      <x:c r="B663" s="11" t="str">
        <x:v>KO–EN</x:v>
      </x:c>
      <x:c r="C663" s="11" t="str">
        <x:v>대변인 → spokesperson</x:v>
      </x:c>
      <x:c r="D663" s="11" t="str">
        <x:v>Đối dịch trong từ điển; không mặc nhiên là định nghĩa Việt/Hàn độc lập.</x:v>
      </x:c>
      <x:c r="E663" s="11" t="str">
        <x:v>Đối dịch trong từ điển</x:v>
      </x:c>
      <x:c r="F663" s="11" t="str">
        <x:v>ko+en</x:v>
      </x:c>
      <x:c r="G663" s="11" t="str">
        <x:v>EB019</x:v>
      </x:c>
      <x:c r="H663" s="11" t="str">
        <x:v>국립국어원 한국어기초사전: 대변인</x:v>
      </x:c>
      <x:c r="I663" s="30" t="str">
        <x:v>https://krdict.korean.go.kr/m/eng/searchResultView?ParaWordNo=62456&amp;currentPage=28&amp;exaType=&amp;font_size=12&amp;mainSearchWord=%EB%8C%80&amp;nation=eng&amp;nationCode=6&amp;proverbType=&amp;searchType=W&amp;sort=W&amp;viewType=A&amp;wordMatchFlag=N</x:v>
      </x:c>
      <x:c r="J663" s="11" t="str">
        <x:v>Đọc được cặp nhãn và bản dịch đúng nghĩa trong nguồn dẫn.
Nghĩa dùng để đối chiếu: Người được giao phát biểu quan điểm hoặc thông tin chính thức thay mặt một chủ thể.</x:v>
      </x:c>
      <x:c r="K663" s="11" t="str">
        <x:v>2026-10-29 (KST)</x:v>
      </x:c>
    </x:row>
    <x:row r="664" ht="75" customHeight="1">
      <x:c r="A664" s="11" t="str">
        <x:v>T082</x:v>
      </x:c>
      <x:c r="B664" s="11" t="str">
        <x:v>VI–EN</x:v>
      </x:c>
      <x:c r="C664" s="11" t="str">
        <x:v>Phó Thủ tướng → Deputy Prime Minister</x:v>
      </x:c>
      <x:c r="D664" s="11" t="str">
        <x:v>Không kết luận mục từ từ điển từ nguồn này.</x:v>
      </x:c>
      <x:c r="E664" s="11" t="str">
        <x:v>Đối dịch tường minh trong nguồn</x:v>
      </x:c>
      <x:c r="F664" s="11" t="str">
        <x:v>vi+en</x:v>
      </x:c>
      <x:c r="G664" s="11" t="str">
        <x:v>EB020</x:v>
      </x:c>
      <x:c r="H664" s="11" t="str">
        <x:v>Hướng dẫn dịch chức danh sang tiếng Anh — bản công bố tại ĐH Dược Hà Nội ngày 01/03/2016, nội dung TT03/2009 | Thông tư 03/2009/TT-BNG — bản Bộ Công Thương lưu</x:v>
      </x:c>
      <x:c r="I664" s="30" t="str">
        <x:v>https://hup.edu.vn/hop-tac-quoc-te/van-ban-phap-quy-ve-htqt/huong-dan-dich-quoc-hieu-ten-cac-co-quan-don-vi-va-chuc-danh-lanh-dao-can-bo-cong-chuc-trong-he-thong-hanh-chinh-nha-nuoc-sang-tieng-anh-de-giao-dich-doi-ngoai-3357
https://moit.gov.vn/upload/2005517/20210623/TT%2003-2009-BNG.pdf</x:v>
      </x:c>
      <x:c r="J664" s="11" t="str">
        <x:v>Đọc bảng tương ứng của hướng dẫn TT03/2009 qua bản trường công lập công bố; nguồn lịch sử, không khẳng định là quy định hiện hành sau TT05/2026.
Nghĩa dùng để đối chiếu: Chức danh giúp Thủ tướng và phụ trách những công việc được phân công.</x:v>
      </x:c>
      <x:c r="K664" s="11" t="str">
        <x:v>2026-10-29 (KST)</x:v>
      </x:c>
    </x:row>
    <x:row r="665" ht="75" customHeight="1">
      <x:c r="A665" s="11" t="str">
        <x:v>T082</x:v>
      </x:c>
      <x:c r="B665" s="11" t="str">
        <x:v>KO–EN</x:v>
      </x:c>
      <x:c r="C665" s="11" t="str">
        <x:v>부총리 → Deputy Prime Minister</x:v>
      </x:c>
      <x:c r="D665" s="11" t="str">
        <x:v>Không kết luận mục từ từ điển từ nguồn này.</x:v>
      </x:c>
      <x:c r="E665" s="11" t="str">
        <x:v>Đối chiếu văn bản song song</x:v>
      </x:c>
      <x:c r="F665" s="11" t="str">
        <x:v>ko+en</x:v>
      </x:c>
      <x:c r="G665" s="11" t="str">
        <x:v>EB021</x:v>
      </x:c>
      <x:c r="H665" s="11" t="str">
        <x:v>MOFA: 조현 외교부 장관, 벨기에 부총리 겸 경제장관 면담, kèm nhan đề bài tiếng Anh</x:v>
      </x:c>
      <x:c r="I665" s="30" t="str">
        <x:v>https://www.mofa.go.kr/www/brd/m_4080/view.do?page=1&amp;pitem=102026&amp;seq=376852</x:v>
      </x:c>
      <x:c r="J665" s="11" t="str">
        <x:v>Nhan đề Hàn và nhan đề bản Anh liên kết cùng cuộc gặp với David Clarinval ngày 23/01/2026.
Nghĩa dùng để đối chiếu: Chức danh giúp Thủ tướng và phụ trách những công việc được phân công.</x:v>
      </x:c>
      <x:c r="K665" s="11" t="str">
        <x:v>2026-10-29 (KST)</x:v>
      </x:c>
    </x:row>
    <x:row r="666" ht="75" customHeight="1">
      <x:c r="A666" s="11" t="str">
        <x:v>M036</x:v>
      </x:c>
      <x:c r="B666" s="11" t="str">
        <x:v>VI–EN</x:v>
      </x:c>
      <x:c r="C666" s="11" t="str">
        <x:v>Phó Thủ tướng Thường trực → Permanent Deputy Prime Minister</x:v>
      </x:c>
      <x:c r="D666" s="11" t="str">
        <x:v>Không kết luận mục từ từ điển từ nguồn này.</x:v>
      </x:c>
      <x:c r="E666" s="11" t="str">
        <x:v>Đối dịch tường minh trong nguồn</x:v>
      </x:c>
      <x:c r="F666" s="11" t="str">
        <x:v>vi+en</x:v>
      </x:c>
      <x:c r="G666" s="11" t="str">
        <x:v>EB022</x:v>
      </x:c>
      <x:c r="H666" s="11" t="str">
        <x:v>Hướng dẫn dịch chức danh sang tiếng Anh — bản công bố tại ĐH Dược Hà Nội ngày 01/03/2016, nội dung TT03/2009 | Thông tư 03/2009/TT-BNG — bản Bộ Công Thương lưu</x:v>
      </x:c>
      <x:c r="I666" s="30" t="str">
        <x:v>https://hup.edu.vn/hop-tac-quoc-te/van-ban-phap-quy-ve-htqt/huong-dan-dich-quoc-hieu-ten-cac-co-quan-don-vi-va-chuc-danh-lanh-dao-can-bo-cong-chuc-trong-he-thong-hanh-chinh-nha-nuoc-sang-tieng-anh-de-giao-dich-doi-ngoai-3357
https://moit.gov.vn/upload/2005517/20210623/TT%2003-2009-BNG.pdf</x:v>
      </x:c>
      <x:c r="J666" s="11" t="str">
        <x:v>Đọc bảng tương ứng của hướng dẫn TT03/2009 qua bản trường công lập công bố; nguồn lịch sử, không khẳng định là quy định hiện hành sau TT05/2026.
Nghĩa dùng để đối chiếu: Phó Thủ tướng được giao nhiệm vụ Thường trực theo phân công của Chính phủ.</x:v>
      </x:c>
      <x:c r="K666" s="11" t="str">
        <x:v>2026-10-29 (KST)</x:v>
      </x:c>
    </x:row>
    <x:row r="667" ht="75" customHeight="1">
      <x:c r="A667" s="11" t="str">
        <x:v>M052</x:v>
      </x:c>
      <x:c r="B667" s="11" t="str">
        <x:v>VI–EN</x:v>
      </x:c>
      <x:c r="C667" s="11" t="str">
        <x:v>Phó Trưởng Ban Tuyên giáo và Dân vận Trung ương → Deputy Head of the PCC’s Commission for Communication, Education and Mass Mobilisation</x:v>
      </x:c>
      <x:c r="D667" s="11" t="str">
        <x:v>Không kết luận mục từ từ điển từ nguồn này.</x:v>
      </x:c>
      <x:c r="E667" s="11" t="str">
        <x:v>Đối chiếu văn bản song song</x:v>
      </x:c>
      <x:c r="F667" s="11" t="str">
        <x:v>vi + en</x:v>
      </x:c>
      <x:c r="G667" s="11" t="str">
        <x:v>EB023</x:v>
      </x:c>
      <x:c r="H667" s="11" t="str">
        <x:v>Nhân Dân: Chính thức khai trương Báo Nhân Dân điện tử tiếng Hàn Quốc, 30/12/2025 | Government News: Nhan Dan Newspaper launches online Korean-language version, 30/12/2025</x:v>
      </x:c>
      <x:c r="I667" s="30" t="str">
        <x:v>https://nhandan.vn/chinh-thuc-khai-truong-bao-nhan-dan-dien-tu-tieng-han-quoc-post933939.html
https://en.baochinhphu.vn/nhan-dan-newspaper-launches-online-korean-language-version-111251230185111651.htm</x:v>
      </x:c>
      <x:c r="J667" s="11" t="str">
        <x:v>Khóa Lê Quốc Minh tại lễ ra mắt 30/12/2025: đoạn phát biểu cùng người, cùng chức vụ trong ba nguồn; không chỉ dùng trùng tên người.
Nghĩa dùng để đối chiếu: Chức danh cấp phó của người đứng đầu Ban Tuyên giáo và Dân vận Trung ương.</x:v>
      </x:c>
      <x:c r="K667" s="11" t="str">
        <x:v>2026-10-29 (KST)</x:v>
      </x:c>
    </x:row>
    <x:row r="668" ht="75" customHeight="1">
      <x:c r="A668" s="11" t="str">
        <x:v>M052</x:v>
      </x:c>
      <x:c r="B668" s="11" t="str">
        <x:v>KO–EN</x:v>
      </x:c>
      <x:c r="C668" s="11" t="str">
        <x:v>중앙위 선전교육대중동원위원회 부위원장 → Deputy Head of the PCC’s Commission for Communication, Education and Mass Mobilisation</x:v>
      </x:c>
      <x:c r="D668" s="11" t="str">
        <x:v>Không kết luận mục từ từ điển từ nguồn này.</x:v>
      </x:c>
      <x:c r="E668" s="11" t="str">
        <x:v>Đối chiếu văn bản song song</x:v>
      </x:c>
      <x:c r="F668" s="11" t="str">
        <x:v>ko + en</x:v>
      </x:c>
      <x:c r="G668" s="11" t="str">
        <x:v>EB024</x:v>
      </x:c>
      <x:c r="H668" s="11" t="str">
        <x:v>Nhân Dân Hàn: 베트남 인민일보, 한국어 온라인판 공식 출범, 30/12/2025 | Government News: Nhan Dan Newspaper launches online Korean-language version, 30/12/2025</x:v>
      </x:c>
      <x:c r="I668" s="30" t="str">
        <x:v>https://kr.nhandan.vn/article-post3123.html
https://en.baochinhphu.vn/nhan-dan-newspaper-launches-online-korean-language-version-111251230185111651.htm</x:v>
      </x:c>
      <x:c r="J668" s="11" t="str">
        <x:v>Khóa Lê Quốc Minh tại lễ ra mắt 30/12/2025: đoạn phát biểu cùng người, cùng chức vụ trong ba nguồn; không chỉ dùng trùng tên người.
Nghĩa dùng để đối chiếu: Chức danh cấp phó của người đứng đầu Ban Tuyên giáo và Dân vận Trung ương.</x:v>
      </x:c>
      <x:c r="K668" s="11" t="str">
        <x:v>2026-10-29 (KST)</x:v>
      </x:c>
    </x:row>
    <x:row r="669" ht="75" customHeight="1">
      <x:c r="A669" s="11" t="str">
        <x:v>T099</x:v>
      </x:c>
      <x:c r="B669" s="11" t="str">
        <x:v>VI–EN</x:v>
      </x:c>
      <x:c r="C669" s="11" t="str">
        <x:v>Thị trưởng → mayor</x:v>
      </x:c>
      <x:c r="D669" s="11" t="str">
        <x:v>Đối dịch trong từ điển; không mặc nhiên là định nghĩa Việt/Hàn độc lập.</x:v>
      </x:c>
      <x:c r="E669" s="11" t="str">
        <x:v>Đối dịch trong từ điển</x:v>
      </x:c>
      <x:c r="F669" s="11" t="str">
        <x:v>en+vi</x:v>
      </x:c>
      <x:c r="G669" s="11" t="str">
        <x:v>EB025</x:v>
      </x:c>
      <x:c r="H669" s="11" t="str">
        <x:v>PASSWORD English–Vietnamese Dictionary: mayor</x:v>
      </x:c>
      <x:c r="I669" s="30" t="str">
        <x:v>https://dictionary.cambridge.org/dictionary/english-vietnamese/mayor</x:v>
      </x:c>
      <x:c r="J669" s="11" t="str">
        <x:v>Đọc được cặp nhãn và bản dịch đúng nghĩa trong nguồn dẫn.
Nghĩa dùng để đối chiếu: Người đứng đầu chính quyền thành phố theo thể chế của nước được nói tới.</x:v>
      </x:c>
      <x:c r="K669" s="11" t="str">
        <x:v>2026-10-29 (KST)</x:v>
      </x:c>
    </x:row>
    <x:row r="670" ht="75" customHeight="1">
      <x:c r="A670" s="11" t="str">
        <x:v>T099</x:v>
      </x:c>
      <x:c r="B670" s="11" t="str">
        <x:v>KO–EN</x:v>
      </x:c>
      <x:c r="C670" s="11" t="str">
        <x:v>시장 → mayor</x:v>
      </x:c>
      <x:c r="D670" s="11" t="str">
        <x:v>Đối dịch trong từ điển; không mặc nhiên là định nghĩa Việt/Hàn độc lập.</x:v>
      </x:c>
      <x:c r="E670" s="11" t="str">
        <x:v>Đối dịch trong từ điển</x:v>
      </x:c>
      <x:c r="F670" s="11" t="str">
        <x:v>en+ko</x:v>
      </x:c>
      <x:c r="G670" s="11" t="str">
        <x:v>EB026</x:v>
      </x:c>
      <x:c r="H670" s="11" t="str">
        <x:v>Cambridge English–Korean Dictionary: mayor</x:v>
      </x:c>
      <x:c r="I670" s="30" t="str">
        <x:v>https://dictionary.cambridge.org/us/dictionary/english-korean/mayor</x:v>
      </x:c>
      <x:c r="J670" s="11" t="str">
        <x:v>Đọc được cặp nhãn và bản dịch đúng nghĩa trong nguồn dẫn.
Nghĩa dùng để đối chiếu: Người đứng đầu chính quyền thành phố theo thể chế của nước được nói tới.</x:v>
      </x:c>
      <x:c r="K670" s="11" t="str">
        <x:v>2026-10-29 (KST)</x:v>
      </x:c>
    </x:row>
    <x:row r="671" ht="75" customHeight="1">
      <x:c r="A671" s="11" t="str">
        <x:v>T074</x:v>
      </x:c>
      <x:c r="B671" s="11" t="str">
        <x:v>VI–EN</x:v>
      </x:c>
      <x:c r="C671" s="11" t="str">
        <x:v>Thủ tướng → prime minister</x:v>
      </x:c>
      <x:c r="D671" s="11" t="str">
        <x:v>Đối dịch trong từ điển; không mặc nhiên là định nghĩa Việt/Hàn độc lập.</x:v>
      </x:c>
      <x:c r="E671" s="11" t="str">
        <x:v>Đối dịch trong từ điển</x:v>
      </x:c>
      <x:c r="F671" s="11" t="str">
        <x:v>en+vi</x:v>
      </x:c>
      <x:c r="G671" s="11" t="str">
        <x:v>EB027</x:v>
      </x:c>
      <x:c r="H671" s="11" t="str">
        <x:v>PASSWORD English–Vietnamese Dictionary: prime minister</x:v>
      </x:c>
      <x:c r="I671" s="30" t="str">
        <x:v>https://dictionary.cambridge.org/dictionary/english-vietnamese/prime-minister</x:v>
      </x:c>
      <x:c r="J671" s="11" t="str">
        <x:v>Đọc được cặp nhãn và bản dịch đúng nghĩa trong nguồn dẫn.
Nghĩa dùng để đối chiếu: Người đứng đầu Chính phủ theo thể chế được nói tới.</x:v>
      </x:c>
      <x:c r="K671" s="11" t="str">
        <x:v>2026-10-29 (KST)</x:v>
      </x:c>
    </x:row>
    <x:row r="672" ht="75" customHeight="1">
      <x:c r="A672" s="11" t="str">
        <x:v>T074</x:v>
      </x:c>
      <x:c r="B672" s="11" t="str">
        <x:v>KO–EN</x:v>
      </x:c>
      <x:c r="C672" s="11" t="str">
        <x:v>일본 총리 → Prime Minister</x:v>
      </x:c>
      <x:c r="D672" s="11" t="str">
        <x:v>Không kết luận mục từ từ điển từ nguồn này.</x:v>
      </x:c>
      <x:c r="E672" s="11" t="str">
        <x:v>Đối dịch tường minh trong nguồn</x:v>
      </x:c>
      <x:c r="F672" s="11" t="str">
        <x:v>ko+en</x:v>
      </x:c>
      <x:c r="G672" s="11" t="str">
        <x:v>EB028</x:v>
      </x:c>
      <x:c r="H672" s="11" t="str">
        <x:v>MOFA: 2002.4월 일정 — mục 4.21, Nhật ký ngoại giao song ngữ</x:v>
      </x:c>
      <x:c r="I672" s="30" t="str">
        <x:v>https://col.mofa.go.kr/www/brd/m_4086/view.do?page=24&amp;seq=286801</x:v>
      </x:c>
      <x:c r="J672" s="11" t="str">
        <x:v>Mục 4.21 đặt tiêu đề Hàn có 일본 총리 song song tiếng Anh Japanese Prime Minister; chứng cứ về chức danh trong ngữ cảnh Nhật Bản.
Nghĩa dùng để đối chiếu: Người đứng đầu Chính phủ theo thể chế được nói tới.</x:v>
      </x:c>
      <x:c r="K672" s="11" t="str">
        <x:v>2026-10-29 (KST)</x:v>
      </x:c>
    </x:row>
    <x:row r="673" ht="75" customHeight="1">
      <x:c r="A673" s="11" t="str">
        <x:v>T087</x:v>
      </x:c>
      <x:c r="B673" s="11" t="str">
        <x:v>VI–EN</x:v>
      </x:c>
      <x:c r="C673" s="11" t="str">
        <x:v>Thứ trưởng → Deputy Minister</x:v>
      </x:c>
      <x:c r="D673" s="11" t="str">
        <x:v>Không kết luận mục từ từ điển từ nguồn này.</x:v>
      </x:c>
      <x:c r="E673" s="11" t="str">
        <x:v>Đối dịch tường minh trong nguồn</x:v>
      </x:c>
      <x:c r="F673" s="11" t="str">
        <x:v>vi+en</x:v>
      </x:c>
      <x:c r="G673" s="11" t="str">
        <x:v>EB029</x:v>
      </x:c>
      <x:c r="H673" s="11" t="str">
        <x:v>Hướng dẫn dịch chức danh sang tiếng Anh — bản công bố tại ĐH Dược Hà Nội ngày 01/03/2016, nội dung TT03/2009 | Thông tư 03/2009/TT-BNG — bản Bộ Công Thương lưu</x:v>
      </x:c>
      <x:c r="I673" s="30" t="str">
        <x:v>https://hup.edu.vn/hop-tac-quoc-te/van-ban-phap-quy-ve-htqt/huong-dan-dich-quoc-hieu-ten-cac-co-quan-don-vi-va-chuc-danh-lanh-dao-can-bo-cong-chuc-trong-he-thong-hanh-chinh-nha-nuoc-sang-tieng-anh-de-giao-dich-doi-ngoai-3357
https://moit.gov.vn/upload/2005517/20210623/TT%2003-2009-BNG.pdf</x:v>
      </x:c>
      <x:c r="J673" s="11" t="str">
        <x:v>Đọc bảng tương ứng của hướng dẫn TT03/2009 qua bản trường công lập công bố; nguồn lịch sử, không khẳng định là quy định hiện hành sau TT05/2026.
Nghĩa dùng để đối chiếu: Chức danh lãnh đạo cấp phó trong bộ, giúp Bộ trưởng theo phân công.</x:v>
      </x:c>
      <x:c r="K673" s="11" t="str">
        <x:v>2026-10-29 (KST)</x:v>
      </x:c>
    </x:row>
    <x:row r="674" ht="75" customHeight="1">
      <x:c r="A674" s="11" t="str">
        <x:v>T087</x:v>
      </x:c>
      <x:c r="B674" s="11" t="str">
        <x:v>KO–EN</x:v>
      </x:c>
      <x:c r="C674" s="11" t="str">
        <x:v>차관 → Vice Minister</x:v>
      </x:c>
      <x:c r="D674" s="11" t="str">
        <x:v>Không kết luận mục từ từ điển từ nguồn này.</x:v>
      </x:c>
      <x:c r="E674" s="11" t="str">
        <x:v>Đối dịch tường minh trong nguồn</x:v>
      </x:c>
      <x:c r="F674" s="11" t="str">
        <x:v>ko+en</x:v>
      </x:c>
      <x:c r="G674" s="11" t="str">
        <x:v>EB030</x:v>
      </x:c>
      <x:c r="H674" s="11" t="str">
        <x:v>정부조직 약칭과 영어 명칭에 관한 규칙 — 차관</x:v>
      </x:c>
      <x:c r="I674" s="30" t="str">
        <x:v>https://www.law.go.kr/admRulLsInfoP.do?admRulSeq=2100000271986</x:v>
      </x:c>
      <x:c r="J674" s="11" t="str">
        <x:v>Quy tắc Hàn ghi trực tiếp 차관: Vice Minister; không đổi thành Deputy Minister để khớp với nhãn Việt.
Nghĩa dùng để đối chiếu: Chức danh lãnh đạo cấp phó trong bộ, giúp Bộ trưởng theo phân công.</x:v>
      </x:c>
      <x:c r="K674" s="11" t="str">
        <x:v>2026-10-29 (KST)</x:v>
      </x:c>
    </x:row>
    <x:row r="675" ht="75" customHeight="1">
      <x:c r="A675" s="11" t="str">
        <x:v>T184</x:v>
      </x:c>
      <x:c r="B675" s="11" t="str">
        <x:v>VI–EN</x:v>
      </x:c>
      <x:c r="C675" s="11" t="str">
        <x:v>Thứ trưởng Thứ nhất Bộ Ngoại giao → First Vice Minister of Foreign Affairs</x:v>
      </x:c>
      <x:c r="D675" s="11" t="str">
        <x:v>Không kết luận mục từ từ điển từ nguồn này.</x:v>
      </x:c>
      <x:c r="E675" s="11" t="str">
        <x:v>Đối chiếu văn bản song song</x:v>
      </x:c>
      <x:c r="F675" s="11" t="str">
        <x:v>vi + en</x:v>
      </x:c>
      <x:c r="G675" s="11" t="str">
        <x:v>EB031</x:v>
      </x:c>
      <x:c r="H675" s="11" t="str">
        <x:v>Nhân Dân: Bộ trưởng Lê Hoài Trung tiếp Park Yoon Joo, 03/04/2026 | VNA: Foreign Minister calls for enhancing Vietnam–RoK cooperation effectiveness, 03/04/2026</x:v>
      </x:c>
      <x:c r="I675" s="30" t="str">
        <x:v>https://nhandan.vn/bo-truong-ngoai-giao-le-hoai-trung-tiep-thu-truong-thu-nhat-bo-ngoai-giao-han-quoc-park-joon-yoo-post953129.html
https://en.vietnamplus.vn/foreign-minister-calls-for-enhancing-vietnam-rok-cooperation-effectiveness-post340476.vnp</x:v>
      </x:c>
      <x:c r="J675" s="11" t="str">
        <x:v>Ba bài ghi cùng cuộc gặp ngày 03/04/2026; khóa đúng Lê Hoài Trung, Park Yoon Joo và Nguyễn Minh Vũ, tách ba chức danh.
Nghĩa dùng để đối chiếu: Thứ trưởng mang thứ bậc “Thứ nhất” trong cơ cấu Bộ Ngoại giao của quốc gia được nói tới.</x:v>
      </x:c>
      <x:c r="K675" s="11" t="str">
        <x:v>2026-10-29 (KST)</x:v>
      </x:c>
    </x:row>
    <x:row r="676" ht="75" customHeight="1">
      <x:c r="A676" s="11" t="str">
        <x:v>T184</x:v>
      </x:c>
      <x:c r="B676" s="11" t="str">
        <x:v>KO–EN</x:v>
      </x:c>
      <x:c r="C676" s="11" t="str">
        <x:v>외교부 제1차관 → First Vice Minister of Foreign Affairs</x:v>
      </x:c>
      <x:c r="D676" s="11" t="str">
        <x:v>Không kết luận mục từ từ điển từ nguồn này.</x:v>
      </x:c>
      <x:c r="E676" s="11" t="str">
        <x:v>Đối chiếu văn bản song song</x:v>
      </x:c>
      <x:c r="F676" s="11" t="str">
        <x:v>ko + en</x:v>
      </x:c>
      <x:c r="G676" s="11" t="str">
        <x:v>EB032</x:v>
      </x:c>
      <x:c r="H676" s="11" t="str">
        <x:v>Nhân Dân Hàn: 쭝 외교장관, 박윤주 한국 외교차관 접견, 04/04/2026 | VNA: Foreign Minister calls for enhancing Vietnam–RoK cooperation effectiveness, 03/04/2026</x:v>
      </x:c>
      <x:c r="I676" s="30" t="str">
        <x:v>https://kr.nhandan.vn/article-post4752.html
https://en.vietnamplus.vn/foreign-minister-calls-for-enhancing-vietnam-rok-cooperation-effectiveness-post340476.vnp</x:v>
      </x:c>
      <x:c r="J676" s="11" t="str">
        <x:v>Ba bài ghi cùng cuộc gặp ngày 03/04/2026; khóa đúng Lê Hoài Trung, Park Yoon Joo và Nguyễn Minh Vũ, tách ba chức danh.
Nghĩa dùng để đối chiếu: Thứ trưởng mang thứ bậc “Thứ nhất” trong cơ cấu Bộ Ngoại giao của quốc gia được nói tới.</x:v>
      </x:c>
      <x:c r="K676" s="11" t="str">
        <x:v>2026-10-29 (KST)</x:v>
      </x:c>
    </x:row>
    <x:row r="677" ht="75" customHeight="1">
      <x:c r="A677" s="11" t="str">
        <x:v>T185</x:v>
      </x:c>
      <x:c r="B677" s="11" t="str">
        <x:v>VI–EN</x:v>
      </x:c>
      <x:c r="C677" s="11" t="str">
        <x:v>Thứ trưởng Thường trực Bộ Ngoại giao → Permanent Deputy Minister of Foreign Affairs</x:v>
      </x:c>
      <x:c r="D677" s="11" t="str">
        <x:v>Không kết luận mục từ từ điển từ nguồn này.</x:v>
      </x:c>
      <x:c r="E677" s="11" t="str">
        <x:v>Đối chiếu văn bản song song</x:v>
      </x:c>
      <x:c r="F677" s="11" t="str">
        <x:v>vi + en</x:v>
      </x:c>
      <x:c r="G677" s="11" t="str">
        <x:v>EB033</x:v>
      </x:c>
      <x:c r="H677" s="11" t="str">
        <x:v>Nhân Dân: Bộ trưởng Lê Hoài Trung tiếp Park Yoon Joo, 03/04/2026 | VNA: Foreign Minister calls for enhancing Vietnam–RoK cooperation effectiveness, 03/04/2026</x:v>
      </x:c>
      <x:c r="I677" s="30" t="str">
        <x:v>https://nhandan.vn/bo-truong-ngoai-giao-le-hoai-trung-tiep-thu-truong-thu-nhat-bo-ngoai-giao-han-quoc-park-joon-yoo-post953129.html
https://en.vietnamplus.vn/foreign-minister-calls-for-enhancing-vietnam-rok-cooperation-effectiveness-post340476.vnp</x:v>
      </x:c>
      <x:c r="J677" s="11" t="str">
        <x:v>Ba bài ghi cùng cuộc gặp ngày 03/04/2026; khóa đúng Lê Hoài Trung, Park Yoon Joo và Nguyễn Minh Vũ, tách ba chức danh.
Nghĩa dùng để đối chiếu: Thứ trưởng Bộ Ngoại giao được giao nhiệm vụ Thường trực trong cơ cấu và phân công tương ứng.</x:v>
      </x:c>
      <x:c r="K677" s="11" t="str">
        <x:v>2026-10-29 (KST)</x:v>
      </x:c>
    </x:row>
    <x:row r="678" ht="75" customHeight="1">
      <x:c r="A678" s="11" t="str">
        <x:v>T185</x:v>
      </x:c>
      <x:c r="B678" s="11" t="str">
        <x:v>KO–EN</x:v>
      </x:c>
      <x:c r="C678" s="11" t="str">
        <x:v>외교부 상임차관 → Permanent Deputy Minister of Foreign Affairs</x:v>
      </x:c>
      <x:c r="D678" s="11" t="str">
        <x:v>Không kết luận mục từ từ điển từ nguồn này.</x:v>
      </x:c>
      <x:c r="E678" s="11" t="str">
        <x:v>Đối chiếu văn bản song song</x:v>
      </x:c>
      <x:c r="F678" s="11" t="str">
        <x:v>ko + en</x:v>
      </x:c>
      <x:c r="G678" s="11" t="str">
        <x:v>EB034</x:v>
      </x:c>
      <x:c r="H678" s="11" t="str">
        <x:v>Nhân Dân Hàn: 쭝 외교장관, 박윤주 한국 외교차관 접견, 04/04/2026 | VNA: Foreign Minister calls for enhancing Vietnam–RoK cooperation effectiveness, 03/04/2026</x:v>
      </x:c>
      <x:c r="I678" s="30" t="str">
        <x:v>https://kr.nhandan.vn/article-post4752.html
https://en.vietnamplus.vn/foreign-minister-calls-for-enhancing-vietnam-rok-cooperation-effectiveness-post340476.vnp</x:v>
      </x:c>
      <x:c r="J678" s="11" t="str">
        <x:v>Ba bài ghi cùng cuộc gặp ngày 03/04/2026; khóa đúng Lê Hoài Trung, Park Yoon Joo và Nguyễn Minh Vũ, tách ba chức danh.
Nghĩa dùng để đối chiếu: Thứ trưởng Bộ Ngoại giao được giao nhiệm vụ Thường trực trong cơ cấu và phân công tương ứng.</x:v>
      </x:c>
      <x:c r="K678" s="11" t="str">
        <x:v>2026-10-29 (KST)</x:v>
      </x:c>
    </x:row>
    <x:row r="679" ht="85.5" customHeight="1">
      <x:c r="A679" s="11" t="str">
        <x:v>T075</x:v>
      </x:c>
      <x:c r="B679" s="11" t="str">
        <x:v>VI–EN</x:v>
      </x:c>
      <x:c r="C679" s="11" t="str">
        <x:v>Tổng Bí thư → General Secretary of the Communist Party of Viet Nam Central Committee</x:v>
      </x:c>
      <x:c r="D679" s="11" t="str">
        <x:v>Không kết luận mục từ từ điển từ nguồn này.</x:v>
      </x:c>
      <x:c r="E679" s="11" t="str">
        <x:v>Đối chiếu văn bản song song</x:v>
      </x:c>
      <x:c r="F679" s="11" t="str">
        <x:v>vi + en</x:v>
      </x:c>
      <x:c r="G679" s="11" t="str">
        <x:v>EB035</x:v>
      </x:c>
      <x:c r="H679" s="11" t="str">
        <x:v>Văn phòng Chủ tịch nước: Tổng Bí thư Tô Lâm lên đường dự họp Gaza, 18/02/2026 | Nhân Dân/VNA: Party leader leaves for inaugural meeting of Gaza Board of Peace in US, 18/02/2026</x:v>
      </x:c>
      <x:c r="I679" s="30" t="str">
        <x:v>https://vpctn.gov.vn/tin-tuc-su-kien/hoat-dong-cua-lanh-dao-dang-nha-nuoc/tong-bi-thu-to-lam-len-duong-tham-du-cuoc-hop-khai-mac-hoi-dong-hoa-binh-ve-gaza.html
https://en.nhandan.vn/party-leader-leaves-for-inaugural-meeting-of-gaza-board-of-peace-in-us-post159197.html</x:v>
      </x:c>
      <x:c r="J679" s="11" t="str">
        <x:v>Đối chiếu cùng người (Tô Lâm), cùng chuyến đi ngày 18/02/2026 và cùng chức vụ trong các bản tin chính thức; tên người dùng để khóa nghĩa, không thay thế kiểm tra danh hiệu.
Nghĩa dùng để đối chiếu: Người đứng đầu chính đảng; ở đây là ĐCSVN.</x:v>
      </x:c>
      <x:c r="K679" s="11" t="str">
        <x:v>2026-10-29 (KST)</x:v>
      </x:c>
    </x:row>
    <x:row r="680" ht="75" customHeight="1">
      <x:c r="A680" s="11" t="str">
        <x:v>T075</x:v>
      </x:c>
      <x:c r="B680" s="11" t="str">
        <x:v>KO–EN</x:v>
      </x:c>
      <x:c r="C680" s="11" t="str">
        <x:v>당 서기장 → General Secretary of the Communist Party of Viet Nam Central Committee</x:v>
      </x:c>
      <x:c r="D680" s="11" t="str">
        <x:v>Không kết luận mục từ từ điển từ nguồn này.</x:v>
      </x:c>
      <x:c r="E680" s="11" t="str">
        <x:v>Đối chiếu văn bản song song</x:v>
      </x:c>
      <x:c r="F680" s="11" t="str">
        <x:v>ko + en</x:v>
      </x:c>
      <x:c r="G680" s="11" t="str">
        <x:v>EB036</x:v>
      </x:c>
      <x:c r="H680" s="11" t="str">
        <x:v>Nhân Dân tiếng Hàn: 또럼 당 서기장… 출국, 18/02/2026 | Nhân Dân/VNA: Party leader leaves for inaugural meeting of Gaza Board of Peace in US, 18/02/2026</x:v>
      </x:c>
      <x:c r="I680" s="30" t="str">
        <x:v>https://kr.nhandan.vn/article-post4069.html
https://en.nhandan.vn/party-leader-leaves-for-inaugural-meeting-of-gaza-board-of-peace-in-us-post159197.html</x:v>
      </x:c>
      <x:c r="J680" s="11" t="str">
        <x:v>Đối chiếu cùng người (Tô Lâm), cùng chuyến đi ngày 18/02/2026 và cùng chức vụ trong các bản tin chính thức; tên người dùng để khóa nghĩa, không thay thế kiểm tra danh hiệu.
Nghĩa dùng để đối chiếu: Người đứng đầu chính đảng; ở đây là ĐCSVN.</x:v>
      </x:c>
      <x:c r="K680" s="11" t="str">
        <x:v>2026-10-29 (KST)</x:v>
      </x:c>
    </x:row>
    <x:row r="681" ht="75" customHeight="1">
      <x:c r="A681" s="11" t="str">
        <x:v>T084</x:v>
      </x:c>
      <x:c r="B681" s="11" t="str">
        <x:v>VI–EN</x:v>
      </x:c>
      <x:c r="C681" s="11" t="str">
        <x:v>Tổng thống → president</x:v>
      </x:c>
      <x:c r="D681" s="11" t="str">
        <x:v>Đối dịch trong từ điển; không mặc nhiên là định nghĩa Việt/Hàn độc lập.</x:v>
      </x:c>
      <x:c r="E681" s="11" t="str">
        <x:v>Đối dịch trong từ điển</x:v>
      </x:c>
      <x:c r="F681" s="11" t="str">
        <x:v>en+vi</x:v>
      </x:c>
      <x:c r="G681" s="11" t="str">
        <x:v>EB037</x:v>
      </x:c>
      <x:c r="H681" s="11" t="str">
        <x:v>PASSWORD English–Vietnamese Dictionary: president, nghĩa nguyên thủ cộng hòa</x:v>
      </x:c>
      <x:c r="I681" s="30" t="str">
        <x:v>https://dictionary.cambridge.org/vi/dictionary/english-vietnamese/president</x:v>
      </x:c>
      <x:c r="J681" s="11" t="str">
        <x:v>Đọc được cặp nhãn và bản dịch đúng nghĩa trong nguồn dẫn.
Nghĩa dùng để đối chiếu: Chức danh nguyên thủ trong thể chế dùng tên gọi Tổng thống; quyền hành tùy hiến pháp.</x:v>
      </x:c>
      <x:c r="K681" s="11" t="str">
        <x:v>2026-10-29 (KST)</x:v>
      </x:c>
    </x:row>
    <x:row r="682" ht="75" customHeight="1">
      <x:c r="A682" s="11" t="str">
        <x:v>T084</x:v>
      </x:c>
      <x:c r="B682" s="11" t="str">
        <x:v>KO–EN</x:v>
      </x:c>
      <x:c r="C682" s="11" t="str">
        <x:v>대통령 → president</x:v>
      </x:c>
      <x:c r="D682" s="11" t="str">
        <x:v>Đối dịch trong từ điển; không mặc nhiên là định nghĩa Việt/Hàn độc lập.</x:v>
      </x:c>
      <x:c r="E682" s="11" t="str">
        <x:v>Đối dịch trong từ điển</x:v>
      </x:c>
      <x:c r="F682" s="11" t="str">
        <x:v>ko+en</x:v>
      </x:c>
      <x:c r="G682" s="11" t="str">
        <x:v>EB038</x:v>
      </x:c>
      <x:c r="H682" s="11" t="str">
        <x:v>국립국어원 한국어기초사전: 대통령</x:v>
      </x:c>
      <x:c r="I682" s="30" t="str">
        <x:v>https://krdict.korean.go.kr/eng/dicSearch/SearchView?ParaWordNo=55485</x:v>
      </x:c>
      <x:c r="J682" s="11" t="str">
        <x:v>Đọc được cặp nhãn và bản dịch đúng nghĩa trong nguồn dẫn.
Nghĩa dùng để đối chiếu: Chức danh nguyên thủ trong thể chế dùng tên gọi Tổng thống; quyền hành tùy hiến pháp.</x:v>
      </x:c>
      <x:c r="K682" s="11" t="str">
        <x:v>2026-10-29 (KST)</x:v>
      </x:c>
    </x:row>
    <x:row r="683" ht="75" customHeight="1">
      <x:c r="A683" s="11" t="str">
        <x:v>T091</x:v>
      </x:c>
      <x:c r="B683" s="11" t="str">
        <x:v>VI–EN</x:v>
      </x:c>
      <x:c r="C683" s="11" t="str">
        <x:v>Tổng Thư ký Liên Hợp Quốc → Secretary-General</x:v>
      </x:c>
      <x:c r="D683" s="11" t="str">
        <x:v>Không kết luận mục từ từ điển từ nguồn này.</x:v>
      </x:c>
      <x:c r="E683" s="11" t="str">
        <x:v>Đối chiếu văn bản song song</x:v>
      </x:c>
      <x:c r="F683" s="11" t="str">
        <x:v>en+vi</x:v>
      </x:c>
      <x:c r="G683" s="11" t="str">
        <x:v>EB039</x:v>
      </x:c>
      <x:c r="H683" s="11" t="str">
        <x:v>UN Viet Nam: Accessible building for all / Tòa nhà Xanh thân thiện, bài song ngữ</x:v>
      </x:c>
      <x:c r="I683" s="30" t="str">
        <x:v>https://vietnam.un.org/en/177810-accessible-building-all-t%C3%B2a-nh%C3%A0-xanh-th%C3%A2n-thi%E1%BB%87n-d%C3%A0nh-cho-t%E1%BA%A5t-c%E1%BA%A3-m%E1%BB%8Di-ng%C6%B0%E1%BB%9Di</x:v>
      </x:c>
      <x:c r="J683" s="11" t="str">
        <x:v>Bài UN đăng đoạn Anh và Việt cùng nội dung, cùng chức danh đứng đầu Ban Thư ký LHQ.
Nghĩa dùng để đối chiếu: Người đứng đầu hoặc điều hành ban thư ký của một tổ chức theo quy định tổ chức đó.</x:v>
      </x:c>
      <x:c r="K683" s="11" t="str">
        <x:v>2026-10-29 (KST)</x:v>
      </x:c>
    </x:row>
    <x:row r="684" ht="75" customHeight="1">
      <x:c r="A684" s="11" t="str">
        <x:v>T091</x:v>
      </x:c>
      <x:c r="B684" s="11" t="str">
        <x:v>KO–EN</x:v>
      </x:c>
      <x:c r="C684" s="11" t="str">
        <x:v>사무총장 → secretary-general</x:v>
      </x:c>
      <x:c r="D684" s="11" t="str">
        <x:v>Đối dịch trong từ điển; không mặc nhiên là định nghĩa Việt/Hàn độc lập.</x:v>
      </x:c>
      <x:c r="E684" s="11" t="str">
        <x:v>Đối dịch trong từ điển</x:v>
      </x:c>
      <x:c r="F684" s="11" t="str">
        <x:v>ko+en</x:v>
      </x:c>
      <x:c r="G684" s="11" t="str">
        <x:v>EB040</x:v>
      </x:c>
      <x:c r="H684" s="11" t="str">
        <x:v>Collins Korean–English Dictionary: 사무총장</x:v>
      </x:c>
      <x:c r="I684" s="30" t="str">
        <x:v>https://www.collinsdictionary.com/dictionary/korean-english/%EC%82%AC%EB%AC%B4%EC%B4%9D%EC%9E%A5</x:v>
      </x:c>
      <x:c r="J684" s="11" t="str">
        <x:v>Đọc được cặp nhãn và bản dịch đúng nghĩa trong nguồn dẫn.
Nghĩa dùng để đối chiếu: Người đứng đầu hoặc điều hành ban thư ký của một tổ chức theo quy định tổ chức đó.</x:v>
      </x:c>
      <x:c r="K684" s="11" t="str">
        <x:v>2026-10-29 (KST)</x:v>
      </x:c>
    </x:row>
    <x:row r="685" ht="75" customHeight="1">
      <x:c r="A685" s="11" t="str">
        <x:v>T083</x:v>
      </x:c>
      <x:c r="B685" s="11" t="str">
        <x:v>VI–EN</x:v>
      </x:c>
      <x:c r="C685" s="11" t="str">
        <x:v>Ủy viên Trung ương Đảng → Member of the Party Central Committee</x:v>
      </x:c>
      <x:c r="D685" s="11" t="str">
        <x:v>Không kết luận mục từ từ điển từ nguồn này.</x:v>
      </x:c>
      <x:c r="E685" s="11" t="str">
        <x:v>Đối chiếu văn bản song song</x:v>
      </x:c>
      <x:c r="F685" s="11" t="str">
        <x:v>vi + en</x:v>
      </x:c>
      <x:c r="G685" s="11" t="str">
        <x:v>EB041</x:v>
      </x:c>
      <x:c r="H685" s="11" t="str">
        <x:v>Nhân Dân: Chính thức khai trương Báo Nhân Dân điện tử tiếng Hàn Quốc, 30/12/2025 | Government News: Nhan Dan Newspaper launches online Korean-language version, 30/12/2025</x:v>
      </x:c>
      <x:c r="I685" s="30" t="str">
        <x:v>https://nhandan.vn/chinh-thuc-khai-truong-bao-nhan-dan-dien-tu-tieng-han-quoc-post933939.html
https://en.baochinhphu.vn/nhan-dan-newspaper-launches-online-korean-language-version-111251230185111651.htm</x:v>
      </x:c>
      <x:c r="J685" s="11" t="str">
        <x:v>Khóa Lê Quốc Minh tại lễ ra mắt 30/12/2025: đoạn phát biểu cùng người, cùng chức vụ trong ba nguồn; không chỉ dùng trùng tên người.
Nghĩa dùng để đối chiếu: Người có tư cách thành viên Ban Chấp hành Trung ương Đảng.</x:v>
      </x:c>
      <x:c r="K685" s="11" t="str">
        <x:v>2026-10-29 (KST)</x:v>
      </x:c>
    </x:row>
    <x:row r="686" ht="75" customHeight="1">
      <x:c r="A686" s="11" t="str">
        <x:v>T083</x:v>
      </x:c>
      <x:c r="B686" s="11" t="str">
        <x:v>KO–EN</x:v>
      </x:c>
      <x:c r="C686" s="11" t="str">
        <x:v>당 중앙위원회 위원 → Member of the Party Central Committee</x:v>
      </x:c>
      <x:c r="D686" s="11" t="str">
        <x:v>Không kết luận mục từ từ điển từ nguồn này.</x:v>
      </x:c>
      <x:c r="E686" s="11" t="str">
        <x:v>Đối chiếu văn bản song song</x:v>
      </x:c>
      <x:c r="F686" s="11" t="str">
        <x:v>ko + en</x:v>
      </x:c>
      <x:c r="G686" s="11" t="str">
        <x:v>EB042</x:v>
      </x:c>
      <x:c r="H686" s="11" t="str">
        <x:v>Nhân Dân Hàn: 베트남 인민일보, 한국어 온라인판 공식 출범, 30/12/2025 | Government News: Nhan Dan Newspaper launches online Korean-language version, 30/12/2025</x:v>
      </x:c>
      <x:c r="I686" s="30" t="str">
        <x:v>https://kr.nhandan.vn/article-post3123.html
https://en.baochinhphu.vn/nhan-dan-newspaper-launches-online-korean-language-version-111251230185111651.htm</x:v>
      </x:c>
      <x:c r="J686" s="11" t="str">
        <x:v>Khóa Lê Quốc Minh tại lễ ra mắt 30/12/2025: đoạn phát biểu cùng người, cùng chức vụ trong ba nguồn; không chỉ dùng trùng tên người.
Nghĩa dùng để đối chiếu: Người có tư cách thành viên Ban Chấp hành Trung ương Đảng.</x:v>
      </x:c>
      <x:c r="K686" s="11" t="str">
        <x:v>2026-10-29 (KST)</x:v>
      </x:c>
    </x:row>
    <x:row r="687" ht="75" customHeight="1">
      <x:c r="A687" s="11" t="str">
        <x:v>CGI003</x:v>
      </x:c>
      <x:c r="B687" s="11" t="str">
        <x:v>VI–EN</x:v>
      </x:c>
      <x:c r="C687" s="11" t="str">
        <x:v>Ban Bí thư → Secretariat of CPV Central Committee</x:v>
      </x:c>
      <x:c r="D687" s="11" t="str">
        <x:v>Không kết luận mục từ từ điển từ nguồn này.</x:v>
      </x:c>
      <x:c r="E687" s="11" t="str">
        <x:v>Đối dịch tường minh trong nguồn</x:v>
      </x:c>
      <x:c r="F687" s="11" t="str">
        <x:v>vi,en</x:v>
      </x:c>
      <x:c r="G687" s="11" t="str">
        <x:v>EB043</x:v>
      </x:c>
      <x:c r="H687" s="11" t="str">
        <x:v>Tỉnh đoàn Lâm Đồng – hướng dẫn tên Đảng và cơ quan lãnh đạo</x:v>
      </x:c>
      <x:c r="I687" s="30" t="str">
        <x:v>https://lamdong.gov.vn/sites/tinhdoan/quoc-te-thanh-nien/Shared%20Documents/pamr.pdf</x:v>
      </x:c>
      <x:c r="J687" s="11" t="str">
        <x:v>Chỉ mục nguồn chính thức hiện bảng tên Việt–Anh; mở PDF trực tiếp hết thời gian. Nhánh Hàn vẫn cần đối chiếu đúng cơ quan CPV.
Nghĩa dùng để đối chiếu: Cơ quan lãnh đạo công việc Đảng thường xuyên.</x:v>
      </x:c>
      <x:c r="K687" s="11" t="str">
        <x:v>2026-10-29 (KST)</x:v>
      </x:c>
    </x:row>
    <x:row r="688" ht="75" customHeight="1">
      <x:c r="A688" s="11" t="str">
        <x:v>T113</x:v>
      </x:c>
      <x:c r="B688" s="11" t="str">
        <x:v>VI–EN</x:v>
      </x:c>
      <x:c r="C688" s="11" t="str">
        <x:v>Ban Chấp hành Trung ương Đảng → Central Committee of CPV</x:v>
      </x:c>
      <x:c r="D688" s="11" t="str">
        <x:v>Không kết luận mục từ từ điển từ nguồn này.</x:v>
      </x:c>
      <x:c r="E688" s="11" t="str">
        <x:v>Đối dịch tường minh trong nguồn</x:v>
      </x:c>
      <x:c r="F688" s="11" t="str">
        <x:v>vi,en</x:v>
      </x:c>
      <x:c r="G688" s="11" t="str">
        <x:v>EB044</x:v>
      </x:c>
      <x:c r="H688" s="11" t="str">
        <x:v>Tỉnh đoàn Lâm Đồng – hướng dẫn tên Đảng và cơ quan lãnh đạo</x:v>
      </x:c>
      <x:c r="I688" s="30" t="str">
        <x:v>https://lamdong.gov.vn/sites/tinhdoan/quoc-te-thanh-nien/Shared%20Documents/pamr.pdf</x:v>
      </x:c>
      <x:c r="J688" s="11" t="str">
        <x:v>Chỉ mục nguồn chính thức hiện bảng tên Việt–Anh; mở PDF trực tiếp hết thời gian. Nhánh Hàn vẫn cần đối chiếu đúng cơ quan CPV.
Nghĩa dùng để đối chiếu: Cơ quan lãnh đạo trung ương của Đảng do Đại hội đại biểu toàn quốc bầu.</x:v>
      </x:c>
      <x:c r="K688" s="11" t="str">
        <x:v>2026-10-29 (KST)</x:v>
      </x:c>
    </x:row>
    <x:row r="689" ht="75" customHeight="1">
      <x:c r="A689" s="11" t="str">
        <x:v>T107</x:v>
      </x:c>
      <x:c r="B689" s="11" t="str">
        <x:v>VI–EN</x:v>
      </x:c>
      <x:c r="C689" s="11" t="str">
        <x:v>Bộ Chính trị → Political Bureau; Politburo</x:v>
      </x:c>
      <x:c r="D689" s="11" t="str">
        <x:v>Không kết luận mục từ từ điển từ nguồn này.</x:v>
      </x:c>
      <x:c r="E689" s="11" t="str">
        <x:v>Đối dịch tường minh trong nguồn</x:v>
      </x:c>
      <x:c r="F689" s="11" t="str">
        <x:v>vi,en</x:v>
      </x:c>
      <x:c r="G689" s="11" t="str">
        <x:v>EB045</x:v>
      </x:c>
      <x:c r="H689" s="11" t="str">
        <x:v>Tỉnh đoàn Lâm Đồng – hướng dẫn tên Đảng và cơ quan lãnh đạo</x:v>
      </x:c>
      <x:c r="I689" s="30" t="str">
        <x:v>https://lamdong.gov.vn/sites/tinhdoan/quoc-te-thanh-nien/Shared%20Documents/pamr.pdf</x:v>
      </x:c>
      <x:c r="J689" s="11" t="str">
        <x:v>Chỉ mục nguồn chính thức hiện bảng tên Việt–Anh; mở PDF trực tiếp hết thời gian. Nhánh Hàn vẫn cần đối chiếu đúng cơ quan CPV.
Nghĩa dùng để đối chiếu: Cơ quan lãnh đạo Đảng do Trung ương bầu.</x:v>
      </x:c>
      <x:c r="K689" s="11" t="str">
        <x:v>2026-10-29 (KST)</x:v>
      </x:c>
    </x:row>
    <x:row r="690" ht="75" customHeight="1">
      <x:c r="A690" s="11" t="str">
        <x:v>T119</x:v>
      </x:c>
      <x:c r="B690" s="11" t="str">
        <x:v>VI–EN</x:v>
      </x:c>
      <x:c r="C690" s="11" t="str">
        <x:v>Bộ Công an → Ministry of Public Security</x:v>
      </x:c>
      <x:c r="D690" s="11" t="str">
        <x:v>Không kết luận mục từ từ điển từ nguồn này.</x:v>
      </x:c>
      <x:c r="E690" s="11" t="str">
        <x:v>Đối dịch tường minh trong nguồn</x:v>
      </x:c>
      <x:c r="F690" s="11" t="str">
        <x:v>vi,en</x:v>
      </x:c>
      <x:c r="G690" s="11" t="str">
        <x:v>EB046</x:v>
      </x:c>
      <x:c r="H690" s="11" t="str">
        <x:v>Bộ Tư pháp – pháp điển hướng dẫn dịch tên cơ quan; trích bảng Thông tư 03/2009/TT-BNG</x:v>
      </x:c>
      <x:c r="I690" s="30" t="str">
        <x:v>https://phapdien.moj.gov.vn/qt/tintuc/Pages/nghien-cuu-trao-doi.aspx?ItemID=310</x:v>
      </x:c>
      <x:c r="J690" s="11" t="str">
        <x:v>Bảng dịch tên cơ quan trong tài liệu pháp điển năm 2021 dẫn Thông tư 03/2009; bằng chứng cách gọi lịch sử, không khẳng định văn bản còn hiệu lực năm 2026.
Nghĩa dùng để đối chiếu: Bộ thực hiện quản lý nhà nước về an ninh và trật tự, an toàn xã hội.</x:v>
      </x:c>
      <x:c r="K690" s="11" t="str">
        <x:v>2026-10-29 (KST)</x:v>
      </x:c>
    </x:row>
    <x:row r="691" ht="75" customHeight="1">
      <x:c r="A691" s="11" t="str">
        <x:v>T119</x:v>
      </x:c>
      <x:c r="B691" s="11" t="str">
        <x:v>KO–EN</x:v>
      </x:c>
      <x:c r="C691" s="11" t="str">
        <x:v>공안부 → Ministry of Public Security</x:v>
      </x:c>
      <x:c r="D691" s="11" t="str">
        <x:v>Không kết luận mục từ từ điển từ nguồn này.</x:v>
      </x:c>
      <x:c r="E691" s="11" t="str">
        <x:v>Đối dịch tường minh trong nguồn</x:v>
      </x:c>
      <x:c r="F691" s="11" t="str">
        <x:v>ko,en</x:v>
      </x:c>
      <x:c r="G691" s="11" t="str">
        <x:v>EB047</x:v>
      </x:c>
      <x:c r="H691" s="11" t="str">
        <x:v>PIPC – 베트남: 개인정보보호법(PDPL), 26/8/2025</x:v>
      </x:c>
      <x:c r="I691" s="30" t="str">
        <x:v>https://pipc.go.kr/np/cop/bbs/selectBoardArticle.do?bbsId=BS105&amp;mCode=D060030000&amp;nttId=11443</x:v>
      </x:c>
      <x:c r="J691" s="11" t="str">
        <x:v>Nguồn ghi công an bộ Việt Nam cùng tên tiếng Anh; biểu thức đầu vào không tự ghi quốc gia.
Nghĩa dùng để đối chiếu: Bộ thực hiện quản lý nhà nước về an ninh và trật tự, an toàn xã hội.</x:v>
      </x:c>
      <x:c r="K691" s="11" t="str">
        <x:v>2026-10-29 (KST)</x:v>
      </x:c>
    </x:row>
    <x:row r="692" ht="75" customHeight="1">
      <x:c r="A692" s="11" t="str">
        <x:v>M025</x:v>
      </x:c>
      <x:c r="B692" s="11" t="str">
        <x:v>VI–EN</x:v>
      </x:c>
      <x:c r="C692" s="11" t="str">
        <x:v>Bộ Công Thương → Ministry of Industry and Trade</x:v>
      </x:c>
      <x:c r="D692" s="11" t="str">
        <x:v>Không kết luận mục từ từ điển từ nguồn này.</x:v>
      </x:c>
      <x:c r="E692" s="11" t="str">
        <x:v>Đối dịch tường minh trong nguồn</x:v>
      </x:c>
      <x:c r="F692" s="11" t="str">
        <x:v>vi,en</x:v>
      </x:c>
      <x:c r="G692" s="11" t="str">
        <x:v>EB048</x:v>
      </x:c>
      <x:c r="H692" s="11" t="str">
        <x:v>Bộ Tư pháp – pháp điển hướng dẫn dịch tên cơ quan; trích bảng Thông tư 03/2009/TT-BNG</x:v>
      </x:c>
      <x:c r="I692" s="30" t="str">
        <x:v>https://phapdien.moj.gov.vn/qt/tintuc/Pages/nghien-cuu-trao-doi.aspx?ItemID=310</x:v>
      </x:c>
      <x:c r="J692" s="11" t="str">
        <x:v>Bảng dịch tên cơ quan trong tài liệu pháp điển năm 2021 dẫn Thông tư 03/2009; bằng chứng cách gọi lịch sử, không khẳng định văn bản còn hiệu lực năm 2026.
Nghĩa dùng để đối chiếu: Bộ quản lý nhà nước về công nghiệp và thương mại cùng các lĩnh vực được giao.</x:v>
      </x:c>
      <x:c r="K692" s="11" t="str">
        <x:v>2026-10-29 (KST)</x:v>
      </x:c>
    </x:row>
    <x:row r="693" ht="75" customHeight="1">
      <x:c r="A693" s="11" t="str">
        <x:v>M025</x:v>
      </x:c>
      <x:c r="B693" s="11" t="str">
        <x:v>KO–EN</x:v>
      </x:c>
      <x:c r="C693" s="11" t="str">
        <x:v>베트남 산업통상부 → Ministry of Industry and Trade</x:v>
      </x:c>
      <x:c r="D693" s="11" t="str">
        <x:v>Không kết luận mục từ từ điển từ nguồn này.</x:v>
      </x:c>
      <x:c r="E693" s="11" t="str">
        <x:v>Đối dịch tường minh trong nguồn</x:v>
      </x:c>
      <x:c r="F693" s="11" t="str">
        <x:v>ko,en</x:v>
      </x:c>
      <x:c r="G693" s="11" t="str">
        <x:v>EB049</x:v>
      </x:c>
      <x:c r="H693" s="11" t="str">
        <x:v>KSP 2016/17 – 베트남 호치민 메트로 운영유지 지원계획; bảng chữ viết tắt</x:v>
      </x:c>
      <x:c r="I693" s="30" t="str">
        <x:v>https://www.ksp.go.kr/api/file/download/15545?downloadFilename=%EB%B2%A0%ED%8A%B8%EB%82%A8+%ED%98%B8%EC%B9%98%EB%AF%BC+%EB%A9%94%ED%8A%B8%EB%A1%9C+%EC%9A%B4%EC%98%81%EC%9C%A0%EC%A7%80%28O%26M%29+%EC%A7%80%EC%9B%90%EA%B3%84%ED%9A%8D+%EC%88%98%EB%A6%BD+%28%EA%B5%AD%EB%AC%B8%29.pdf</x:v>
      </x:c>
      <x:c r="J693" s="11" t="str">
        <x:v>Nguồn đặt tên bản ngữ và tên tiếng Anh cạnh nhau; chỉ dùng cho nghĩa/đối tượng được nêu.
Nghĩa dùng để đối chiếu: Bộ quản lý nhà nước về công nghiệp và thương mại cùng các lĩnh vực được giao.</x:v>
      </x:c>
      <x:c r="K693" s="11" t="str">
        <x:v>2026-10-29 (KST)</x:v>
      </x:c>
    </x:row>
    <x:row r="694" ht="75" customHeight="1">
      <x:c r="A694" s="11" t="str">
        <x:v>M023</x:v>
      </x:c>
      <x:c r="B694" s="11" t="str">
        <x:v>VI–EN</x:v>
      </x:c>
      <x:c r="C694" s="11" t="str">
        <x:v>Bộ Khoa học và Công nghệ → Ministry of Science and Technology</x:v>
      </x:c>
      <x:c r="D694" s="11" t="str">
        <x:v>Không kết luận mục từ từ điển từ nguồn này.</x:v>
      </x:c>
      <x:c r="E694" s="11" t="str">
        <x:v>Đối dịch tường minh trong nguồn</x:v>
      </x:c>
      <x:c r="F694" s="11" t="str">
        <x:v>vi,en</x:v>
      </x:c>
      <x:c r="G694" s="11" t="str">
        <x:v>EB050</x:v>
      </x:c>
      <x:c r="H694" s="11" t="str">
        <x:v>Bộ Khoa học và Công nghệ – tên song ngữ trên cổng chính thức</x:v>
      </x:c>
      <x:c r="I694" s="30" t="str">
        <x:v>https://mst.gov.vn/thong-tin-chung/so-do-cong</x:v>
      </x:c>
      <x:c r="J694" s="11" t="str">
        <x:v>Nguồn đặt tên bản ngữ và tên tiếng Anh cạnh nhau; chỉ dùng cho nghĩa/đối tượng được nêu.
Nghĩa dùng để đối chiếu: Bộ quản lý nhà nước về khoa học, công nghệ và các lĩnh vực được giao trong cơ cấu tương ứng.</x:v>
      </x:c>
      <x:c r="K694" s="11" t="str">
        <x:v>2026-10-29 (KST)</x:v>
      </x:c>
    </x:row>
    <x:row r="695" ht="75" customHeight="1">
      <x:c r="A695" s="11" t="str">
        <x:v>M023</x:v>
      </x:c>
      <x:c r="B695" s="11" t="str">
        <x:v>KO–EN</x:v>
      </x:c>
      <x:c r="C695" s="11" t="str">
        <x:v>과학기술부 → Ministry of Science and Technology</x:v>
      </x:c>
      <x:c r="D695" s="11" t="str">
        <x:v>Không kết luận mục từ từ điển từ nguồn này.</x:v>
      </x:c>
      <x:c r="E695" s="11" t="str">
        <x:v>Đối dịch tường minh trong nguồn</x:v>
      </x:c>
      <x:c r="F695" s="11" t="str">
        <x:v>ko,en</x:v>
      </x:c>
      <x:c r="G695" s="11" t="str">
        <x:v>EB051</x:v>
      </x:c>
      <x:c r="H695" s="11" t="str">
        <x:v>KIPO – thỏa thuận với Bộ Khoa học và Công nghệ Việt Nam, 22/4/2026</x:v>
      </x:c>
      <x:c r="I695" s="30" t="str">
        <x:v>https://kipo.go.kr/ko/kpoBultnDetail.do?aprchId=BUT0000029&amp;menuCd=SCD0200618&amp;ntatcSeq=20864&amp;sysCd=SCD02</x:v>
      </x:c>
      <x:c r="J695" s="11" t="str">
        <x:v>Nguồn đặt tên bản ngữ và tên tiếng Anh cạnh nhau; chỉ dùng cho nghĩa/đối tượng được nêu.
Nghĩa dùng để đối chiếu: Bộ quản lý nhà nước về khoa học, công nghệ và các lĩnh vực được giao trong cơ cấu tương ứng.</x:v>
      </x:c>
      <x:c r="K695" s="11" t="str">
        <x:v>2026-10-29 (KST)</x:v>
      </x:c>
    </x:row>
    <x:row r="696" ht="75" customHeight="1">
      <x:c r="A696" s="11" t="str">
        <x:v>T120</x:v>
      </x:c>
      <x:c r="B696" s="11" t="str">
        <x:v>VI–EN</x:v>
      </x:c>
      <x:c r="C696" s="11" t="str">
        <x:v>Bộ Ngoại giao → Ministry of Foreign Affairs</x:v>
      </x:c>
      <x:c r="D696" s="11" t="str">
        <x:v>Không kết luận mục từ từ điển từ nguồn này.</x:v>
      </x:c>
      <x:c r="E696" s="11" t="str">
        <x:v>Đối dịch tường minh trong nguồn</x:v>
      </x:c>
      <x:c r="F696" s="11" t="str">
        <x:v>vi,en</x:v>
      </x:c>
      <x:c r="G696" s="11" t="str">
        <x:v>EB052</x:v>
      </x:c>
      <x:c r="H696" s="11" t="str">
        <x:v>Bộ Tư pháp – pháp điển hướng dẫn dịch tên cơ quan; trích bảng Thông tư 03/2009/TT-BNG</x:v>
      </x:c>
      <x:c r="I696" s="30" t="str">
        <x:v>https://phapdien.moj.gov.vn/qt/tintuc/Pages/nghien-cuu-trao-doi.aspx?ItemID=310</x:v>
      </x:c>
      <x:c r="J696" s="11" t="str">
        <x:v>Bảng dịch tên cơ quan trong tài liệu pháp điển năm 2021 dẫn Thông tư 03/2009; bằng chứng cách gọi lịch sử, không khẳng định văn bản còn hiệu lực năm 2026.
Nghĩa dùng để đối chiếu: Bộ quản lý và tổ chức thực hiện công tác đối ngoại của Nhà nước.</x:v>
      </x:c>
      <x:c r="K696" s="11" t="str">
        <x:v>2026-10-29 (KST)</x:v>
      </x:c>
    </x:row>
    <x:row r="697" ht="75" customHeight="1">
      <x:c r="A697" s="11" t="str">
        <x:v>T114</x:v>
      </x:c>
      <x:c r="B697" s="11" t="str">
        <x:v>VI–EN</x:v>
      </x:c>
      <x:c r="C697" s="11" t="str">
        <x:v>Bộ Quốc phòng → Ministry of National Defence</x:v>
      </x:c>
      <x:c r="D697" s="11" t="str">
        <x:v>Không kết luận mục từ từ điển từ nguồn này.</x:v>
      </x:c>
      <x:c r="E697" s="11" t="str">
        <x:v>Đối dịch tường minh trong nguồn</x:v>
      </x:c>
      <x:c r="F697" s="11" t="str">
        <x:v>vi,en</x:v>
      </x:c>
      <x:c r="G697" s="11" t="str">
        <x:v>EB053</x:v>
      </x:c>
      <x:c r="H697" s="11" t="str">
        <x:v>Bộ Tư pháp – pháp điển hướng dẫn dịch tên cơ quan; trích bảng Thông tư 03/2009/TT-BNG</x:v>
      </x:c>
      <x:c r="I697" s="30" t="str">
        <x:v>https://phapdien.moj.gov.vn/qt/tintuc/Pages/nghien-cuu-trao-doi.aspx?ItemID=310</x:v>
      </x:c>
      <x:c r="J697" s="11" t="str">
        <x:v>Bảng dịch tên cơ quan trong tài liệu pháp điển năm 2021 dẫn Thông tư 03/2009; bằng chứng cách gọi lịch sử, không khẳng định văn bản còn hiệu lực năm 2026.
Nghĩa dùng để đối chiếu: Bộ quản lý nhà nước về quốc phòng.</x:v>
      </x:c>
      <x:c r="K697" s="11" t="str">
        <x:v>2026-10-29 (KST)</x:v>
      </x:c>
    </x:row>
    <x:row r="698" ht="75" customHeight="1">
      <x:c r="A698" s="11" t="str">
        <x:v>M029</x:v>
      </x:c>
      <x:c r="B698" s="11" t="str">
        <x:v>VI–EN</x:v>
      </x:c>
      <x:c r="C698" s="11" t="str">
        <x:v>Bộ Y tế → Ministry of Health</x:v>
      </x:c>
      <x:c r="D698" s="11" t="str">
        <x:v>Không kết luận mục từ từ điển từ nguồn này.</x:v>
      </x:c>
      <x:c r="E698" s="11" t="str">
        <x:v>Đối chiếu văn bản song song</x:v>
      </x:c>
      <x:c r="F698" s="11" t="str">
        <x:v>en,vi</x:v>
      </x:c>
      <x:c r="G698" s="11" t="str">
        <x:v>EB054</x:v>
      </x:c>
      <x:c r="H698" s="11" t="str">
        <x:v>Bộ Y tế – Introduction / Tổng quan</x:v>
      </x:c>
      <x:c r="I698" s="30" t="str">
        <x:v>https://cds.moh.gov.vn/en_US/web/guest/tong-quan</x:v>
      </x:c>
      <x:c r="J698" s="11" t="str">
        <x:v>Bản tiếng Anh có nhan đề cổng Bộ Y tế và phần giới thiệu cùng cơ quan; không phải từ điển tên bộ phổ quát.
Nghĩa dùng để đối chiếu: Bộ quản lý nhà nước về y tế và các lĩnh vực được giao.</x:v>
      </x:c>
      <x:c r="K698" s="11" t="str">
        <x:v>2026-10-29 (KST)</x:v>
      </x:c>
    </x:row>
    <x:row r="699" ht="75" customHeight="1">
      <x:c r="A699" s="11" t="str">
        <x:v>M029</x:v>
      </x:c>
      <x:c r="B699" s="11" t="str">
        <x:v>KO–EN</x:v>
      </x:c>
      <x:c r="C699" s="11" t="str">
        <x:v>베트남 보건부 → Ministry of Health</x:v>
      </x:c>
      <x:c r="D699" s="11" t="str">
        <x:v>Không kết luận mục từ từ điển từ nguồn này.</x:v>
      </x:c>
      <x:c r="E699" s="11" t="str">
        <x:v>Đối dịch tường minh trong nguồn</x:v>
      </x:c>
      <x:c r="F699" s="11" t="str">
        <x:v>ko,en</x:v>
      </x:c>
      <x:c r="G699" s="11" t="str">
        <x:v>EB055</x:v>
      </x:c>
      <x:c r="H699" s="11" t="str">
        <x:v>KSP 2016/17 – 베트남 호치민 메트로 운영유지 지원계획; bảng chữ viết tắt</x:v>
      </x:c>
      <x:c r="I699" s="30" t="str">
        <x:v>https://www.ksp.go.kr/api/file/download/15545?downloadFilename=%EB%B2%A0%ED%8A%B8%EB%82%A8+%ED%98%B8%EC%B9%98%EB%AF%BC+%EB%A9%94%ED%8A%B8%EB%A1%9C+%EC%9A%B4%EC%98%81%EC%9C%A0%EC%A7%80%28O%26M%29+%EC%A7%80%EC%9B%90%EA%B3%84%ED%9A%8D+%EC%88%98%EB%A6%BD+%28%EA%B5%AD%EB%AC%B8%29.pdf</x:v>
      </x:c>
      <x:c r="J699" s="11" t="str">
        <x:v>Nguồn đặt tên bản ngữ và tên tiếng Anh cạnh nhau; chỉ dùng cho nghĩa/đối tượng được nêu.
Nghĩa dùng để đối chiếu: Bộ quản lý nhà nước về y tế và các lĩnh vực được giao.</x:v>
      </x:c>
      <x:c r="K699" s="11" t="str">
        <x:v>2026-10-29 (KST)</x:v>
      </x:c>
    </x:row>
    <x:row r="700" ht="85.5" customHeight="1">
      <x:c r="A700" s="11" t="str">
        <x:v>T105</x:v>
      </x:c>
      <x:c r="B700" s="11" t="str">
        <x:v>VI–EN</x:v>
      </x:c>
      <x:c r="C700" s="11" t="str">
        <x:v>Chính phủ → Government</x:v>
      </x:c>
      <x:c r="D700" s="11" t="str">
        <x:v>Không kết luận mục từ từ điển từ nguồn này.</x:v>
      </x:c>
      <x:c r="E700" s="11" t="str">
        <x:v>Đối chiếu văn bản song song</x:v>
      </x:c>
      <x:c r="F700" s="11" t="str">
        <x:v>vi,en</x:v>
      </x:c>
      <x:c r="G700" s="11" t="str">
        <x:v>EB056</x:v>
      </x:c>
      <x:c r="H700" s="11" t="str">
        <x:v>ĐSQ Việt Nam tại Tanzania – bản tin VI–EN cùng trang, 25/6/2026</x:v>
      </x:c>
      <x:c r="I700" s="30" t="str">
        <x:v>https://vnembassy-daressalaam.mofa.gov.vn/tin-chi-tiet/chi-tiet/tang-cuong-hop-tac-chien-luoc-ve-giao-duc-thuong-mai-va-ha-tang-ngoai-giao-giua-viet-nam-va-tanzania-enhancing-strategic-cooperation-in-education-trade-and-diplomatic-infrastructure-between-vietnam-and-tanzania-60615-1241.html</x:v>
      </x:c>
      <x:c r="J700" s="11" t="str">
        <x:v>Chính phủ Tanzania được đối chiếu Government of Tanzania trong cùng bản tin; xác nhận danh từ chung trong ngữ cảnh này, không tự xác nhận Chính phủ Việt Nam.
Nghĩa dùng để đối chiếu: Cơ quan hành pháp và hành chính nhà nước cao nhất theo thể chế Việt Nam.</x:v>
      </x:c>
      <x:c r="K700" s="11" t="str">
        <x:v>2026-10-29 (KST)</x:v>
      </x:c>
    </x:row>
    <x:row r="701" ht="75" customHeight="1">
      <x:c r="A701" s="11" t="str">
        <x:v>T171</x:v>
      </x:c>
      <x:c r="B701" s="11" t="str">
        <x:v>VI–EN</x:v>
      </x:c>
      <x:c r="C701" s="11" t="str">
        <x:v>Đại hội đồng Liên hợp quốc → General Assembly</x:v>
      </x:c>
      <x:c r="D701" s="11" t="str">
        <x:v>Không kết luận mục từ từ điển từ nguồn này.</x:v>
      </x:c>
      <x:c r="E701" s="11" t="str">
        <x:v>Đối dịch tường minh trong nguồn</x:v>
      </x:c>
      <x:c r="F701" s="11" t="str">
        <x:v>vi,en</x:v>
      </x:c>
      <x:c r="G701" s="11" t="str">
        <x:v>EB057</x:v>
      </x:c>
      <x:c r="H701" s="11" t="str">
        <x:v>Bộ Tư pháp – nghiên cứu báo cáo quốc gia UPR; tên các cơ quan LHQ</x:v>
      </x:c>
      <x:c r="I701" s="30" t="str">
        <x:v>https://tlpl.moj.gov.vn/tailieu/_layouts/mobile/dispform.aspx?ID=822&amp;List=1c8785d3-62e5-46e7-b67f-498c8b0e9904&amp;View=b950df70-0f0b-407d-ab81-7dc000b50102</x:v>
      </x:c>
      <x:c r="J701" s="11" t="str">
        <x:v>Đại hội đồng được ghép General Assembly trong danh sách cơ quan LHQ.
Nghĩa dùng để đối chiếu: Cơ quan thảo luận, hoạch định chính sách và đại diện rộng rãi của Liên hợp quốc, gồm các quốc gia thành viên.</x:v>
      </x:c>
      <x:c r="K701" s="11" t="str">
        <x:v>2026-10-29 (KST)</x:v>
      </x:c>
    </x:row>
    <x:row r="702" ht="75" customHeight="1">
      <x:c r="A702" s="11" t="str">
        <x:v>T171</x:v>
      </x:c>
      <x:c r="B702" s="11" t="str">
        <x:v>KO–EN</x:v>
      </x:c>
      <x:c r="C702" s="11" t="str">
        <x:v>유엔 총회 → United Nations General Assembly</x:v>
      </x:c>
      <x:c r="D702" s="11" t="str">
        <x:v>Không kết luận mục từ từ điển từ nguồn này.</x:v>
      </x:c>
      <x:c r="E702" s="11" t="str">
        <x:v>Đối dịch tường minh trong nguồn</x:v>
      </x:c>
      <x:c r="F702" s="11" t="str">
        <x:v>ko,en</x:v>
      </x:c>
      <x:c r="G702" s="11" t="str">
        <x:v>EB058</x:v>
      </x:c>
      <x:c r="H702" s="11" t="str">
        <x:v>MOFA Korea Open Data – 유엔총회; nhãn tiếng Anh tương ứng</x:v>
      </x:c>
      <x:c r="I702" s="30" t="str">
        <x:v>https://opendata.mofa.go.kr/core/resource/Organization/AG02826.page</x:v>
      </x:c>
      <x:c r="J702" s="11" t="str">
        <x:v>Nguồn đặt tên bản ngữ và tên tiếng Anh cạnh nhau; chỉ dùng cho nghĩa/đối tượng được nêu.
Nghĩa dùng để đối chiếu: Cơ quan thảo luận, hoạch định chính sách và đại diện rộng rãi của Liên hợp quốc, gồm các quốc gia thành viên.</x:v>
      </x:c>
      <x:c r="K702" s="11" t="str">
        <x:v>2026-10-29 (KST)</x:v>
      </x:c>
    </x:row>
    <x:row r="703" ht="75" customHeight="1">
      <x:c r="A703" s="11" t="str">
        <x:v>M037</x:v>
      </x:c>
      <x:c r="B703" s="11" t="str">
        <x:v>VI–EN</x:v>
      </x:c>
      <x:c r="C703" s="11" t="str">
        <x:v>đại sứ quán → embassy</x:v>
      </x:c>
      <x:c r="D703" s="11" t="str">
        <x:v>Không kết luận mục từ từ điển từ nguồn này.</x:v>
      </x:c>
      <x:c r="E703" s="11" t="str">
        <x:v>Đối chiếu văn bản song song</x:v>
      </x:c>
      <x:c r="F703" s="11" t="str">
        <x:v>vi,en</x:v>
      </x:c>
      <x:c r="G703" s="11" t="str">
        <x:v>EB059</x:v>
      </x:c>
      <x:c r="H703" s="11" t="str">
        <x:v>ĐSQ Việt Nam tại Tanzania – bản tin VI–EN cùng trang, 25/6/2026</x:v>
      </x:c>
      <x:c r="I703" s="30" t="str">
        <x:v>https://vnembassy-daressalaam.mofa.gov.vn/tin-chi-tiet/chi-tiet/tang-cuong-hop-tac-chien-luoc-ve-giao-duc-thuong-mai-va-ha-tang-ngoai-giao-giua-viet-nam-va-tanzania-enhancing-strategic-cooperation-in-education-trade-and-diplomatic-infrastructure-between-vietnam-and-tanzania-60615-1241.html</x:v>
      </x:c>
      <x:c r="J703" s="11" t="str">
        <x:v>Hai đoạn VI–EN cùng trang đối chiếu Đại sứ quán Việt Nam và Embassy of Vietnam; lấy tên loại embassy, không tự thêm quốc gia vào mục từ chung.
Nghĩa dùng để đối chiếu: Cơ quan đại diện ngoại giao cấp đại sứ của một quốc gia tại quốc gia khác.</x:v>
      </x:c>
      <x:c r="K703" s="11" t="str">
        <x:v>2026-10-29 (KST)</x:v>
      </x:c>
    </x:row>
    <x:row r="704" ht="75" customHeight="1">
      <x:c r="A704" s="11" t="str">
        <x:v>M037</x:v>
      </x:c>
      <x:c r="B704" s="11" t="str">
        <x:v>KO–EN</x:v>
      </x:c>
      <x:c r="C704" s="11" t="str">
        <x:v>대사관 → embassy</x:v>
      </x:c>
      <x:c r="D704" s="11" t="str">
        <x:v>Đối dịch trong từ điển; không mặc nhiên là định nghĩa Việt/Hàn độc lập.</x:v>
      </x:c>
      <x:c r="E704" s="11" t="str">
        <x:v>Đối dịch trong từ điển</x:v>
      </x:c>
      <x:c r="F704" s="11" t="str">
        <x:v>ko,en</x:v>
      </x:c>
      <x:c r="G704" s="11" t="str">
        <x:v>EB060</x:v>
      </x:c>
      <x:c r="H704" s="11" t="str">
        <x:v>NIKL Korean–English Learners Dictionary – danh sách có mục 대사관</x:v>
      </x:c>
      <x:c r="I704" s="30" t="str">
        <x:v>https://krdict.korean.go.kr/m/eng/searchResult?ParaWordNo=14274&amp;currentPage=3&amp;exaType=&amp;font_size=12&amp;mainSearchWord=%EB%8C%80&amp;nation=eng&amp;nationCode=6&amp;proverbType=&amp;searchType=W&amp;sort=W&amp;viewType=A&amp;wordMatchFlag=N</x:v>
      </x:c>
      <x:c r="J704" s="11" t="str">
        <x:v>Đã đọc đúng mục 대사관 trong danh sách kết quả; URL tham số không được coi tự thân là mã mục từ.
Nghĩa dùng để đối chiếu: Cơ quan do đại sứ đứng đầu thực hiện ngoại giao tại nước khác.</x:v>
      </x:c>
      <x:c r="K704" s="11" t="str">
        <x:v>2026-10-29 (KST)</x:v>
      </x:c>
    </x:row>
    <x:row r="705" ht="75" customHeight="1">
      <x:c r="A705" s="11" t="str">
        <x:v>T109</x:v>
      </x:c>
      <x:c r="B705" s="11" t="str">
        <x:v>KO–EN</x:v>
      </x:c>
      <x:c r="C705" s="11" t="str">
        <x:v>공산당 → communist party</x:v>
      </x:c>
      <x:c r="D705" s="11" t="str">
        <x:v>Đối dịch trong từ điển; không mặc nhiên là định nghĩa Việt/Hàn độc lập.</x:v>
      </x:c>
      <x:c r="E705" s="11" t="str">
        <x:v>Đối dịch trong từ điển</x:v>
      </x:c>
      <x:c r="F705" s="11" t="str">
        <x:v>ko,en</x:v>
      </x:c>
      <x:c r="G705" s="11" t="str">
        <x:v>EB061</x:v>
      </x:c>
      <x:c r="H705" s="11" t="str">
        <x:v>NIKL Korean–English Learners Dictionary – danh sách có mục 공산당</x:v>
      </x:c>
      <x:c r="I705" s="30" t="str">
        <x:v>https://krdict.korean.go.kr/m/eng/searchResult?ParaWordNo=48775&amp;currentPage=32&amp;exaType=&amp;font_size=12&amp;mainSearchWord=%EC%82%B0&amp;nation=eng&amp;nationCode=6&amp;proverbType=&amp;searchType=W&amp;sort=W&amp;viewType=A&amp;wordMatchFlag=N</x:v>
      </x:c>
      <x:c r="J705" s="11" t="str">
        <x:v>Tên loại đảng; không tự đồng nhất với ĐCSVN hay một đảng cụ thể.
Nghĩa dùng để đối chiếu: Một chính đảng theo chủ nghĩa cộng sản.</x:v>
      </x:c>
      <x:c r="K705" s="11" t="str">
        <x:v>2026-10-29 (KST)</x:v>
      </x:c>
    </x:row>
    <x:row r="706" ht="75" customHeight="1">
      <x:c r="A706" s="11" t="str">
        <x:v>T111</x:v>
      </x:c>
      <x:c r="B706" s="11" t="str">
        <x:v>VI–EN</x:v>
      </x:c>
      <x:c r="C706" s="11" t="str">
        <x:v>Đảng Cộng sản Việt Nam → Communist Party of Viet Nam</x:v>
      </x:c>
      <x:c r="D706" s="11" t="str">
        <x:v>Không kết luận mục từ từ điển từ nguồn này.</x:v>
      </x:c>
      <x:c r="E706" s="11" t="str">
        <x:v>Đối chiếu văn bản song song</x:v>
      </x:c>
      <x:c r="F706" s="11" t="str">
        <x:v>vi</x:v>
      </x:c>
      <x:c r="G706" s="11" t="str">
        <x:v>EB062</x:v>
      </x:c>
      <x:c r="H706" s="11" t="str">
        <x:v>Cổng Chính phủ – Hệ thống chính trị</x:v>
      </x:c>
      <x:c r="I706" s="30" t="str">
        <x:v>https://vanban.chinhphu.vn/he-thong-chinh-tri-68381</x:v>
      </x:c>
      <x:c r="J706" s="11" t="str">
        <x:v>Bản VI và EN của cổng Chính phủ định danh cùng ĐCSVN; không suy từ một nguồn EN đơn ngữ.
Nghĩa dùng để đối chiếu: Chính đảng lãnh đạo Nhà nước và xã hội Việt Nam.</x:v>
      </x:c>
      <x:c r="K706" s="11" t="str">
        <x:v>2026-10-29 (KST)</x:v>
      </x:c>
    </x:row>
    <x:row r="707" ht="75" customHeight="1">
      <x:c r="A707" s="11" t="str">
        <x:v>T111</x:v>
      </x:c>
      <x:c r="B707" s="11" t="str">
        <x:v>KO–EN</x:v>
      </x:c>
      <x:c r="C707" s="11" t="str">
        <x:v>베트남 공산당 → Communist Party of Vietnam</x:v>
      </x:c>
      <x:c r="D707" s="11" t="str">
        <x:v>Không kết luận mục từ từ điển từ nguồn này.</x:v>
      </x:c>
      <x:c r="E707" s="11" t="str">
        <x:v>Đối dịch tường minh trong nguồn</x:v>
      </x:c>
      <x:c r="F707" s="11" t="str">
        <x:v>ko,en</x:v>
      </x:c>
      <x:c r="G707" s="11" t="str">
        <x:v>EB063</x:v>
      </x:c>
      <x:c r="H707" s="11" t="str">
        <x:v>DTAQ – 2020 국방조달시장 진출가이드북 베트남</x:v>
      </x:c>
      <x:c r="I707" s="30" t="str">
        <x:v>https://www.dtaq.re.kr/_custom/dtaq/_common/board/download.jsp?attach_no=196121</x:v>
      </x:c>
      <x:c r="J707" s="11" t="str">
        <x:v>Nguồn đặt tên bản ngữ và tên tiếng Anh cạnh nhau; chỉ dùng cho nghĩa/đối tượng được nêu.
Nghĩa dùng để đối chiếu: Chính đảng lãnh đạo Nhà nước và xã hội Việt Nam.</x:v>
      </x:c>
      <x:c r="K707" s="11" t="str">
        <x:v>2026-10-29 (KST)</x:v>
      </x:c>
    </x:row>
    <x:row r="708" ht="75" customHeight="1">
      <x:c r="A708" s="11" t="str">
        <x:v>T125</x:v>
      </x:c>
      <x:c r="B708" s="11" t="str">
        <x:v>KO–EN</x:v>
      </x:c>
      <x:c r="C708" s="11" t="str">
        <x:v>라오인민혁명당 → Lao People's Revolutionary Party</x:v>
      </x:c>
      <x:c r="D708" s="11" t="str">
        <x:v>Không kết luận mục từ từ điển từ nguồn này.</x:v>
      </x:c>
      <x:c r="E708" s="11" t="str">
        <x:v>Đối dịch tường minh trong nguồn</x:v>
      </x:c>
      <x:c r="F708" s="11" t="str">
        <x:v>ko,en</x:v>
      </x:c>
      <x:c r="G708" s="11" t="str">
        <x:v>EB064</x:v>
      </x:c>
      <x:c r="H708" s="11" t="str">
        <x:v>MOFA Korea – 라오스 개황 2016</x:v>
      </x:c>
      <x:c r="I708" s="30" t="str">
        <x:v>https://m.korea.kr/expertWeb/resources/files/data/document_file/2016/%EB%9D%BC%EC%98%A4%EC%8A%A4_%EA%B0%9C%ED%99%A9%282016.7%29501.pdf</x:v>
      </x:c>
      <x:c r="J708" s="11" t="str">
        <x:v>Tài liệu quốc gia đặt tên Hàn cạnh LPRP và tên Anh; chỉ xác nhận tên đảng, không thông tin nhân sự hiện hành.
Nghĩa dùng để đối chiếu: Chính đảng mang tên Đảng Nhân dân Cách mạng Lào tại Lào.</x:v>
      </x:c>
      <x:c r="K708" s="11" t="str">
        <x:v>2026-10-29 (KST)</x:v>
      </x:c>
    </x:row>
    <x:row r="709" ht="75" customHeight="1">
      <x:c r="A709" s="11" t="str">
        <x:v>T128</x:v>
      </x:c>
      <x:c r="B709" s="11" t="str">
        <x:v>KO–EN</x:v>
      </x:c>
      <x:c r="C709" s="11" t="str">
        <x:v>캄보디아 인민당 → Cambodian People's Party</x:v>
      </x:c>
      <x:c r="D709" s="11" t="str">
        <x:v>Không kết luận mục từ từ điển từ nguồn này.</x:v>
      </x:c>
      <x:c r="E709" s="11" t="str">
        <x:v>Đối dịch tường minh trong nguồn</x:v>
      </x:c>
      <x:c r="F709" s="11" t="str">
        <x:v>ko,en</x:v>
      </x:c>
      <x:c r="G709" s="11" t="str">
        <x:v>EB065</x:v>
      </x:c>
      <x:c r="H709" s="11" t="str">
        <x:v>KIEP – nghiên cứu của Park Na-ri về bầu cử Campuchia, 2013</x:v>
      </x:c>
      <x:c r="I709" s="30" t="str">
        <x:v>https://csf.kiep.go.kr/issue.es?currentPage=12&amp;mid=a10200000000&amp;pageCnt=10&amp;search_area=&amp;search_keyword=&amp;search_month=&amp;search_option=&amp;search_region=03010800&amp;search_tagkeyword=&amp;search_year=&amp;systemcode=03</x:v>
      </x:c>
      <x:c r="J709" s="11" t="str">
        <x:v>Bài nghiên cứu do KIEP công bố trực tiếp nêu tên Hàn và CPP/Anh; không dùng các kết quả bầu cử lịch sử làm dữ kiện hiện hành.
Nghĩa dùng để đối chiếu: Chính đảng mang tên Đảng Nhân dân Campuchia, viết tắt CPP.</x:v>
      </x:c>
      <x:c r="K709" s="11" t="str">
        <x:v>2026-10-29 (KST)</x:v>
      </x:c>
    </x:row>
    <x:row r="710" ht="75" customHeight="1">
      <x:c r="A710" s="11" t="str">
        <x:v>M015</x:v>
      </x:c>
      <x:c r="B710" s="11" t="str">
        <x:v>KO–EN</x:v>
      </x:c>
      <x:c r="C710" s="11" t="str">
        <x:v>의장대 → Honor Guard</x:v>
      </x:c>
      <x:c r="D710" s="11" t="str">
        <x:v>Không kết luận mục từ từ điển từ nguồn này.</x:v>
      </x:c>
      <x:c r="E710" s="11" t="str">
        <x:v>Đối dịch tường minh trong nguồn</x:v>
      </x:c>
      <x:c r="F710" s="11" t="str">
        <x:v>ko,en</x:v>
      </x:c>
      <x:c r="G710" s="11" t="str">
        <x:v>EB066</x:v>
      </x:c>
      <x:c r="H710" s="11" t="str">
        <x:v>Korean National Police University 2019 – sơ đồ tên đơn vị Hàn–Anh</x:v>
      </x:c>
      <x:c r="I710" s="30" t="str">
        <x:v>https://www.police.ac.kr/pds/professor/1537144531970.pdf</x:v>
      </x:c>
      <x:c r="J710" s="11" t="str">
        <x:v>Bản giới thiệu chính cơ quan ghi 의장대 cùng Honor Guard; nhánh Việt chưa được đối chiếu bằng nguồn.
Nghĩa dùng để đối chiếu: Đơn vị được tổ chức để thực hiện nghi thức danh dự trong lễ đón hoặc sự kiện chính thức.</x:v>
      </x:c>
      <x:c r="K710" s="11" t="str">
        <x:v>2026-10-29 (KST)</x:v>
      </x:c>
    </x:row>
    <x:row r="711" ht="75" customHeight="1">
      <x:c r="A711" s="11" t="str">
        <x:v>T132</x:v>
      </x:c>
      <x:c r="B711" s="11" t="str">
        <x:v>VI–EN</x:v>
      </x:c>
      <x:c r="C711" s="11" t="str">
        <x:v>Hiệp hội các quốc gia Đông Nam Á (ASEAN) → Association of Southeast Asian Nations</x:v>
      </x:c>
      <x:c r="D711" s="11" t="str">
        <x:v>Không kết luận mục từ từ điển từ nguồn này.</x:v>
      </x:c>
      <x:c r="E711" s="11" t="str">
        <x:v>Đối dịch tường minh trong nguồn</x:v>
      </x:c>
      <x:c r="F711" s="11" t="str">
        <x:v>vi,en</x:v>
      </x:c>
      <x:c r="G711" s="11" t="str">
        <x:v>EB067</x:v>
      </x:c>
      <x:c r="H711" s="11" t="str">
        <x:v>MOFA Việt Nam – Thông tin cơ bản về ASEAN</x:v>
      </x:c>
      <x:c r="I711" s="30" t="str">
        <x:v>https://mofa.gov.vn/tin-chi-tiet/chi-tiet/thong-tin-co-ban-ve-asean-va-quan-he-viet-nam-asean-589.html</x:v>
      </x:c>
      <x:c r="J711" s="11" t="str">
        <x:v>Nguồn đặt tên bản ngữ và tên tiếng Anh cạnh nhau; chỉ dùng cho nghĩa/đối tượng được nêu.
Nghĩa dùng để đối chiếu: Tổ chức hợp tác khu vực của các quốc gia Đông Nam Á, thường gọi ASEAN.</x:v>
      </x:c>
      <x:c r="K711" s="11" t="str">
        <x:v>2026-10-29 (KST)</x:v>
      </x:c>
    </x:row>
    <x:row r="712" ht="75" customHeight="1">
      <x:c r="A712" s="11" t="str">
        <x:v>T132</x:v>
      </x:c>
      <x:c r="B712" s="11" t="str">
        <x:v>KO–EN</x:v>
      </x:c>
      <x:c r="C712" s="11" t="str">
        <x:v>동남아시아국가연합(ASEAN) → Association of Southeast Asian Nations</x:v>
      </x:c>
      <x:c r="D712" s="11" t="str">
        <x:v>Không kết luận mục từ từ điển từ nguồn này.</x:v>
      </x:c>
      <x:c r="E712" s="11" t="str">
        <x:v>Đối dịch tường minh trong nguồn</x:v>
      </x:c>
      <x:c r="F712" s="11" t="str">
        <x:v>ko,en</x:v>
      </x:c>
      <x:c r="G712" s="11" t="str">
        <x:v>EB068</x:v>
      </x:c>
      <x:c r="H712" s="11" t="str">
        <x:v>Phái đoàn Hàn Quốc tại ASEAN – 한-아세안 협력기금 개요</x:v>
      </x:c>
      <x:c r="I712" s="30" t="str">
        <x:v>https://overseas.mofa.go.kr/asean-ko/wpge/m_21591/contents.do</x:v>
      </x:c>
      <x:c r="J712" s="11" t="str">
        <x:v>Nguồn đặt tên bản ngữ và tên tiếng Anh cạnh nhau; chỉ dùng cho nghĩa/đối tượng được nêu.
Nghĩa dùng để đối chiếu: Tổ chức hợp tác khu vực của các quốc gia Đông Nam Á, thường gọi ASEAN.</x:v>
      </x:c>
      <x:c r="K712" s="11" t="str">
        <x:v>2026-10-29 (KST)</x:v>
      </x:c>
    </x:row>
    <x:row r="713" ht="75" customHeight="1">
      <x:c r="A713" s="11" t="str">
        <x:v>T169</x:v>
      </x:c>
      <x:c r="B713" s="11" t="str">
        <x:v>VI–EN</x:v>
      </x:c>
      <x:c r="C713" s="11" t="str">
        <x:v>Hội đồng Bảo an Liên hợp quốc → Security Council</x:v>
      </x:c>
      <x:c r="D713" s="11" t="str">
        <x:v>Không kết luận mục từ từ điển từ nguồn này.</x:v>
      </x:c>
      <x:c r="E713" s="11" t="str">
        <x:v>Đối dịch tường minh trong nguồn</x:v>
      </x:c>
      <x:c r="F713" s="11" t="str">
        <x:v>vi,en</x:v>
      </x:c>
      <x:c r="G713" s="11" t="str">
        <x:v>EB069</x:v>
      </x:c>
      <x:c r="H713" s="11" t="str">
        <x:v>Bộ Tư pháp – nghiên cứu báo cáo quốc gia UPR; tên các cơ quan LHQ</x:v>
      </x:c>
      <x:c r="I713" s="30" t="str">
        <x:v>https://tlpl.moj.gov.vn/tailieu/_layouts/mobile/dispform.aspx?ID=822&amp;List=1c8785d3-62e5-46e7-b67f-498c8b0e9904&amp;View=b950df70-0f0b-407d-ab81-7dc000b50102</x:v>
      </x:c>
      <x:c r="J713" s="11" t="str">
        <x:v>Nguồn đặt Hội đồng Bảo an cạnh Security Council trong danh mục cơ quan LHQ; phạm vi UN được nêu trong câu.
Nghĩa dùng để đối chiếu: Cơ quan Liên hợp quốc chịu trách nhiệm chính về duy trì hòa bình và an ninh quốc tế.</x:v>
      </x:c>
      <x:c r="K713" s="11" t="str">
        <x:v>2026-10-29 (KST)</x:v>
      </x:c>
    </x:row>
    <x:row r="714" ht="75" customHeight="1">
      <x:c r="A714" s="11" t="str">
        <x:v>T169</x:v>
      </x:c>
      <x:c r="B714" s="11" t="str">
        <x:v>KO–EN</x:v>
      </x:c>
      <x:c r="C714" s="11" t="str">
        <x:v>유엔 안전보장이사회 → Security Council</x:v>
      </x:c>
      <x:c r="D714" s="11" t="str">
        <x:v>Không kết luận mục từ từ điển từ nguồn này.</x:v>
      </x:c>
      <x:c r="E714" s="11" t="str">
        <x:v>Đối dịch tường minh trong nguồn</x:v>
      </x:c>
      <x:c r="F714" s="11" t="str">
        <x:v>ko,en</x:v>
      </x:c>
      <x:c r="G714" s="11" t="str">
        <x:v>EB070</x:v>
      </x:c>
      <x:c r="H714" s="11" t="str">
        <x:v>MOFA Korea – 개요, 국제연합(UN); các cơ quan chính</x:v>
      </x:c>
      <x:c r="I714" s="30" t="str">
        <x:v>https://www.mofa.go.kr/www/wpge/m_3873/contents.do</x:v>
      </x:c>
      <x:c r="J714" s="11" t="str">
        <x:v>Nguồn ghi 안전보장이사회 (SC: Security Council) trong danh mục UN; đầu vào là dạng đầy đủ/rút gọn của tên này.
Nghĩa dùng để đối chiếu: Cơ quan Liên hợp quốc chịu trách nhiệm chính về duy trì hòa bình và an ninh quốc tế.</x:v>
      </x:c>
      <x:c r="K714" s="11" t="str">
        <x:v>2026-10-29 (KST)</x:v>
      </x:c>
    </x:row>
    <x:row r="715" ht="75" customHeight="1">
      <x:c r="A715" s="11" t="str">
        <x:v>T135</x:v>
      </x:c>
      <x:c r="B715" s="11" t="str">
        <x:v>VI–EN</x:v>
      </x:c>
      <x:c r="C715" s="11" t="str">
        <x:v>Liên hợp quốc → United Nations</x:v>
      </x:c>
      <x:c r="D715" s="11" t="str">
        <x:v>Không kết luận mục từ từ điển từ nguồn này.</x:v>
      </x:c>
      <x:c r="E715" s="11" t="str">
        <x:v>Đối dịch tường minh trong nguồn</x:v>
      </x:c>
      <x:c r="F715" s="11" t="str">
        <x:v>vi,en</x:v>
      </x:c>
      <x:c r="G715" s="11" t="str">
        <x:v>EB071</x:v>
      </x:c>
      <x:c r="H715" s="11" t="str">
        <x:v>MOFA Việt Nam – Thông tin cơ bản về Liên hiệp quốc và quan hệ với Việt Nam</x:v>
      </x:c>
      <x:c r="I715" s="30" t="str">
        <x:v>https://mofa.gov.vn/tin-chi-tiet/chi-tiet/thong-tin-co-ban-ve-lien-hiep-quoc-va-quan-he-voi-viet-nam-257.html</x:v>
      </x:c>
      <x:c r="J715" s="11" t="str">
        <x:v>Nguồn đặt tên bản ngữ và tên tiếng Anh cạnh nhau; chỉ dùng cho nghĩa/đối tượng được nêu.
Nghĩa dùng để đối chiếu: Tổ chức quốc tế liên chính phủ hoạt động theo Hiến chương nhằm duy trì hòa bình và phát triển hợp tác quốc tế.</x:v>
      </x:c>
      <x:c r="K715" s="11" t="str">
        <x:v>2026-10-29 (KST)</x:v>
      </x:c>
    </x:row>
    <x:row r="716" ht="75" customHeight="1">
      <x:c r="A716" s="11" t="str">
        <x:v>T135</x:v>
      </x:c>
      <x:c r="B716" s="11" t="str">
        <x:v>KO–EN</x:v>
      </x:c>
      <x:c r="C716" s="11" t="str">
        <x:v>유엔(UN) → United Nations</x:v>
      </x:c>
      <x:c r="D716" s="11" t="str">
        <x:v>Không kết luận mục từ từ điển từ nguồn này.</x:v>
      </x:c>
      <x:c r="E716" s="11" t="str">
        <x:v>Đối dịch tường minh trong nguồn</x:v>
      </x:c>
      <x:c r="F716" s="11" t="str">
        <x:v>ko,en</x:v>
      </x:c>
      <x:c r="G716" s="11" t="str">
        <x:v>EB072</x:v>
      </x:c>
      <x:c r="H716" s="11" t="str">
        <x:v>MOFA Korea – 유엔(United Nations), tên đầy đủ và tên viết tắt</x:v>
      </x:c>
      <x:c r="I716" s="30" t="str">
        <x:v>https://www.mofa.go.kr/www/wpge/m_3873/contents.do</x:v>
      </x:c>
      <x:c r="J716" s="11" t="str">
        <x:v>Nguồn đặt tên bản ngữ và tên tiếng Anh cạnh nhau; chỉ dùng cho nghĩa/đối tượng được nêu.
Nghĩa dùng để đối chiếu: Tổ chức quốc tế liên chính phủ hoạt động theo Hiến chương nhằm duy trì hòa bình và phát triển hợp tác quốc tế.</x:v>
      </x:c>
      <x:c r="K716" s="11" t="str">
        <x:v>2026-10-29 (KST)</x:v>
      </x:c>
    </x:row>
    <x:row r="717" ht="75" customHeight="1">
      <x:c r="A717" s="11" t="str">
        <x:v>T155</x:v>
      </x:c>
      <x:c r="B717" s="11" t="str">
        <x:v>VI–EN</x:v>
      </x:c>
      <x:c r="C717" s="11" t="str">
        <x:v>Liên minh châu Âu → European Union</x:v>
      </x:c>
      <x:c r="D717" s="11" t="str">
        <x:v>Không kết luận mục từ từ điển từ nguồn này.</x:v>
      </x:c>
      <x:c r="E717" s="11" t="str">
        <x:v>Đối dịch tường minh trong nguồn</x:v>
      </x:c>
      <x:c r="F717" s="11" t="str">
        <x:v>vi,en</x:v>
      </x:c>
      <x:c r="G717" s="11" t="str">
        <x:v>EB073</x:v>
      </x:c>
      <x:c r="H717" s="11" t="str">
        <x:v>MOFA Việt Nam – danh bạ ngoại giao, Liên minh châu Âu</x:v>
      </x:c>
      <x:c r="I717" s="30" t="str">
        <x:v>https://stateprotocol.mofa.gov.vn/Lists/BaiViet/Attachments/124/EU.pdf</x:v>
      </x:c>
      <x:c r="J717" s="11" t="str">
        <x:v>Nguồn đặt tên bản ngữ và tên tiếng Anh cạnh nhau; chỉ dùng cho nghĩa/đối tượng được nêu.
Nghĩa dùng để đối chiếu: Liên minh chính trị và kinh tế của các quốc gia châu Âu, có các thể chế chung.</x:v>
      </x:c>
      <x:c r="K717" s="11" t="str">
        <x:v>2026-10-29 (KST)</x:v>
      </x:c>
    </x:row>
    <x:row r="718" ht="75" customHeight="1">
      <x:c r="A718" s="11" t="str">
        <x:v>T155</x:v>
      </x:c>
      <x:c r="B718" s="11" t="str">
        <x:v>KO–EN</x:v>
      </x:c>
      <x:c r="C718" s="11" t="str">
        <x:v>유럽연합 → European Union</x:v>
      </x:c>
      <x:c r="D718" s="11" t="str">
        <x:v>Không kết luận mục từ từ điển từ nguồn này.</x:v>
      </x:c>
      <x:c r="E718" s="11" t="str">
        <x:v>Đối dịch tường minh trong nguồn</x:v>
      </x:c>
      <x:c r="F718" s="11" t="str">
        <x:v>ko,en</x:v>
      </x:c>
      <x:c r="G718" s="11" t="str">
        <x:v>EB074</x:v>
      </x:c>
      <x:c r="H718" s="11" t="str">
        <x:v>Đại sứ quán Hàn Quốc tại EU – EU 개관</x:v>
      </x:c>
      <x:c r="I718" s="30" t="str">
        <x:v>https://www.mofa.go.kr/be-ko/wpge/m_25610/contents.do</x:v>
      </x:c>
      <x:c r="J718" s="11" t="str">
        <x:v>Nguồn đặt tên bản ngữ và tên tiếng Anh cạnh nhau; chỉ dùng cho nghĩa/đối tượng được nêu.
Nghĩa dùng để đối chiếu: Liên minh chính trị và kinh tế của các quốc gia châu Âu, có các thể chế chung.</x:v>
      </x:c>
      <x:c r="K718" s="11" t="str">
        <x:v>2026-10-29 (KST)</x:v>
      </x:c>
    </x:row>
    <x:row r="719" ht="75" customHeight="1">
      <x:c r="A719" s="11" t="str">
        <x:v>T159</x:v>
      </x:c>
      <x:c r="B719" s="11" t="str">
        <x:v>VI–EN</x:v>
      </x:c>
      <x:c r="C719" s="11" t="str">
        <x:v>Liên minh Nghị viện thế giới → Inter-parliamentary Union</x:v>
      </x:c>
      <x:c r="D719" s="11" t="str">
        <x:v>Không kết luận mục từ từ điển từ nguồn này.</x:v>
      </x:c>
      <x:c r="E719" s="11" t="str">
        <x:v>Đối dịch tường minh trong nguồn</x:v>
      </x:c>
      <x:c r="F719" s="11" t="str">
        <x:v>vi,en</x:v>
      </x:c>
      <x:c r="G719" s="11" t="str">
        <x:v>EB075</x:v>
      </x:c>
      <x:c r="H719" s="11" t="str">
        <x:v>Quốc hội Việt Nam – Thông tin cơ bản về Liên minh Nghị viện thế giới, 2/4/2025</x:v>
      </x:c>
      <x:c r="I719" s="30" t="str">
        <x:v>https://quochoi.vn/tintuc/Pages/su-kien-noi-bat.aspx?EventID=0&amp;Page=333&amp;date=</x:v>
      </x:c>
      <x:c r="J719" s="11" t="str">
        <x:v>Nguồn đặt tên bản ngữ và tên tiếng Anh cạnh nhau; chỉ dùng cho nghĩa/đối tượng được nêu.
Nghĩa dùng để đối chiếu: Tổ chức toàn cầu của các nghị viện quốc gia, thúc đẩy hợp tác và ngoại giao nghị viện.</x:v>
      </x:c>
      <x:c r="K719" s="11" t="str">
        <x:v>2026-10-29 (KST)</x:v>
      </x:c>
    </x:row>
    <x:row r="720" ht="75" customHeight="1">
      <x:c r="A720" s="11" t="str">
        <x:v>T159</x:v>
      </x:c>
      <x:c r="B720" s="11" t="str">
        <x:v>KO–EN</x:v>
      </x:c>
      <x:c r="C720" s="11" t="str">
        <x:v>국제의회연맹 → Inter-Parliamentary Union</x:v>
      </x:c>
      <x:c r="D720" s="11" t="str">
        <x:v>Không kết luận mục từ từ điển từ nguồn này.</x:v>
      </x:c>
      <x:c r="E720" s="11" t="str">
        <x:v>Đối dịch tường minh trong nguồn</x:v>
      </x:c>
      <x:c r="F720" s="11" t="str">
        <x:v>ko,en</x:v>
      </x:c>
      <x:c r="G720" s="11" t="str">
        <x:v>EB076</x:v>
      </x:c>
      <x:c r="H720" s="11" t="str">
        <x:v>National Archives Korea – IPU 제70차 총회 서울 개최</x:v>
      </x:c>
      <x:c r="I720" s="30" t="str">
        <x:v>https://www.archives.go.kr/next/newsearch/listSubjectDescription.do?id=002827&amp;pageFlag=&amp;sitePage=</x:v>
      </x:c>
      <x:c r="J720" s="11" t="str">
        <x:v>Nguồn đặt tên bản ngữ và tên tiếng Anh cạnh nhau; chỉ dùng cho nghĩa/đối tượng được nêu.
Nghĩa dùng để đối chiếu: Tổ chức toàn cầu của các nghị viện quốc gia, thúc đẩy hợp tác và ngoại giao nghị viện.</x:v>
      </x:c>
      <x:c r="K720" s="11" t="str">
        <x:v>2026-10-29 (KST)</x:v>
      </x:c>
    </x:row>
    <x:row r="721" ht="85.5" customHeight="1">
      <x:c r="A721" s="11" t="str">
        <x:v>T106</x:v>
      </x:c>
      <x:c r="B721" s="11" t="str">
        <x:v>KO–EN</x:v>
      </x:c>
      <x:c r="C721" s="11" t="str">
        <x:v>국가 → state; nation; country</x:v>
      </x:c>
      <x:c r="D721" s="11" t="str">
        <x:v>Đối dịch trong từ điển; không mặc nhiên là định nghĩa Việt/Hàn độc lập.</x:v>
      </x:c>
      <x:c r="E721" s="11" t="str">
        <x:v>Đối dịch trong từ điển</x:v>
      </x:c>
      <x:c r="F721" s="11" t="str">
        <x:v>ko,en</x:v>
      </x:c>
      <x:c r="G721" s="11" t="str">
        <x:v>EB077</x:v>
      </x:c>
      <x:c r="H721" s="11" t="str">
        <x:v>NIKL Korean–English Learners Dictionary – 국가¹</x:v>
      </x:c>
      <x:c r="I721" s="30" t="str">
        <x:v>https://krdict.korean.go.kr/eng/dicSearch/SearchView?ParaNationCode=6&amp;ParaWordNo=62382&amp;captchaNumber=&amp;commentTitle=&amp;comment_user_name=&amp;divSearch=defViewGlobal&amp;myViewWord=83079&amp;nation=eng&amp;nationCode=6&amp;viewTypes=on&amp;wordComment=</x:v>
      </x:c>
      <x:c r="J721" s="11" t="str">
        <x:v>Mục từ cho nhiều đối ứng; không chọn state rồi mặc nhiên loại bỏ nation/country. Cần kiểm tra Nhà nước trong câu gốc chỉ bộ máy hay toàn cộng đồng quốc gia.
Nghĩa dùng để đối chiếu: Một cộng đồng có lãnh thổ, dân cư và tổ chức cai trị bằng chủ quyền.</x:v>
      </x:c>
      <x:c r="K721" s="11" t="str">
        <x:v>2026-10-29 (KST)</x:v>
      </x:c>
    </x:row>
    <x:row r="722" ht="75" customHeight="1">
      <x:c r="A722" s="11" t="str">
        <x:v>M031</x:v>
      </x:c>
      <x:c r="B722" s="11" t="str">
        <x:v>VI–EN</x:v>
      </x:c>
      <x:c r="C722" s="11" t="str">
        <x:v>Tổ chức Giáo dục, Khoa học và Văn hóa của Liên hợp quốc (UNESCO) → United Nations Educational, Scientific and Cultural Organization</x:v>
      </x:c>
      <x:c r="D722" s="11" t="str">
        <x:v>Không kết luận mục từ từ điển từ nguồn này.</x:v>
      </x:c>
      <x:c r="E722" s="11" t="str">
        <x:v>Đối dịch tường minh trong nguồn</x:v>
      </x:c>
      <x:c r="F722" s="11" t="str">
        <x:v>vi,en</x:v>
      </x:c>
      <x:c r="G722" s="11" t="str">
        <x:v>EB078</x:v>
      </x:c>
      <x:c r="H722" s="11" t="str">
        <x:v>MOFA Việt Nam – List of Foreign Representative Missions in Viet Nam</x:v>
      </x:c>
      <x:c r="I722" s="30" t="str">
        <x:v>https://vnconsulate-frankfurt.mofa.gov.vn/en-us/News/News%20from%20the%20Ministry%20of%20Foreign%20Affairs/Weekly%20News/Pages/List%20of%20Foreign%20Representative%20Missions%20in%20Viet%20Nam.aspx</x:v>
      </x:c>
      <x:c r="J722" s="11" t="str">
        <x:v>Nguồn đặt tên bản ngữ và tên tiếng Anh cạnh nhau; chỉ dùng cho nghĩa/đối tượng được nêu.
Nghĩa dùng để đối chiếu: Cơ quan chuyên môn của Liên hợp quốc về hợp tác giáo dục, khoa học và văn hóa, viết tắt UNESCO.</x:v>
      </x:c>
      <x:c r="K722" s="11" t="str">
        <x:v>2026-10-29 (KST)</x:v>
      </x:c>
    </x:row>
    <x:row r="723" ht="75" customHeight="1">
      <x:c r="A723" s="11" t="str">
        <x:v>M031</x:v>
      </x:c>
      <x:c r="B723" s="11" t="str">
        <x:v>KO–EN</x:v>
      </x:c>
      <x:c r="C723" s="11" t="str">
        <x:v>유네스코 → United Nations Educational, Scientific and Cultural Organization</x:v>
      </x:c>
      <x:c r="D723" s="11" t="str">
        <x:v>Không kết luận mục từ từ điển từ nguồn này.</x:v>
      </x:c>
      <x:c r="E723" s="11" t="str">
        <x:v>Đối dịch tường minh trong nguồn</x:v>
      </x:c>
      <x:c r="F723" s="11" t="str">
        <x:v>ko,en</x:v>
      </x:c>
      <x:c r="G723" s="11" t="str">
        <x:v>EB079</x:v>
      </x:c>
      <x:c r="H723" s="11" t="str">
        <x:v>Korean National Commission for UNESCO – tuyển dụng; giới thiệu tên UNESCO</x:v>
      </x:c>
      <x:c r="I723" s="30" t="str">
        <x:v>https://unesco.or.kr/%EC%B1%84%EC%9A%A9-%EC%9C%A0%EB%84%A4%EC%8A%A4%EC%BD%94%ED%95%9C%EA%B5%AD%EC%9C%84%EC%9B%90%ED%9A%8C-%EC%8B%A0%EC%9E%85%EC%A7%81%EC%9B%90-%EB%AA%A8%EC%A7%91%EC%9A%94%EA%B0%95/</x:v>
      </x:c>
      <x:c r="J723" s="11" t="str">
        <x:v>Nguồn đặt tên bản ngữ và tên tiếng Anh cạnh nhau; chỉ dùng cho nghĩa/đối tượng được nêu.
Nghĩa dùng để đối chiếu: Cơ quan chuyên môn của Liên hợp quốc về hợp tác giáo dục, khoa học và văn hóa, viết tắt UNESCO.</x:v>
      </x:c>
      <x:c r="K723" s="11" t="str">
        <x:v>2026-10-29 (KST)</x:v>
      </x:c>
    </x:row>
    <x:row r="724" ht="75" customHeight="1">
      <x:c r="A724" s="11" t="str">
        <x:v>T151</x:v>
      </x:c>
      <x:c r="B724" s="11" t="str">
        <x:v>VI–EN</x:v>
      </x:c>
      <x:c r="C724" s="11" t="str">
        <x:v>chính sách đối ngoại → foreign policy</x:v>
      </x:c>
      <x:c r="D724" s="11" t="str">
        <x:v>Không kết luận mục từ từ điển từ nguồn này.</x:v>
      </x:c>
      <x:c r="E724" s="11" t="str">
        <x:v>Đối chiếu văn bản song song</x:v>
      </x:c>
      <x:c r="F724" s="11" t="str">
        <x:v>vi-en</x:v>
      </x:c>
      <x:c r="G724" s="11" t="str">
        <x:v>EB080</x:v>
      </x:c>
      <x:c r="H724" s="11" t="str">
        <x:v>Đại sứ quán Việt Nam tại Tanzania: Kỷ niệm Quốc khánh và 60 năm quan hệ Việt Nam–Tanzania</x:v>
      </x:c>
      <x:c r="I724" s="30" t="str">
        <x:v>https://vnembassy-daressalaam.mofa.gov.vn/km/tin-chi-tiet/chi-tiet/ky-niem-quoc-khanh-02091945-va-60-nam-quan-he-viet-nam-tanzania-59603-1245.html</x:v>
      </x:c>
      <x:c r="J724" s="11" t="str">
        <x:v>Cùng trang có đoạn Việt chính sách đối ngoại và đoạn Anh tương ứng foreign policy.
Nghĩa dùng để đối chiếu: Định hướng hoạt động đối ngoại của quốc gia.</x:v>
      </x:c>
      <x:c r="K724" s="11" t="str">
        <x:v>2026-10-29 (KST)</x:v>
      </x:c>
    </x:row>
    <x:row r="725" ht="75" customHeight="1">
      <x:c r="A725" s="11" t="str">
        <x:v>T151</x:v>
      </x:c>
      <x:c r="B725" s="11" t="str">
        <x:v>KO–EN</x:v>
      </x:c>
      <x:c r="C725" s="11" t="str">
        <x:v>외교정책 → foreign policy</x:v>
      </x:c>
      <x:c r="D725" s="11" t="str">
        <x:v>Không kết luận mục từ từ điển từ nguồn này.</x:v>
      </x:c>
      <x:c r="E725" s="11" t="str">
        <x:v>Đối chiếu văn bản song song</x:v>
      </x:c>
      <x:c r="F725" s="11" t="str">
        <x:v>ko-en</x:v>
      </x:c>
      <x:c r="G725" s="11" t="str">
        <x:v>EB081</x:v>
      </x:c>
      <x:c r="H725" s="11" t="str">
        <x:v>Bộ Ngoại giao Hàn Quốc: 조현 장관, 주한외교단 대상 우리 신정부 외교정책 강연</x:v>
      </x:c>
      <x:c r="I725" s="30" t="str">
        <x:v>https://lk.mofa.go.kr/www/brd/m_4080/view.do?page=45&amp;pitem=10&amp;seq=376370</x:v>
      </x:c>
      <x:c r="J725" s="11" t="str">
        <x:v>Tiêu đề Hàn và tiêu đề bài Anh được chính nguồn liên kết ghi Foreign Policy; nội dung chỉ mục đọc được, mở trực tiếp gặp 403.
Nghĩa dùng để đối chiếu: Chính sách đối ngoại của chính phủ.</x:v>
      </x:c>
      <x:c r="K725" s="11" t="str">
        <x:v>2026-10-29 (KST)</x:v>
      </x:c>
    </x:row>
    <x:row r="726" ht="75" customHeight="1">
      <x:c r="A726" s="11" t="str">
        <x:v>T154</x:v>
      </x:c>
      <x:c r="B726" s="11" t="str">
        <x:v>VI–EN</x:v>
      </x:c>
      <x:c r="C726" s="11" t="str">
        <x:v>chủ nghĩa đa phương → multilateralism</x:v>
      </x:c>
      <x:c r="D726" s="11" t="str">
        <x:v>Không kết luận mục từ từ điển từ nguồn này.</x:v>
      </x:c>
      <x:c r="E726" s="11" t="str">
        <x:v>Đối dịch tường minh trong nguồn</x:v>
      </x:c>
      <x:c r="F726" s="11" t="str">
        <x:v>vi-en</x:v>
      </x:c>
      <x:c r="G726" s="11" t="str">
        <x:v>EB082</x:v>
      </x:c>
      <x:c r="H726" s="11" t="str">
        <x:v>Bộ Công Thương: Hoạt động của Tổng giám đốc WTO trong nửa đầu năm 2025</x:v>
      </x:c>
      <x:c r="I726" s="30" t="str">
        <x:v>https://moit.gov.vn/tin-tuc/hoat-dong-cua-tong-giam-doc-wto-ngozi-okonjo-iweala-trong-nua-dau-nam-2025.html</x:v>
      </x:c>
      <x:c r="J726" s="11" t="str">
        <x:v>Nguồn ghi chủ nghĩa đa phương kèm multilateralism trong ngoặc.
Nghĩa dùng để đối chiếu: Nguyên tắc và thực hành hợp tác nhiều bên.</x:v>
      </x:c>
      <x:c r="K726" s="11" t="str">
        <x:v>2026-10-29 (KST)</x:v>
      </x:c>
    </x:row>
    <x:row r="727" ht="75" customHeight="1">
      <x:c r="A727" s="11" t="str">
        <x:v>T154</x:v>
      </x:c>
      <x:c r="B727" s="11" t="str">
        <x:v>KO–EN</x:v>
      </x:c>
      <x:c r="C727" s="11" t="str">
        <x:v>다자주의 → multilateralism</x:v>
      </x:c>
      <x:c r="D727" s="11" t="str">
        <x:v>Không kết luận mục từ từ điển từ nguồn này.</x:v>
      </x:c>
      <x:c r="E727" s="11" t="str">
        <x:v>Đối dịch tường minh trong nguồn</x:v>
      </x:c>
      <x:c r="F727" s="11" t="str">
        <x:v>ko-en</x:v>
      </x:c>
      <x:c r="G727" s="11" t="str">
        <x:v>EB083</x:v>
      </x:c>
      <x:c r="H727" s="11" t="str">
        <x:v>Bộ Ngoại giao Hàn Quốc: WSSD 요하네스버그 선언문(안)</x:v>
      </x:c>
      <x:c r="I727" s="30" t="str">
        <x:v>https://www.mofa.go.kr/www/brd/m_20152/view.do?page=104&amp;seq=339328</x:v>
      </x:c>
      <x:c r="J727" s="11" t="str">
        <x:v>Văn bản ghi 다자주의(multilateralism).
Nghĩa dùng để đối chiếu: Quan điểm hợp tác đa phương theo Hiến chương và luật quốc tế.</x:v>
      </x:c>
      <x:c r="K727" s="11" t="str">
        <x:v>2026-10-29 (KST)</x:v>
      </x:c>
    </x:row>
    <x:row r="728" ht="75" customHeight="1">
      <x:c r="A728" s="11" t="str">
        <x:v>T029</x:v>
      </x:c>
      <x:c r="B728" s="11" t="str">
        <x:v>VI–EN</x:v>
      </x:c>
      <x:c r="C728" s="11" t="str">
        <x:v>chủ nghĩa xã hội → socialism</x:v>
      </x:c>
      <x:c r="D728" s="11" t="str">
        <x:v>Đối dịch trong từ điển; không mặc nhiên là định nghĩa Việt/Hàn độc lập.</x:v>
      </x:c>
      <x:c r="E728" s="11" t="str">
        <x:v>Đối dịch trong từ điển</x:v>
      </x:c>
      <x:c r="F728" s="11" t="str">
        <x:v>en-vi-ko</x:v>
      </x:c>
      <x:c r="G728" s="11" t="str">
        <x:v>EB084</x:v>
      </x:c>
      <x:c r="H728" s="11" t="str">
        <x:v>Collins: socialism — In other languages</x:v>
      </x:c>
      <x:c r="I728" s="30" t="str">
        <x:v>https://www.collinsdictionary.com/dictionary/english/socialism</x:v>
      </x:c>
      <x:c r="J728" s="11" t="str">
        <x:v>Bảng đối dịch của nhà biên soạn ghi chính xác cả Vietnamese: chủ nghĩa xã hội và Korean: 사회주의.
Nghĩa dùng để đối chiếu: Chế độ chính trị/xã hội hướng đến phân phối cơ hội và của cải bình đẳng.</x:v>
      </x:c>
      <x:c r="K728" s="11" t="str">
        <x:v>2026-10-29 (KST)</x:v>
      </x:c>
    </x:row>
    <x:row r="729" ht="75" customHeight="1">
      <x:c r="A729" s="11" t="str">
        <x:v>T029</x:v>
      </x:c>
      <x:c r="B729" s="11" t="str">
        <x:v>KO–EN</x:v>
      </x:c>
      <x:c r="C729" s="11" t="str">
        <x:v>사회주의 → socialism</x:v>
      </x:c>
      <x:c r="D729" s="11" t="str">
        <x:v>Đối dịch trong từ điển; không mặc nhiên là định nghĩa Việt/Hàn độc lập.</x:v>
      </x:c>
      <x:c r="E729" s="11" t="str">
        <x:v>Đối dịch trong từ điển</x:v>
      </x:c>
      <x:c r="F729" s="11" t="str">
        <x:v>en-vi-ko</x:v>
      </x:c>
      <x:c r="G729" s="11" t="str">
        <x:v>EB085</x:v>
      </x:c>
      <x:c r="H729" s="11" t="str">
        <x:v>Collins: socialism — In other languages</x:v>
      </x:c>
      <x:c r="I729" s="30" t="str">
        <x:v>https://www.collinsdictionary.com/dictionary/english/socialism</x:v>
      </x:c>
      <x:c r="J729" s="11" t="str">
        <x:v>Bảng đối dịch của nhà biên soạn ghi chính xác cả Vietnamese: chủ nghĩa xã hội và Korean: 사회주의.
Nghĩa dùng để đối chiếu: Chế độ chính trị/xã hội hướng đến phân phối cơ hội và của cải bình đẳng.</x:v>
      </x:c>
      <x:c r="K729" s="11" t="str">
        <x:v>2026-10-29 (KST)</x:v>
      </x:c>
    </x:row>
    <x:row r="730" ht="75" customHeight="1">
      <x:c r="A730" s="11" t="str">
        <x:v>T023</x:v>
      </x:c>
      <x:c r="B730" s="11" t="str">
        <x:v>VI–EN</x:v>
      </x:c>
      <x:c r="C730" s="11" t="str">
        <x:v>sự dân chủ → democracy</x:v>
      </x:c>
      <x:c r="D730" s="11" t="str">
        <x:v>Đối dịch trong từ điển; không mặc nhiên là định nghĩa Việt/Hàn độc lập.</x:v>
      </x:c>
      <x:c r="E730" s="11" t="str">
        <x:v>Đối dịch trong từ điển</x:v>
      </x:c>
      <x:c r="F730" s="11" t="str">
        <x:v>en-vi-ko</x:v>
      </x:c>
      <x:c r="G730" s="11" t="str">
        <x:v>EB086</x:v>
      </x:c>
      <x:c r="H730" s="11" t="str">
        <x:v>Collins: democracy — In other languages</x:v>
      </x:c>
      <x:c r="I730" s="30" t="str">
        <x:v>https://www.collinsdictionary.com/dictionary/english/democracy</x:v>
      </x:c>
      <x:c r="J730" s="11" t="str">
        <x:v>Bảng ghi sự dân chủ; không phải nguyên dạng trần dân chủ trong danh mục.
Nghĩa dùng để đối chiếu: Chế độ chính trị trong đó người dân lựa chọn chính phủ qua bầu cử.</x:v>
      </x:c>
      <x:c r="K730" s="11" t="str">
        <x:v>2026-10-29 (KST)</x:v>
      </x:c>
    </x:row>
    <x:row r="731" ht="75" customHeight="1">
      <x:c r="A731" s="11" t="str">
        <x:v>T023</x:v>
      </x:c>
      <x:c r="B731" s="11" t="str">
        <x:v>KO–EN</x:v>
      </x:c>
      <x:c r="C731" s="11" t="str">
        <x:v>민주주의 → democracy</x:v>
      </x:c>
      <x:c r="D731" s="11" t="str">
        <x:v>Đối dịch trong từ điển; không mặc nhiên là định nghĩa Việt/Hàn độc lập.</x:v>
      </x:c>
      <x:c r="E731" s="11" t="str">
        <x:v>Đối dịch trong từ điển</x:v>
      </x:c>
      <x:c r="F731" s="11" t="str">
        <x:v>en-ko</x:v>
      </x:c>
      <x:c r="G731" s="11" t="str">
        <x:v>EB087</x:v>
      </x:c>
      <x:c r="H731" s="11" t="str">
        <x:v>Cambridge English–Korean Dictionary: democracy</x:v>
      </x:c>
      <x:c r="I731" s="30" t="str">
        <x:v>https://dictionary.cambridge.org/dictionary/english-korean/democracy</x:v>
      </x:c>
      <x:c r="J731" s="11" t="str">
        <x:v>Mục từ ghi democracy → 민주주의 và có nghĩa hệ thống chính trị; đọc được qua chỉ mục.
Nghĩa dùng để đối chiếu: Hệ thống chính quyền do người dân lựa chọn lãnh đạo.</x:v>
      </x:c>
      <x:c r="K731" s="11" t="str">
        <x:v>2026-10-29 (KST)</x:v>
      </x:c>
    </x:row>
    <x:row r="732" ht="75" customHeight="1">
      <x:c r="A732" s="11" t="str">
        <x:v>M050</x:v>
      </x:c>
      <x:c r="B732" s="11" t="str">
        <x:v>KO–EN</x:v>
      </x:c>
      <x:c r="C732" s="11" t="str">
        <x:v>임기 → term of office / term / mandate / tenure</x:v>
      </x:c>
      <x:c r="D732" s="11" t="str">
        <x:v>Đối dịch trong từ điển; không mặc nhiên là định nghĩa Việt/Hàn độc lập.</x:v>
      </x:c>
      <x:c r="E732" s="11" t="str">
        <x:v>Đối dịch trong từ điển</x:v>
      </x:c>
      <x:c r="F732" s="11" t="str">
        <x:v>ko-en</x:v>
      </x:c>
      <x:c r="G732" s="11" t="str">
        <x:v>EB088</x:v>
      </x:c>
      <x:c r="H732" s="11" t="str">
        <x:v>Collins Korean–English Dictionary: 임기</x:v>
      </x:c>
      <x:c r="I732" s="30" t="str">
        <x:v>https://www.collinsdictionary.com/dictionary/korean-english/%EC%9E%84%EA%B8%B0</x:v>
      </x:c>
      <x:c r="J732" s="11" t="str">
        <x:v>Mục từ có term, mandate và tenure; ví dụ term of office đối ứng 임기. Không có institutional term.
Nghĩa dùng để đối chiếu: Khoảng thời gian một người hoặc chính phủ giữ chức/quyền.</x:v>
      </x:c>
      <x:c r="K732" s="11" t="str">
        <x:v>2026-10-29 (KST)</x:v>
      </x:c>
    </x:row>
    <x:row r="733" ht="75" customHeight="1">
      <x:c r="A733" s="11" t="str">
        <x:v>T006</x:v>
      </x:c>
      <x:c r="B733" s="11" t="str">
        <x:v>VI–EN</x:v>
      </x:c>
      <x:c r="C733" s="11" t="str">
        <x:v>quyền con người → human rights</x:v>
      </x:c>
      <x:c r="D733" s="11" t="str">
        <x:v>Không kết luận mục từ từ điển từ nguồn này.</x:v>
      </x:c>
      <x:c r="E733" s="11" t="str">
        <x:v>Đối dịch tường minh trong nguồn</x:v>
      </x:c>
      <x:c r="F733" s="11" t="str">
        <x:v>vi-en</x:v>
      </x:c>
      <x:c r="G733" s="11" t="str">
        <x:v>EB089</x:v>
      </x:c>
      <x:c r="H733" s="11" t="str">
        <x:v>Bộ Tư pháp: Tăng cường vai trò của thiết chế truyền thông trong bảo vệ quyền con người và quyền công dân ở Việt Nam</x:v>
      </x:c>
      <x:c r="I733" s="30" t="str">
        <x:v>https://tlpl.moj.gov.vn/Pages/chi-tiet-de-tai.aspx?CategoryDT=DT&amp;ItemID=372</x:v>
      </x:c>
      <x:c r="J733" s="11" t="str">
        <x:v>Nguồn ghi trực tiếp quyền con người được dịch từ Human rights.
Nghĩa dùng để đối chiếu: Quyền vốn có của con người.</x:v>
      </x:c>
      <x:c r="K733" s="11" t="str">
        <x:v>2026-10-29 (KST)</x:v>
      </x:c>
    </x:row>
    <x:row r="734" ht="75" customHeight="1">
      <x:c r="A734" s="11" t="str">
        <x:v>T006</x:v>
      </x:c>
      <x:c r="B734" s="11" t="str">
        <x:v>KO–EN</x:v>
      </x:c>
      <x:c r="C734" s="11" t="str">
        <x:v>인권 → human rights</x:v>
      </x:c>
      <x:c r="D734" s="11" t="str">
        <x:v>Đối dịch trong từ điển; không mặc nhiên là định nghĩa Việt/Hàn độc lập.</x:v>
      </x:c>
      <x:c r="E734" s="11" t="str">
        <x:v>Đối dịch trong từ điển</x:v>
      </x:c>
      <x:c r="F734" s="11" t="str">
        <x:v>en-ko</x:v>
      </x:c>
      <x:c r="G734" s="11" t="str">
        <x:v>EB090</x:v>
      </x:c>
      <x:c r="H734" s="11" t="str">
        <x:v>Cambridge English–Korean Dictionary: human rights</x:v>
      </x:c>
      <x:c r="I734" s="30" t="str">
        <x:v>https://dictionary.cambridge.org/ko/%EC%82%AC%EC%A0%84/%EC%98%81%EC%96%B4-%ED%95%9C%EA%B5%AD%EC%96%B4/human-rights</x:v>
      </x:c>
      <x:c r="J734" s="11" t="str">
        <x:v>Mục từ của Cambridge University Press ghi human rights → 인권.
Nghĩa dùng để đối chiếu: Các quyền căn bản mọi người cần được hưởng.</x:v>
      </x:c>
      <x:c r="K734" s="11" t="str">
        <x:v>2026-10-29 (KST)</x:v>
      </x:c>
    </x:row>
    <x:row r="735" ht="75" customHeight="1">
      <x:c r="A735" s="11" t="str">
        <x:v>T008</x:v>
      </x:c>
      <x:c r="B735" s="11" t="str">
        <x:v>VI–EN</x:v>
      </x:c>
      <x:c r="C735" s="11" t="str">
        <x:v>quyền công dân → civil rights</x:v>
      </x:c>
      <x:c r="D735" s="11" t="str">
        <x:v>Đối dịch trong từ điển; không mặc nhiên là định nghĩa Việt/Hàn độc lập.</x:v>
      </x:c>
      <x:c r="E735" s="11" t="str">
        <x:v>Đối dịch trong từ điển</x:v>
      </x:c>
      <x:c r="F735" s="11" t="str">
        <x:v>ko-en-vi</x:v>
      </x:c>
      <x:c r="G735" s="11" t="str">
        <x:v>EB091</x:v>
      </x:c>
      <x:c r="H735" s="11" t="str">
        <x:v>Collins Korean–English Dictionary: 시민권, bảng In other languages</x:v>
      </x:c>
      <x:c r="I735" s="30" t="str">
        <x:v>https://www.collinsdictionary.com/dictionary/korean-english/%EC%8B%9C%EB%AF%BC%EA%B6%8C</x:v>
      </x:c>
      <x:c r="J735" s="11" t="str">
        <x:v>Dưới civil rights, bảng ghi Korean: 시민권 và Vietnamese: quyền công dân; phần đầu mục từ ánh xạ 시민권 thành citizenship/quốc tịch.
Nghĩa dùng để đối chiếu: Nghĩa civil rights trong bảng là quyền bình đẳng đối xử và cơ hội; 시민권 còn có nghĩa citizenship.</x:v>
      </x:c>
      <x:c r="K735" s="11" t="str">
        <x:v>2026-10-29 (KST)</x:v>
      </x:c>
    </x:row>
    <x:row r="736" ht="75" customHeight="1">
      <x:c r="A736" s="11" t="str">
        <x:v>T008</x:v>
      </x:c>
      <x:c r="B736" s="11" t="str">
        <x:v>KO–EN</x:v>
      </x:c>
      <x:c r="C736" s="11" t="str">
        <x:v>시민권 → civil rights</x:v>
      </x:c>
      <x:c r="D736" s="11" t="str">
        <x:v>Đối dịch trong từ điển; không mặc nhiên là định nghĩa Việt/Hàn độc lập.</x:v>
      </x:c>
      <x:c r="E736" s="11" t="str">
        <x:v>Đối dịch trong từ điển</x:v>
      </x:c>
      <x:c r="F736" s="11" t="str">
        <x:v>ko-en-vi</x:v>
      </x:c>
      <x:c r="G736" s="11" t="str">
        <x:v>EB092</x:v>
      </x:c>
      <x:c r="H736" s="11" t="str">
        <x:v>Collins Korean–English Dictionary: 시민권, bảng In other languages</x:v>
      </x:c>
      <x:c r="I736" s="30" t="str">
        <x:v>https://www.collinsdictionary.com/dictionary/korean-english/%EC%8B%9C%EB%AF%BC%EA%B6%8C</x:v>
      </x:c>
      <x:c r="J736" s="11" t="str">
        <x:v>Dưới civil rights, bảng ghi Korean: 시민권 và Vietnamese: quyền công dân; phần đầu mục từ ánh xạ 시민권 thành citizenship/quốc tịch.
Nghĩa dùng để đối chiếu: Nghĩa civil rights trong bảng là quyền bình đẳng đối xử và cơ hội; 시민권 còn có nghĩa citizenship.</x:v>
      </x:c>
      <x:c r="K736" s="11" t="str">
        <x:v>2026-10-29 (KST)</x:v>
      </x:c>
    </x:row>
    <x:row r="737" ht="75" customHeight="1">
      <x:c r="A737" s="11" t="str">
        <x:v>T013</x:v>
      </x:c>
      <x:c r="B737" s="11" t="str">
        <x:v>KO–EN</x:v>
      </x:c>
      <x:c r="C737" s="11" t="str">
        <x:v>자결권 → right of self-determination</x:v>
      </x:c>
      <x:c r="D737" s="11" t="str">
        <x:v>Không kết luận mục từ từ điển từ nguồn này.</x:v>
      </x:c>
      <x:c r="E737" s="11" t="str">
        <x:v>Đối chiếu văn bản song song</x:v>
      </x:c>
      <x:c r="F737" s="11" t="str">
        <x:v>ko-en</x:v>
      </x:c>
      <x:c r="G737" s="11" t="str">
        <x:v>EB093</x:v>
      </x:c>
      <x:c r="H737" s="11" t="str">
        <x:v>Ủy ban Nhân quyền Quốc gia Hàn Quốc: ICCPR, bản đối chiếu Hàn–Anh, Điều 1</x:v>
      </x:c>
      <x:c r="I737" s="30" t="str">
        <x:v>https://uhr.humanrights.go.kr/pub/uhrstd/pair/line/175</x:v>
      </x:c>
      <x:c r="J737" s="11" t="str">
        <x:v>Điều 1 bản song song có 자결권 và right of self-determination; cần hiểu all peoples theo văn bản điều ước.
Nghĩa dùng để đối chiếu: Quyền của các dân tộc tự định đoạt địa vị chính trị và phát triển.</x:v>
      </x:c>
      <x:c r="K737" s="11" t="str">
        <x:v>2026-10-29 (KST)</x:v>
      </x:c>
    </x:row>
    <x:row r="738" ht="75" customHeight="1">
      <x:c r="A738" s="11" t="str">
        <x:v>T018</x:v>
      </x:c>
      <x:c r="B738" s="11" t="str">
        <x:v>KO–EN</x:v>
      </x:c>
      <x:c r="C738" s="11" t="str">
        <x:v>사법 → justice; being judicial; being legal; law enforcement</x:v>
      </x:c>
      <x:c r="D738" s="11" t="str">
        <x:v>Đối dịch trong từ điển; không mặc nhiên là định nghĩa Việt/Hàn độc lập.</x:v>
      </x:c>
      <x:c r="E738" s="11" t="str">
        <x:v>Đối dịch trong từ điển</x:v>
      </x:c>
      <x:c r="F738" s="11" t="str">
        <x:v>KO–EN</x:v>
      </x:c>
      <x:c r="G738" s="11" t="str">
        <x:v>EB094</x:v>
      </x:c>
      <x:c r="H738" s="11" t="str">
        <x:v>국립국어원 한국어기초사전: 사법</x:v>
      </x:c>
      <x:c r="I738" s="30" t="str">
        <x:v>https://krdict.korean.go.kr/eng/dicSearch/SearchView?ParaWordNo=61371</x:v>
      </x:c>
      <x:c r="J738" s="11" t="str">
        <x:v>Mục từ định nghĩa chức năng nhà nước xét xử/giải quyết theo luật; nhãn Anh có nhiều cách diễn đạt.
Nghĩa dùng để đối chiếu: Hoạt động tư pháp; không phải tên cơ quan tư pháp.</x:v>
      </x:c>
      <x:c r="K738" s="11" t="str">
        <x:v>2026-10-29 (KST)</x:v>
      </x:c>
    </x:row>
    <x:row r="739" ht="100.5" customHeight="1">
      <x:c r="A739" s="11" t="str">
        <x:v>T050</x:v>
      </x:c>
      <x:c r="B739" s="11" t="str">
        <x:v>VI–EN</x:v>
      </x:c>
      <x:c r="C739" s="11" t="str">
        <x:v>Tư tưởng Hồ Chí Minh → Ho Chi Minh Thought</x:v>
      </x:c>
      <x:c r="D739" s="11" t="str">
        <x:v>Không kết luận mục từ từ điển từ nguồn này.</x:v>
      </x:c>
      <x:c r="E739" s="11" t="str">
        <x:v>Đối chiếu văn bản song song</x:v>
      </x:c>
      <x:c r="F739" s="11" t="str">
        <x:v>vi-en</x:v>
      </x:c>
      <x:c r="G739" s="11" t="str">
        <x:v>EB095</x:v>
      </x:c>
      <x:c r="H739" s="11" t="str">
        <x:v>Đại sứ quán Việt Nam tại Tanzania: Tọa đàm Hồ Chí Minh – Hành trình di sản</x:v>
      </x:c>
      <x:c r="I739" s="30" t="str">
        <x:v>https://vnembassy-daressalaam.mofa.gov.vn/en/tin-chi-tiet/chi-tiet/dai-su-quan-viet-nam-tai-tanzania-to-chuc-toa-dam-ho-chi-minh-8211-hanh-trinh-di-san-tu-tuong-ho-chi-minh-va-hop-tac-phat-trien-viet-nam-8211-dong-phi-the-embassy-of-viet-nam-in-tanzania-organised-the-symposium-ho-chi-minh-8211-a-journey-of-legacy-ho-chi-minh-thought-and-viet-nam-8211-east-africa-development-cooperation--61848-1247.html</x:v>
      </x:c>
      <x:c r="J739" s="11" t="str">
        <x:v>Tiêu đề của chính đơn vị tổ chức có bản Việt và Anh, ánh xạ Tư tưởng Hồ Chí Minh / Ho Chi Minh Thought.
Nghĩa dùng để đối chiếu: Tên hệ tư tưởng Hồ Chí Minh.</x:v>
      </x:c>
      <x:c r="K739" s="11" t="str">
        <x:v>2026-10-29 (KST)</x:v>
      </x:c>
    </x:row>
    <x:row r="740" ht="75" customHeight="1">
      <x:c r="A740" s="11" t="str">
        <x:v>M006</x:v>
      </x:c>
      <x:c r="B740" s="11" t="str">
        <x:v>VI–EN</x:v>
      </x:c>
      <x:c r="C740" s="11" t="str">
        <x:v>vai trò trung tâm của ASEAN → ASEAN Centrality</x:v>
      </x:c>
      <x:c r="D740" s="11" t="str">
        <x:v>Không kết luận mục từ từ điển từ nguồn này.</x:v>
      </x:c>
      <x:c r="E740" s="11" t="str">
        <x:v>Đối dịch tường minh trong nguồn</x:v>
      </x:c>
      <x:c r="F740" s="11" t="str">
        <x:v>vi-en</x:v>
      </x:c>
      <x:c r="G740" s="11" t="str">
        <x:v>EB096</x:v>
      </x:c>
      <x:c r="H740" s="11" t="str">
        <x:v>Bộ Ngoại giao Việt Nam: Thứ trưởng Nguyễn Quốc Dũng khẳng định vai trò trung tâm của ASEAN trong năm 2020</x:v>
      </x:c>
      <x:c r="I740" s="30" t="str">
        <x:v>https://web.mofa.gov.vn/web/guest/tin-chi-tiet/chi-tiet/-thu-truong-bo-ngoai-giao-nguyen-quoc-dung-khang-dinh-vai-tro-trung-tam-cua-asean-trong-nam-2020-day-bien-dong--140.html</x:v>
      </x:c>
      <x:c r="J740" s="11" t="str">
        <x:v>Nguồn ghi toàn cụm vai trò trung tâm của ASEAN (ASEAN Centrality).
Nghĩa dùng để đối chiếu: Vai trò ASEAN giữ vị trí chủ đạo trong hợp tác khu vực.</x:v>
      </x:c>
      <x:c r="K740" s="11" t="str">
        <x:v>2026-10-29 (KST)</x:v>
      </x:c>
    </x:row>
    <x:row r="741" ht="75" customHeight="1">
      <x:c r="A741" s="11" t="str">
        <x:v>M006</x:v>
      </x:c>
      <x:c r="B741" s="11" t="str">
        <x:v>KO–EN</x:v>
      </x:c>
      <x:c r="C741" s="11" t="str">
        <x:v>아세안 중심성 → ASEAN Centrality</x:v>
      </x:c>
      <x:c r="D741" s="11" t="str">
        <x:v>Không kết luận mục từ từ điển từ nguồn này.</x:v>
      </x:c>
      <x:c r="E741" s="11" t="str">
        <x:v>Đối dịch tường minh trong nguồn</x:v>
      </x:c>
      <x:c r="F741" s="11" t="str">
        <x:v>ko-en</x:v>
      </x:c>
      <x:c r="G741" s="11" t="str">
        <x:v>EB097</x:v>
      </x:c>
      <x:c r="H741" s="11" t="str">
        <x:v>Bộ Ngoại giao Hàn Quốc: 최영삼 차관보, 아세안+3 및 동아시아 정상회의 고위관리회의 참석</x:v>
      </x:c>
      <x:c r="I741" s="30" t="str">
        <x:v>https://www.mofa.go.kr/www/brd/m_4080/view.do?seq=373439</x:v>
      </x:c>
      <x:c r="J741" s="11" t="str">
        <x:v>Chú thích nguồn ghi 아세안 중심성(ASEAN Centrality) và giải thích vai trò chủ đạo.
Nghĩa dùng để đối chiếu: Nguyên tắc ASEAN giữ vai trò trung tâm khi xây dựng, thúc đẩy hợp tác khu vực.</x:v>
      </x:c>
      <x:c r="K741" s="11" t="str">
        <x:v>2026-10-29 (KST)</x:v>
      </x:c>
    </x:row>
    <x:row r="742" ht="75" customHeight="1">
      <x:c r="A742" s="11" t="str">
        <x:v>M008</x:v>
      </x:c>
      <x:c r="B742" s="11" t="str">
        <x:v>KO–EN</x:v>
      </x:c>
      <x:c r="C742" s="11" t="str">
        <x:v>아세안+3 → ASEAN Plus Three (APT)</x:v>
      </x:c>
      <x:c r="D742" s="11" t="str">
        <x:v>Không kết luận mục từ từ điển từ nguồn này.</x:v>
      </x:c>
      <x:c r="E742" s="11" t="str">
        <x:v>Đối dịch tường minh trong nguồn</x:v>
      </x:c>
      <x:c r="F742" s="11" t="str">
        <x:v>ko-en</x:v>
      </x:c>
      <x:c r="G742" s="11" t="str">
        <x:v>EB098</x:v>
      </x:c>
      <x:c r="H742" s="11" t="str">
        <x:v>Bộ Ngoại giao Hàn Quốc: 아세안+3(APT) 고위관리회의(9.9.) 참석 결과</x:v>
      </x:c>
      <x:c r="I742" s="30" t="str">
        <x:v>https://admin2.korea.kr/briefing/pressReleaseView.do?newsId=156780960&amp;pWise=mSub&amp;pWiseSub=C2</x:v>
      </x:c>
      <x:c r="J742" s="11" t="str">
        <x:v>Nguồn ghi đầy đủ 아세안+3(ASEAN Plus Three, APT).
Nghĩa dùng để đối chiếu: Khuôn khổ ASEAN với Trung Quốc, Nhật Bản, Hàn Quốc.</x:v>
      </x:c>
      <x:c r="K742" s="11" t="str">
        <x:v>2026-10-29 (KST)</x:v>
      </x:c>
    </x:row>
    <x:row r="743" ht="75" customHeight="1">
      <x:c r="A743" s="11" t="str">
        <x:v>M010</x:v>
      </x:c>
      <x:c r="B743" s="11" t="str">
        <x:v>VI–EN</x:v>
      </x:c>
      <x:c r="C743" s="11" t="str">
        <x:v>Diễn đàn khu vực ASEAN → ASEAN Regional Forum</x:v>
      </x:c>
      <x:c r="D743" s="11" t="str">
        <x:v>Không kết luận mục từ từ điển từ nguồn này.</x:v>
      </x:c>
      <x:c r="E743" s="11" t="str">
        <x:v>Đối dịch tường minh trong nguồn</x:v>
      </x:c>
      <x:c r="F743" s="11" t="str">
        <x:v>vi-en</x:v>
      </x:c>
      <x:c r="G743" s="11" t="str">
        <x:v>EB099</x:v>
      </x:c>
      <x:c r="H743" s="11" t="str">
        <x:v>Bộ Ngoại giao Việt Nam: Việt Nam–ASEAN, 10 năm đồng hành hội nhập</x:v>
      </x:c>
      <x:c r="I743" s="30" t="str">
        <x:v>https://mofa.gov.vn/tin-chi-tiet/chi-tiet/viet-nam-asean-10-nam-dong-hanh-hoi-nhap-589.html</x:v>
      </x:c>
      <x:c r="J743" s="11" t="str">
        <x:v>Nguồn ghi Diễn đàn khu vực ASEAN (ASEAN Regional Forum - ARF).
Nghĩa dùng để đối chiếu: Diễn đàn hợp tác và đối thoại chính trị, an ninh ARF.</x:v>
      </x:c>
      <x:c r="K743" s="11" t="str">
        <x:v>2026-10-29 (KST)</x:v>
      </x:c>
    </x:row>
    <x:row r="744" ht="75" customHeight="1">
      <x:c r="A744" s="11" t="str">
        <x:v>M010</x:v>
      </x:c>
      <x:c r="B744" s="11" t="str">
        <x:v>KO–EN</x:v>
      </x:c>
      <x:c r="C744" s="11" t="str">
        <x:v>아세안지역포럼 → ASEAN Regional Forum</x:v>
      </x:c>
      <x:c r="D744" s="11" t="str">
        <x:v>Không kết luận mục từ từ điển từ nguồn này.</x:v>
      </x:c>
      <x:c r="E744" s="11" t="str">
        <x:v>Đối dịch tường minh trong nguồn</x:v>
      </x:c>
      <x:c r="F744" s="11" t="str">
        <x:v>ko-en</x:v>
      </x:c>
      <x:c r="G744" s="11" t="str">
        <x:v>EB100</x:v>
      </x:c>
      <x:c r="H744" s="11" t="str">
        <x:v>Bộ Ngoại giao Hàn Quốc: 제1차 아세안지역포럼 전문가/저명인사 전체회의 개최</x:v>
      </x:c>
      <x:c r="I744" s="30" t="str">
        <x:v>https://www.mofa.go.kr/www/brd/m_4080/view.do?page=1&amp;pitem=102026&amp;seq=290066</x:v>
      </x:c>
      <x:c r="J744" s="11" t="str">
        <x:v>Nguồn ghi 아세안지역포럼 (ARF: ASEAN Regional Forum).
Nghĩa dùng để đối chiếu: Diễn đàn ARF.</x:v>
      </x:c>
      <x:c r="K744" s="11" t="str">
        <x:v>2026-10-29 (KST)</x:v>
      </x:c>
    </x:row>
    <x:row r="745" ht="75" customHeight="1">
      <x:c r="A745" s="11" t="str">
        <x:v>T134</x:v>
      </x:c>
      <x:c r="B745" s="11" t="str">
        <x:v>VI–EN</x:v>
      </x:c>
      <x:c r="C745" s="11" t="str">
        <x:v>quan hệ Đối tác chiến lược → strengthened strategic partnership</x:v>
      </x:c>
      <x:c r="D745" s="11" t="str">
        <x:v>Không kết luận mục từ từ điển từ nguồn này.</x:v>
      </x:c>
      <x:c r="E745" s="11" t="str">
        <x:v>Đối chiếu văn bản song song</x:v>
      </x:c>
      <x:c r="F745" s="11" t="str">
        <x:v>VI–EN</x:v>
      </x:c>
      <x:c r="G745" s="11" t="str">
        <x:v>EB101</x:v>
      </x:c>
      <x:c r="H745" s="11" t="str">
        <x:v>Đại sứ quán Việt Nam tại Thái Lan — lời chúc Quốc khánh song ngữ</x:v>
      </x:c>
      <x:c r="I745" s="30" t="str">
        <x:v>https://vnembassy-bangkok.mofa.gov.vn/en-us/News/EmbassyNews/Pages/Happy-National-Day-of-the-Kingdom-of-Thailand-.aspx</x:v>
      </x:c>
      <x:c r="J745" s="11" t="str">
        <x:v>Hai đoạn trong cùng thông điệp dùng nhãn quan hệ đối tác chiến lược; Anh có thêm strengthened.
Nghĩa dùng để đối chiếu: Danh xưng khuôn khổ quan hệ giữa các bên có mức độ hợp tác và ý nghĩa chiến lược được thỏa thuận.</x:v>
      </x:c>
      <x:c r="K745" s="11" t="str">
        <x:v>2026-10-29 (KST)</x:v>
      </x:c>
    </x:row>
    <x:row r="746" ht="75" customHeight="1">
      <x:c r="A746" s="11" t="str">
        <x:v>T134</x:v>
      </x:c>
      <x:c r="B746" s="11" t="str">
        <x:v>KO–EN</x:v>
      </x:c>
      <x:c r="C746" s="11" t="str">
        <x:v>전략적 동반자 관계 → Strategic Partnership</x:v>
      </x:c>
      <x:c r="D746" s="11" t="str">
        <x:v>Không kết luận mục từ từ điển từ nguồn này.</x:v>
      </x:c>
      <x:c r="E746" s="11" t="str">
        <x:v>Đối chiếu văn bản song song</x:v>
      </x:c>
      <x:c r="F746" s="11" t="str">
        <x:v>KO–EN</x:v>
      </x:c>
      <x:c r="G746" s="11" t="str">
        <x:v>EB102</x:v>
      </x:c>
      <x:c r="H746" s="11" t="str">
        <x:v>Bộ Ngoại giao Hàn Quốc — tuyên bố chung Hàn–Indonesia 1/4/2026, hai bản Hàn/Anh</x:v>
      </x:c>
      <x:c r="I746" s="30" t="str">
        <x:v>https://www.mofa.go.kr/www/brd/m_29514/view.do?seq=36</x:v>
      </x:c>
      <x:c r="J746" s="11" t="str">
        <x:v>Đoạn 2 của hai bản cùng nhắc khuôn khổ được thiết lập năm 2006. Trang ghi bản Hàn là bản dịch không chính thức do cơ quan công bố.
Nghĩa dùng để đối chiếu: Đối chiếu nghĩa Hàn đã ghi trong trang Thuật ngữ.</x:v>
      </x:c>
      <x:c r="K746" s="11" t="str">
        <x:v>2026-10-29 (KST)</x:v>
      </x:c>
    </x:row>
    <x:row r="747" ht="75" customHeight="1">
      <x:c r="A747" s="11" t="str">
        <x:v>T137</x:v>
      </x:c>
      <x:c r="B747" s="11" t="str">
        <x:v>VI–EN</x:v>
      </x:c>
      <x:c r="C747" s="11" t="str">
        <x:v>Đối tác chiến lược toàn diện → Comprehensive Strategic Partnership</x:v>
      </x:c>
      <x:c r="D747" s="11" t="str">
        <x:v>Không kết luận mục từ từ điển từ nguồn này.</x:v>
      </x:c>
      <x:c r="E747" s="11" t="str">
        <x:v>Đối chiếu văn bản song song</x:v>
      </x:c>
      <x:c r="F747" s="11" t="str">
        <x:v>VI–EN</x:v>
      </x:c>
      <x:c r="G747" s="11" t="str">
        <x:v>EB103</x:v>
      </x:c>
      <x:c r="H747" s="11" t="str">
        <x:v>Cổng Chính phủ — tuyên bố chung Việt Nam–Hàn Quốc 11/8/2025, Việt và Anh</x:v>
      </x:c>
      <x:c r="I747" s="30" t="str">
        <x:v>https://cms.baochinhphu.vn/tuyen-bo-chung-ve-lam-sau-sac-hon-quan-he-doi-tac-chien-luoc-toan-dien-viet-nam-han-quoc-102250811194218425.htm
https://en.baochinhphu.vn/viet-nam-south-korea-issue-joint-statement-on-deepening-comprehensive-strategic-partnership-111250811220040691.htm</x:v>
      </x:c>
      <x:c r="J747" s="11" t="str">
        <x:v>Cùng khuôn khổ quan hệ Việt Nam–Hàn Quốc, bài ngày 11/8/2025.
Nghĩa dùng để đối chiếu: Tên một khuôn khổ quan hệ đối tác được các bên thỏa thuận, nhấn mạnh tính chiến lược và phạm vi hợp tác toàn diện; nội hàm phụ thuộc từng cặp đối tác và văn kiện.</x:v>
      </x:c>
      <x:c r="K747" s="11" t="str">
        <x:v>2026-10-29 (KST)</x:v>
      </x:c>
    </x:row>
    <x:row r="748" ht="75" customHeight="1">
      <x:c r="A748" s="11" t="str">
        <x:v>T137</x:v>
      </x:c>
      <x:c r="B748" s="11" t="str">
        <x:v>KO–EN</x:v>
      </x:c>
      <x:c r="C748" s="11" t="str">
        <x:v>포괄적 전략 동반자 관계 → Comprehensive Strategic Partnership</x:v>
      </x:c>
      <x:c r="D748" s="11" t="str">
        <x:v>Không kết luận mục từ từ điển từ nguồn này.</x:v>
      </x:c>
      <x:c r="E748" s="11" t="str">
        <x:v>Đối dịch tường minh trong nguồn</x:v>
      </x:c>
      <x:c r="F748" s="11" t="str">
        <x:v>KO–EN</x:v>
      </x:c>
      <x:c r="G748" s="11" t="str">
        <x:v>EB104</x:v>
      </x:c>
      <x:c r="H748" s="11" t="str">
        <x:v>Bộ Ngoại giao Hàn Quốc — kết quả Đối thoại ASEAN–ROK lần 27</x:v>
      </x:c>
      <x:c r="I748" s="30" t="str">
        <x:v>https://www.mofa.go.kr/www/brd/m_4080/view.do?page=63&amp;pitem=50&amp;seq=373664</x:v>
      </x:c>
      <x:c r="J748" s="11" t="str">
        <x:v>Nguồn đối dịch tường minh cho nhãn khuôn khổ, nhưng dùng 전략 thay 전략적; cần đối chiếu biến thể ở nguyên liệu Việt Nam–Hàn Quốc.
Nghĩa dùng để đối chiếu: Khuôn khổ quan hệ đối tác chiến lược toàn diện; nội dung tùy cặp đối tác.</x:v>
      </x:c>
      <x:c r="K748" s="11" t="str">
        <x:v>2026-10-29 (KST)</x:v>
      </x:c>
    </x:row>
    <x:row r="749" ht="75" customHeight="1">
      <x:c r="A749" s="11" t="str">
        <x:v>M009</x:v>
      </x:c>
      <x:c r="B749" s="11" t="str">
        <x:v>KO–EN</x:v>
      </x:c>
      <x:c r="C749" s="11" t="str">
        <x:v>동아시아정상회의 → East Asia Summit</x:v>
      </x:c>
      <x:c r="D749" s="11" t="str">
        <x:v>Không kết luận mục từ từ điển từ nguồn này.</x:v>
      </x:c>
      <x:c r="E749" s="11" t="str">
        <x:v>Đối dịch tường minh trong nguồn</x:v>
      </x:c>
      <x:c r="F749" s="11" t="str">
        <x:v>ko-en</x:v>
      </x:c>
      <x:c r="G749" s="11" t="str">
        <x:v>EB105</x:v>
      </x:c>
      <x:c r="H749" s="11" t="str">
        <x:v>Bộ Ngoại giao Hàn Quốc: 아세안 개황, 동아시아정상회의</x:v>
      </x:c>
      <x:c r="I749" s="30" t="str">
        <x:v>https://www.mofa.go.kr/www/wpge/m_3921/contents.do</x:v>
      </x:c>
      <x:c r="J749" s="11" t="str">
        <x:v>Kết quả chỉ mục ghi 동아시아정상회의(East Asia Summit); mở trang gặp vòng chuyển hướng.
Nghĩa dùng để đối chiếu: Diễn đàn cấp lãnh đạo EAS.</x:v>
      </x:c>
      <x:c r="K749" s="11" t="str">
        <x:v>2026-10-29 (KST)</x:v>
      </x:c>
    </x:row>
    <x:row r="750" ht="75" customHeight="1">
      <x:c r="A750" s="11" t="str">
        <x:v>T143</x:v>
      </x:c>
      <x:c r="B750" s="11" t="str">
        <x:v>VI–EN</x:v>
      </x:c>
      <x:c r="C750" s="11" t="str">
        <x:v>quan hệ ngoại giao → diplomatic ties</x:v>
      </x:c>
      <x:c r="D750" s="11" t="str">
        <x:v>Không kết luận mục từ từ điển từ nguồn này.</x:v>
      </x:c>
      <x:c r="E750" s="11" t="str">
        <x:v>Đối chiếu văn bản song song</x:v>
      </x:c>
      <x:c r="F750" s="11" t="str">
        <x:v>VI–EN</x:v>
      </x:c>
      <x:c r="G750" s="11" t="str">
        <x:v>EB106</x:v>
      </x:c>
      <x:c r="H750" s="11" t="str">
        <x:v>Cổng Chính phủ — tuyên bố chung Việt Nam–Hàn Quốc 11/8/2025, Việt và Anh</x:v>
      </x:c>
      <x:c r="I750" s="30" t="str">
        <x:v>https://cms.baochinhphu.vn/tuyen-bo-chung-ve-lam-sau-sac-hon-quan-he-doi-tac-chien-luoc-toan-dien-viet-nam-han-quoc-102250811194218425.htm
https://en.baochinhphu.vn/viet-nam-south-korea-issue-joint-statement-on-deepening-comprehensive-strategic-partnership-111250811220040691.htm</x:v>
      </x:c>
      <x:c r="J750" s="11" t="str">
        <x:v>Cùng quan hệ được thiết lập năm 1992; Anh dùng diplomatic ties.
Nghĩa dùng để đối chiếu: Quan hệ chính thức giữa các quốc gia được xác lập bằng sự đồng thuận để tiến hành giao tiếp và đại diện ngoại giao.</x:v>
      </x:c>
      <x:c r="K750" s="11" t="str">
        <x:v>2026-10-29 (KST)</x:v>
      </x:c>
    </x:row>
    <x:row r="751" ht="75" customHeight="1">
      <x:c r="A751" s="11" t="str">
        <x:v>T001</x:v>
      </x:c>
      <x:c r="B751" s="11" t="str">
        <x:v>VI–EN</x:v>
      </x:c>
      <x:c r="C751" s="11" t="str">
        <x:v>cuộc bầu cử → election</x:v>
      </x:c>
      <x:c r="D751" s="11" t="str">
        <x:v>Đối dịch trong từ điển; không mặc nhiên là định nghĩa Việt/Hàn độc lập.</x:v>
      </x:c>
      <x:c r="E751" s="11" t="str">
        <x:v>Đối dịch trong từ điển</x:v>
      </x:c>
      <x:c r="F751" s="11" t="str">
        <x:v>VI–EN</x:v>
      </x:c>
      <x:c r="G751" s="11" t="str">
        <x:v>EB107</x:v>
      </x:c>
      <x:c r="H751" s="11" t="str">
        <x:v>Cambridge / PASSWORD English–Vietnamese: election</x:v>
      </x:c>
      <x:c r="I751" s="30" t="str">
        <x:v>https://dictionary.cambridge.org/dictionary/english-vietnamese/election</x:v>
      </x:c>
      <x:c r="J751" s="11" t="str">
        <x:v>Mục từ Anh có đối dịch cuộc bầu cử; nghĩa chọn người vào chức vụ bằng bỏ phiếu.
Nghĩa dùng để đối chiếu: Hoạt động bầu chọn người vào chức vụ bằng bỏ phiếu.</x:v>
      </x:c>
      <x:c r="K751" s="11" t="str">
        <x:v>2026-10-29 (KST)</x:v>
      </x:c>
    </x:row>
    <x:row r="752" ht="75" customHeight="1">
      <x:c r="A752" s="11" t="str">
        <x:v>T001</x:v>
      </x:c>
      <x:c r="B752" s="11" t="str">
        <x:v>KO–EN</x:v>
      </x:c>
      <x:c r="C752" s="11" t="str">
        <x:v>선거 → election</x:v>
      </x:c>
      <x:c r="D752" s="11" t="str">
        <x:v>Đối dịch trong từ điển; không mặc nhiên là định nghĩa Việt/Hàn độc lập.</x:v>
      </x:c>
      <x:c r="E752" s="11" t="str">
        <x:v>Đối dịch trong từ điển</x:v>
      </x:c>
      <x:c r="F752" s="11" t="str">
        <x:v>KO–EN</x:v>
      </x:c>
      <x:c r="G752" s="11" t="str">
        <x:v>EB108</x:v>
      </x:c>
      <x:c r="H752" s="11" t="str">
        <x:v>Cambridge English–Korean: election</x:v>
      </x:c>
      <x:c r="I752" s="30" t="str">
        <x:v>https://dictionary.cambridge.org/dictionary/english-korean/election</x:v>
      </x:c>
      <x:c r="J752" s="11" t="str">
        <x:v>Mục từ Anh có đối dịch 선거; nghĩa chọn người cho chức vụ chính trị hoặc công.
Nghĩa dùng để đối chiếu: Hoạt động bầu chọn người vào chức vụ bằng bỏ phiếu.</x:v>
      </x:c>
      <x:c r="K752" s="11" t="str">
        <x:v>2026-10-29 (KST)</x:v>
      </x:c>
    </x:row>
    <x:row r="753" ht="75" customHeight="1">
      <x:c r="A753" s="11" t="str">
        <x:v>T012</x:v>
      </x:c>
      <x:c r="B753" s="11" t="str">
        <x:v>VI–EN</x:v>
      </x:c>
      <x:c r="C753" s="11" t="str">
        <x:v>đề cử → nominate / nomination</x:v>
      </x:c>
      <x:c r="D753" s="11" t="str">
        <x:v>Đối dịch trong từ điển; không mặc nhiên là định nghĩa Việt/Hàn độc lập.</x:v>
      </x:c>
      <x:c r="E753" s="11" t="str">
        <x:v>Đối dịch trong từ điển</x:v>
      </x:c>
      <x:c r="F753" s="11" t="str">
        <x:v>VI–EN</x:v>
      </x:c>
      <x:c r="G753" s="11" t="str">
        <x:v>EB109</x:v>
      </x:c>
      <x:c r="H753" s="11" t="str">
        <x:v>Cambridge / PASSWORD English–Vietnamese: nominate; nomination</x:v>
      </x:c>
      <x:c r="I753" s="30" t="str">
        <x:v>https://dictionary.cambridge.org/dictionary/english-vietnamese/nominate
https://dictionary.cambridge.org/dictionary/english-vietnamese/nomination</x:v>
      </x:c>
      <x:c r="J753" s="11" t="str">
        <x:v>Chọn nghĩa đưa tên một người để được xem xét bầu/chọn; nomination có mục nghĩa đề cử.
Nghĩa dùng để đối chiếu: Đề xuất một người để xem xét bầu hoặc chọn.</x:v>
      </x:c>
      <x:c r="K753" s="11" t="str">
        <x:v>2026-10-29 (KST)</x:v>
      </x:c>
    </x:row>
    <x:row r="754" ht="75" customHeight="1">
      <x:c r="A754" s="11" t="str">
        <x:v>T153</x:v>
      </x:c>
      <x:c r="B754" s="11" t="str">
        <x:v>VI–EN</x:v>
      </x:c>
      <x:c r="C754" s="11" t="str">
        <x:v>điện đàm → phone calls</x:v>
      </x:c>
      <x:c r="D754" s="11" t="str">
        <x:v>Không kết luận mục từ từ điển từ nguồn này.</x:v>
      </x:c>
      <x:c r="E754" s="11" t="str">
        <x:v>Đối chiếu văn bản song song</x:v>
      </x:c>
      <x:c r="F754" s="11" t="str">
        <x:v>VI–EN</x:v>
      </x:c>
      <x:c r="G754" s="11" t="str">
        <x:v>EB110</x:v>
      </x:c>
      <x:c r="H754" s="11" t="str">
        <x:v>Cổng Chính phủ — tuyên bố chung Việt Nam–Hàn Quốc 11/8/2025, Việt và Anh</x:v>
      </x:c>
      <x:c r="I754" s="30" t="str">
        <x:v>https://cms.baochinhphu.vn/tuyen-bo-chung-ve-lam-sau-sac-hon-quan-he-doi-tac-chien-luoc-toan-dien-viet-nam-han-quoc-102250811194218425.htm
https://en.baochinhphu.vn/viet-nam-south-korea-issue-joint-statement-on-deepening-comprehensive-strategic-partnership-111250811220040691.htm</x:v>
      </x:c>
      <x:c r="J754" s="11" t="str">
        <x:v>Cùng danh mục hình thức tiếp xúc giữa lãnh đạo trong tuyên bố.
Nghĩa dùng để đối chiếu: Cuộc trao đổi qua điện thoại giữa các chủ thể chính trị hoặc ngoại giao; không bao gồm mọi cuộc gọi thông thường.</x:v>
      </x:c>
      <x:c r="K754" s="11" t="str">
        <x:v>2026-10-29 (KST)</x:v>
      </x:c>
    </x:row>
    <x:row r="755" ht="75" customHeight="1">
      <x:c r="A755" s="11" t="str">
        <x:v>T141</x:v>
      </x:c>
      <x:c r="B755" s="11" t="str">
        <x:v>VI–EN</x:v>
      </x:c>
      <x:c r="C755" s="11" t="str">
        <x:v>hội đàm → talks</x:v>
      </x:c>
      <x:c r="D755" s="11" t="str">
        <x:v>Không kết luận mục từ từ điển từ nguồn này.</x:v>
      </x:c>
      <x:c r="E755" s="11" t="str">
        <x:v>Đối chiếu văn bản song song</x:v>
      </x:c>
      <x:c r="F755" s="11" t="str">
        <x:v>VI–EN</x:v>
      </x:c>
      <x:c r="G755" s="11" t="str">
        <x:v>EB111</x:v>
      </x:c>
      <x:c r="H755" s="11" t="str">
        <x:v>Đại sứ quán Việt Nam — tiêu đề song ngữ về hội đàm với Burundi</x:v>
      </x:c>
      <x:c r="I755" s="30" t="str">
        <x:v>https://vnembassy-daressalaam.mofa.gov.vn/tin-chi-tiet/chi-tiet/uy-vien-bo-chinh-tri-bo-truong-ngoai-giao-le-hoai-trung-hoi-dam-voi-tong-thu-ky-dang-cndd-fdd-burundi-foreign-minister-le-hoai-trung-holds-talks-with-secretary-general-of-burundi-39-s-cndd-fdd-party-61229-1245.html</x:v>
      </x:c>
      <x:c r="J755" s="11" t="str">
        <x:v>Hai tiêu đề cùng sự kiện dùng hội đàm / holds talks.
Nghĩa dùng để đối chiếu: Cuộc trao đổi chính thức giữa các bên nhằm bàn bạc về quan hệ, vấn đề hoặc phương án hợp tác.</x:v>
      </x:c>
      <x:c r="K755" s="11" t="str">
        <x:v>2026-10-29 (KST)</x:v>
      </x:c>
    </x:row>
    <x:row r="756" ht="75" customHeight="1">
      <x:c r="A756" s="11" t="str">
        <x:v>T141</x:v>
      </x:c>
      <x:c r="B756" s="11" t="str">
        <x:v>KO–EN</x:v>
      </x:c>
      <x:c r="C756" s="11" t="str">
        <x:v>회담 → talks</x:v>
      </x:c>
      <x:c r="D756" s="11" t="str">
        <x:v>Đối dịch trong từ điển; không mặc nhiên là định nghĩa Việt/Hàn độc lập.</x:v>
      </x:c>
      <x:c r="E756" s="11" t="str">
        <x:v>Đối dịch trong từ điển</x:v>
      </x:c>
      <x:c r="F756" s="11" t="str">
        <x:v>KO–EN</x:v>
      </x:c>
      <x:c r="G756" s="11" t="str">
        <x:v>EB112</x:v>
      </x:c>
      <x:c r="H756" s="11" t="str">
        <x:v>Collins Korean–English Dictionary: 회담, nghĩa 2</x:v>
      </x:c>
      <x:c r="I756" s="30" t="str">
        <x:v>https://www.collinsdictionary.com/dictionary/korean-english/%ED%9A%8C%EB%8B%B4</x:v>
      </x:c>
      <x:c r="J756" s="11" t="str">
        <x:v>Mục từ 회담, nghĩa 2, nhãn talk / plural noun và phần nghĩa dùng talks; không lấy nghĩa 1 dialogue rộng hơn làm chứng cứ. Vị trí trang: dòng 218–224.
Nghĩa dùng để đối chiếu: Các cuộc thảo luận chính thức nhằm đạt thỏa thuận, trong ngữ cảnh này giữa các chủ thể ngoại giao.</x:v>
      </x:c>
      <x:c r="K756" s="11" t="str">
        <x:v>2026-10-29 (KST)</x:v>
      </x:c>
    </x:row>
    <x:row r="757" ht="75" customHeight="1">
      <x:c r="A757" s="11" t="str">
        <x:v>T030</x:v>
      </x:c>
      <x:c r="B757" s="11" t="str">
        <x:v>VI–EN</x:v>
      </x:c>
      <x:c r="C757" s="11" t="str">
        <x:v>sự lập pháp → legislation</x:v>
      </x:c>
      <x:c r="D757" s="11" t="str">
        <x:v>Đối dịch trong từ điển; không mặc nhiên là định nghĩa Việt/Hàn độc lập.</x:v>
      </x:c>
      <x:c r="E757" s="11" t="str">
        <x:v>Đối dịch trong từ điển</x:v>
      </x:c>
      <x:c r="F757" s="11" t="str">
        <x:v>VI–EN</x:v>
      </x:c>
      <x:c r="G757" s="11" t="str">
        <x:v>EB113</x:v>
      </x:c>
      <x:c r="H757" s="11" t="str">
        <x:v>Cambridge / PASSWORD English–Vietnamese: legislation</x:v>
      </x:c>
      <x:c r="I757" s="30" t="str">
        <x:v>https://dictionary.cambridge.org/dictionary/english-vietnamese/legislation</x:v>
      </x:c>
      <x:c r="J757" s="11" t="str">
        <x:v>Chọn mục nghĩa hành vi làm luật; không chọn mục nghĩa pháp luật (tập hợp luật).
Nghĩa dùng để đối chiếu: Hoạt động làm và ban hành luật.</x:v>
      </x:c>
      <x:c r="K757" s="11" t="str">
        <x:v>2026-10-29 (KST)</x:v>
      </x:c>
    </x:row>
    <x:row r="758" ht="75" customHeight="1">
      <x:c r="A758" s="11" t="str">
        <x:v>T030</x:v>
      </x:c>
      <x:c r="B758" s="11" t="str">
        <x:v>KO–EN</x:v>
      </x:c>
      <x:c r="C758" s="11" t="str">
        <x:v>입법 → legislature; lawmaking</x:v>
      </x:c>
      <x:c r="D758" s="11" t="str">
        <x:v>Đối dịch trong từ điển; không mặc nhiên là định nghĩa Việt/Hàn độc lập.</x:v>
      </x:c>
      <x:c r="E758" s="11" t="str">
        <x:v>Đối dịch trong từ điển</x:v>
      </x:c>
      <x:c r="F758" s="11" t="str">
        <x:v>KO–EN</x:v>
      </x:c>
      <x:c r="G758" s="11" t="str">
        <x:v>EB114</x:v>
      </x:c>
      <x:c r="H758" s="11" t="str">
        <x:v>국립국어원 한국어기초사전: 입법</x:v>
      </x:c>
      <x:c r="I758" s="30" t="str">
        <x:v>https://krdict.korean.go.kr/eng/dicSearch/SearchView?ParaWordNo=91533</x:v>
      </x:c>
      <x:c r="J758" s="11" t="str">
        <x:v>Định nghĩa Hàn chỉ hành vi làm và ban hành luật. Chọn lawmaking; không chọn legislature để chuyển thành cơ quan.
Nghĩa dùng để đối chiếu: Hoạt động làm và ban hành luật.</x:v>
      </x:c>
      <x:c r="K758" s="11" t="str">
        <x:v>2026-10-29 (KST)</x:v>
      </x:c>
    </x:row>
    <x:row r="759" ht="75" customHeight="1">
      <x:c r="A759" s="11" t="str">
        <x:v>T131</x:v>
      </x:c>
      <x:c r="B759" s="11" t="str">
        <x:v>VI–EN</x:v>
      </x:c>
      <x:c r="C759" s="11" t="str">
        <x:v>ngành ngoại giao → diplomacy</x:v>
      </x:c>
      <x:c r="D759" s="11" t="str">
        <x:v>Đối dịch trong từ điển; không mặc nhiên là định nghĩa Việt/Hàn độc lập.</x:v>
      </x:c>
      <x:c r="E759" s="11" t="str">
        <x:v>Đối dịch trong từ điển</x:v>
      </x:c>
      <x:c r="F759" s="11" t="str">
        <x:v>VI–EN</x:v>
      </x:c>
      <x:c r="G759" s="11" t="str">
        <x:v>EB115</x:v>
      </x:c>
      <x:c r="H759" s="11" t="str">
        <x:v>Cambridge / PASSWORD English–Vietnamese: diplomacy</x:v>
      </x:c>
      <x:c r="I759" s="30" t="str">
        <x:v>https://dictionary.cambridge.org/dictionary/english-vietnamese/diplomacy</x:v>
      </x:c>
      <x:c r="J759" s="11" t="str">
        <x:v>Chọn nghĩa hoạt động đối ngoại giữa quốc gia; không chọn nghĩa tài giao tiếp.
Nghĩa dùng để đối chiếu: Hoạt động ngoại giao giữa các nước.</x:v>
      </x:c>
      <x:c r="K759" s="11" t="str">
        <x:v>2026-10-29 (KST)</x:v>
      </x:c>
    </x:row>
    <x:row r="760" ht="75" customHeight="1">
      <x:c r="A760" s="11" t="str">
        <x:v>T131</x:v>
      </x:c>
      <x:c r="B760" s="11" t="str">
        <x:v>KO–EN</x:v>
      </x:c>
      <x:c r="C760" s="11" t="str">
        <x:v>외교 → diplomacy</x:v>
      </x:c>
      <x:c r="D760" s="11" t="str">
        <x:v>Đối dịch trong từ điển; không mặc nhiên là định nghĩa Việt/Hàn độc lập.</x:v>
      </x:c>
      <x:c r="E760" s="11" t="str">
        <x:v>Đối dịch trong từ điển</x:v>
      </x:c>
      <x:c r="F760" s="11" t="str">
        <x:v>EN–KO</x:v>
      </x:c>
      <x:c r="G760" s="11" t="str">
        <x:v>EB116</x:v>
      </x:c>
      <x:c r="H760" s="11" t="str">
        <x:v>Cambridge English–Korean Dictionary: diplomacy</x:v>
      </x:c>
      <x:c r="I760" s="30" t="str">
        <x:v>https://dictionary.cambridge.org/dictionary/english-korean/diplomacy</x:v>
      </x:c>
      <x:c r="J760" s="11" t="str">
        <x:v>Nghĩa quan hệ giữa chính phủ ánh xạ 외교; không chọn nghĩa khéo léo giao tiếp (외교 능력). Đọc được nội dung mục từ trong kết quả tìm kiếm của nhà xuất bản.
Nghĩa dùng để đối chiếu: Hoạt động xử lý quan hệ giữa các chính phủ.</x:v>
      </x:c>
      <x:c r="K760" s="11" t="str">
        <x:v>2026-10-29 (KST)</x:v>
      </x:c>
    </x:row>
    <x:row r="761" ht="75" customHeight="1">
      <x:c r="A761" s="11" t="str">
        <x:v>T172</x:v>
      </x:c>
      <x:c r="B761" s="11" t="str">
        <x:v>VI–EN</x:v>
      </x:c>
      <x:c r="C761" s="11" t="str">
        <x:v>Ngoại giao đa phương → Multilateral Diplomacy</x:v>
      </x:c>
      <x:c r="D761" s="11" t="str">
        <x:v>Không kết luận mục từ từ điển từ nguồn này.</x:v>
      </x:c>
      <x:c r="E761" s="11" t="str">
        <x:v>Đối chiếu văn bản song song</x:v>
      </x:c>
      <x:c r="F761" s="11" t="str">
        <x:v>VI–EN</x:v>
      </x:c>
      <x:c r="G761" s="11" t="str">
        <x:v>EB117</x:v>
      </x:c>
      <x:c r="H761" s="11" t="str">
        <x:v>Bộ Ngoại giao Việt Nam — chú thích ảnh song ngữ về hoạt động đối ngoại</x:v>
      </x:c>
      <x:c r="I761" s="30" t="str">
        <x:v>https://mofa.gov.vn/tin-chi-tiet/chi-tiet/pho-thu-tuong-bo-truong-tiep-khach-quoc-te-deputy-prime-minister-receives-international-delegations--134.html</x:v>
      </x:c>
      <x:c r="J761" s="11" t="str">
        <x:v>Chú thích số 7 có cùng tên hội thảo chứa thuật ngữ ngoại giao đa phương / Multilateral Diplomacy.
Nghĩa dùng để đối chiếu: Hoạt động ngoại giao tiến hành trong khuôn khổ có nhiều quốc gia hoặc chủ thể cùng tham gia.</x:v>
      </x:c>
      <x:c r="K761" s="11" t="str">
        <x:v>2026-10-29 (KST)</x:v>
      </x:c>
    </x:row>
    <x:row r="762" ht="75" customHeight="1">
      <x:c r="A762" s="11" t="str">
        <x:v>T172</x:v>
      </x:c>
      <x:c r="B762" s="11" t="str">
        <x:v>KO–EN</x:v>
      </x:c>
      <x:c r="C762" s="11" t="str">
        <x:v>다자외교 → multilateral diplomacy</x:v>
      </x:c>
      <x:c r="D762" s="11" t="str">
        <x:v>Không kết luận mục từ từ điển từ nguồn này.</x:v>
      </x:c>
      <x:c r="E762" s="11" t="str">
        <x:v>Đối chiếu văn bản song song</x:v>
      </x:c>
      <x:c r="F762" s="11" t="str">
        <x:v>KO–EN</x:v>
      </x:c>
      <x:c r="G762" s="11" t="str">
        <x:v>EB118</x:v>
      </x:c>
      <x:c r="H762" s="11" t="str">
        <x:v>Bộ Ngoại giao Hàn Quốc — diễn văn Ngày Liên hợp quốc, Hàn/Anh</x:v>
      </x:c>
      <x:c r="I762" s="30" t="str">
        <x:v>https://www.mofa.go.kr/www/brd/m_20141/view.do?page=22&amp;seq=302213</x:v>
      </x:c>
      <x:c r="J762" s="11" t="str">
        <x:v>Cùng đoạn diễn văn về giai đoạn phát triển của ngoại giao đa phương, hai bản Hàn và Anh sử dụng hai nhãn này.
Nghĩa dùng để đối chiếu: Đối chiếu nghĩa Hàn đã ghi trong trang Thuật ngữ.</x:v>
      </x:c>
      <x:c r="K762" s="11" t="str">
        <x:v>2026-10-29 (KST)</x:v>
      </x:c>
    </x:row>
    <x:row r="763" ht="75" customHeight="1">
      <x:c r="A763" s="11" t="str">
        <x:v>T156</x:v>
      </x:c>
      <x:c r="B763" s="11" t="str">
        <x:v>VI–EN</x:v>
      </x:c>
      <x:c r="C763" s="11" t="str">
        <x:v>ngoại giao kinh tế → economic diplomacy</x:v>
      </x:c>
      <x:c r="D763" s="11" t="str">
        <x:v>Không kết luận mục từ từ điển từ nguồn này.</x:v>
      </x:c>
      <x:c r="E763" s="11" t="str">
        <x:v>Đối chiếu văn bản song song</x:v>
      </x:c>
      <x:c r="F763" s="11" t="str">
        <x:v>VI–EN</x:v>
      </x:c>
      <x:c r="G763" s="11" t="str">
        <x:v>EB119</x:v>
      </x:c>
      <x:c r="H763" s="11" t="str">
        <x:v>Đại sứ quán Việt Nam tại Thổ Nhĩ Kỳ — tiêu đề song ngữ về ngoại giao kinh tế</x:v>
      </x:c>
      <x:c r="I763" s="30" t="str">
        <x:v>https://vnembassy-ankara.mofa.gov.vn/en/tin-chi-tiet/chi-tiet/tang-cuong-ngoai-giao-kinh-te-va-ket-noi-dia-phuong-61668-1455.html</x:v>
      </x:c>
      <x:c r="J763" s="11" t="str">
        <x:v>Tiêu đề Việt và Anh của cùng bài tương ứng rõ ràng.
Nghĩa dùng để đối chiếu: Hoạt động ngoại giao phục vụ mục tiêu kinh tế và sử dụng công cụ kinh tế trong quan hệ đối ngoại.</x:v>
      </x:c>
      <x:c r="K763" s="11" t="str">
        <x:v>2026-10-29 (KST)</x:v>
      </x:c>
    </x:row>
    <x:row r="764" ht="75" customHeight="1">
      <x:c r="A764" s="11" t="str">
        <x:v>T156</x:v>
      </x:c>
      <x:c r="B764" s="11" t="str">
        <x:v>KO–EN</x:v>
      </x:c>
      <x:c r="C764" s="11" t="str">
        <x:v>경제외교 → economic diplomacy</x:v>
      </x:c>
      <x:c r="D764" s="11" t="str">
        <x:v>Không kết luận mục từ từ điển từ nguồn này.</x:v>
      </x:c>
      <x:c r="E764" s="11" t="str">
        <x:v>Đối chiếu văn bản song song</x:v>
      </x:c>
      <x:c r="F764" s="11" t="str">
        <x:v>KO–EN</x:v>
      </x:c>
      <x:c r="G764" s="11" t="str">
        <x:v>EB120</x:v>
      </x:c>
      <x:c r="H764" s="11" t="str">
        <x:v>Bộ Ngoại giao Hàn Quốc — hội đồng tư vấn kinh tế ngoại giao</x:v>
      </x:c>
      <x:c r="I764" s="30" t="str">
        <x:v>https://www.mofa.go.kr/www/brd/m_4080/view.do?page=69&amp;pitem=10&amp;seq=376605
https://www.mofa.go.kr/eng/brd/m_5676/view.do?seq=323010</x:v>
      </x:c>
      <x:c r="J764" s="11" t="str">
        <x:v>Bài Hàn về 경제외교 có liên kết bản Anh ghi Policy Advisory Committee on Economic Diplomacy.
Nghĩa dùng để đối chiếu: Lĩnh vực thực hành ngoại giao phục vụ mục tiêu kinh tế.</x:v>
      </x:c>
      <x:c r="K764" s="11" t="str">
        <x:v>2026-10-29 (KST)</x:v>
      </x:c>
    </x:row>
    <x:row r="765" ht="75" customHeight="1">
      <x:c r="A765" s="11" t="str">
        <x:v>T162</x:v>
      </x:c>
      <x:c r="B765" s="11" t="str">
        <x:v>VI–EN</x:v>
      </x:c>
      <x:c r="C765" s="11" t="str">
        <x:v>ngoại giao văn hóa → cultural diplomacy</x:v>
      </x:c>
      <x:c r="D765" s="11" t="str">
        <x:v>Không kết luận mục từ từ điển từ nguồn này.</x:v>
      </x:c>
      <x:c r="E765" s="11" t="str">
        <x:v>Đối chiếu văn bản song song</x:v>
      </x:c>
      <x:c r="F765" s="11" t="str">
        <x:v>VI–EN</x:v>
      </x:c>
      <x:c r="G765" s="11" t="str">
        <x:v>EB121</x:v>
      </x:c>
      <x:c r="H765" s="11" t="str">
        <x:v>Đại sứ quán Việt Nam tại Tanzania — bài song ngữ về ưu tiên ngoại giao</x:v>
      </x:c>
      <x:c r="I765" s="30" t="str">
        <x:v>https://vnembassy-daressalaam.mofa.gov.vn/km/tin-chi-tiet/chi-tiet/dai-su-quan-viet-nam-tai-tanzania-quyet-tam-phat-huy-vai-tro-tien-phong-trong-cong-tac-doi-ngoai-tai-dong-phi-embassy-of-vietnam-in-tanzania-proud-to-serve-on-the-frontline-of-diplomacy-61175-1241.html</x:v>
      </x:c>
      <x:c r="J765" s="11" t="str">
        <x:v>Hai đoạn Việt và Anh trong cùng bài phỏng vấn của Đại sứ dùng hai nhãn tương ứng.
Nghĩa dùng để đối chiếu: Hoạt động ngoại giao sử dụng văn hóa và giao lưu văn hóa nhằm tăng hiểu biết, quan hệ và ảnh hưởng quốc tế.</x:v>
      </x:c>
      <x:c r="K765" s="11" t="str">
        <x:v>2026-10-29 (KST)</x:v>
      </x:c>
    </x:row>
    <x:row r="766" ht="75" customHeight="1">
      <x:c r="A766" s="11" t="str">
        <x:v>T136</x:v>
      </x:c>
      <x:c r="B766" s="11" t="str">
        <x:v>VI–EN</x:v>
      </x:c>
      <x:c r="C766" s="11" t="str">
        <x:v>thăm cấp Nhà nước → State visit</x:v>
      </x:c>
      <x:c r="D766" s="11" t="str">
        <x:v>Không kết luận mục từ từ điển từ nguồn này.</x:v>
      </x:c>
      <x:c r="E766" s="11" t="str">
        <x:v>Đối chiếu văn bản song song</x:v>
      </x:c>
      <x:c r="F766" s="11" t="str">
        <x:v>VI–EN</x:v>
      </x:c>
      <x:c r="G766" s="11" t="str">
        <x:v>EB122</x:v>
      </x:c>
      <x:c r="H766" s="11" t="str">
        <x:v>Cổng Chính phủ — tuyên bố chung Việt Nam–Hàn Quốc 11/8/2025, Việt và Anh</x:v>
      </x:c>
      <x:c r="I766" s="30" t="str">
        <x:v>https://cms.baochinhphu.vn/tuyen-bo-chung-ve-lam-sau-sac-hon-quan-he-doi-tac-chien-luoc-toan-dien-viet-nam-han-quoc-102250811194218425.htm
https://en.baochinhphu.vn/viet-nam-south-korea-issue-joint-statement-on-deepening-comprehensive-strategic-partnership-111250811220040691.htm</x:v>
      </x:c>
      <x:c r="J766" s="11" t="str">
        <x:v>Hai bài cùng chuyến thăm của Tổng Bí thư Tô Lâm ngày 10–13/8/2025.
Nghĩa dùng để đối chiếu: Chuyến thăm ở cấp nghi lễ nhà nước cao, dành cho nguyên thủ theo lời mời và quy định lễ tân của nước chủ nhà.</x:v>
      </x:c>
      <x:c r="K766" s="11" t="str">
        <x:v>2026-10-29 (KST)</x:v>
      </x:c>
    </x:row>
    <x:row r="767" ht="75" customHeight="1">
      <x:c r="A767" s="11" t="str">
        <x:v>T136</x:v>
      </x:c>
      <x:c r="B767" s="11" t="str">
        <x:v>KO–EN</x:v>
      </x:c>
      <x:c r="C767" s="11" t="str">
        <x:v>국빈 방문 → state visit</x:v>
      </x:c>
      <x:c r="D767" s="11" t="str">
        <x:v>Không kết luận mục từ từ điển từ nguồn này.</x:v>
      </x:c>
      <x:c r="E767" s="11" t="str">
        <x:v>Đối dịch tường minh trong nguồn</x:v>
      </x:c>
      <x:c r="F767" s="11" t="str">
        <x:v>KO–EN</x:v>
      </x:c>
      <x:c r="G767" s="11" t="str">
        <x:v>EB123</x:v>
      </x:c>
      <x:c r="H767" s="11" t="str">
        <x:v>Bộ Ngoại giao Hàn Quốc — tiếp Thứ trưởng Ngoại giao Peru</x:v>
      </x:c>
      <x:c r="I767" s="30" t="str">
        <x:v>https://www.mofa.go.kr/www/brd/m_4080/view.do?page=1&amp;pitem=102026&amp;seq=303108</x:v>
      </x:c>
      <x:c r="J767" s="11" t="str">
        <x:v>Nguồn ghi 국빈 방문(state visit) ngay trong đoạn mô tả lời mời.
Nghĩa dùng để đối chiếu: Chuyến thăm cấp Nhà nước.</x:v>
      </x:c>
      <x:c r="K767" s="11" t="str">
        <x:v>2026-10-29 (KST)</x:v>
      </x:c>
    </x:row>
    <x:row r="768" ht="75" customHeight="1">
      <x:c r="A768" s="11" t="str">
        <x:v>T139</x:v>
      </x:c>
      <x:c r="B768" s="11" t="str">
        <x:v>VI–EN</x:v>
      </x:c>
      <x:c r="C768" s="11" t="str">
        <x:v>thăm chính thức → official visit</x:v>
      </x:c>
      <x:c r="D768" s="11" t="str">
        <x:v>Không kết luận mục từ từ điển từ nguồn này.</x:v>
      </x:c>
      <x:c r="E768" s="11" t="str">
        <x:v>Đối chiếu văn bản song song</x:v>
      </x:c>
      <x:c r="F768" s="11" t="str">
        <x:v>VI–EN</x:v>
      </x:c>
      <x:c r="G768" s="11" t="str">
        <x:v>EB124</x:v>
      </x:c>
      <x:c r="H768" s="11" t="str">
        <x:v>Đại sứ quán Việt Nam tại Tanzania — bài song ngữ về ưu tiên ngoại giao</x:v>
      </x:c>
      <x:c r="I768" s="30" t="str">
        <x:v>https://vnembassy-daressalaam.mofa.gov.vn/km/tin-chi-tiet/chi-tiet/dai-su-quan-viet-nam-tai-tanzania-quyet-tam-phat-huy-vai-tro-tien-phong-trong-cong-tac-doi-ngoai-tai-dong-phi-embassy-of-vietnam-in-tanzania-proud-to-serve-on-the-frontline-of-diplomacy-61175-1241.html</x:v>
      </x:c>
      <x:c r="J768" s="11" t="str">
        <x:v>Cùng thông tin chuẩn bị chuyến thăm của Tổng thống Tanzania; bản Anh dùng official visit.
Nghĩa dùng để đối chiếu: Chuyến thăm được tổ chức chính thức theo lời mời và chương trình làm việc, với chế độ lễ tân được quy định.</x:v>
      </x:c>
      <x:c r="K768" s="11" t="str">
        <x:v>2026-10-29 (KST)</x:v>
      </x:c>
    </x:row>
    <x:row r="769" ht="75" customHeight="1">
      <x:c r="A769" s="11" t="str">
        <x:v>T144</x:v>
      </x:c>
      <x:c r="B769" s="11" t="str">
        <x:v>VI–EN</x:v>
      </x:c>
      <x:c r="C769" s="11" t="str">
        <x:v>thiết lập quan hệ ngoại giao → establishment of diplomatic ties</x:v>
      </x:c>
      <x:c r="D769" s="11" t="str">
        <x:v>Không kết luận mục từ từ điển từ nguồn này.</x:v>
      </x:c>
      <x:c r="E769" s="11" t="str">
        <x:v>Đối chiếu văn bản song song</x:v>
      </x:c>
      <x:c r="F769" s="11" t="str">
        <x:v>VI–EN</x:v>
      </x:c>
      <x:c r="G769" s="11" t="str">
        <x:v>EB125</x:v>
      </x:c>
      <x:c r="H769" s="11" t="str">
        <x:v>Cổng Chính phủ — tuyên bố chung Việt Nam–Hàn Quốc 11/8/2025, Việt và Anh</x:v>
      </x:c>
      <x:c r="I769" s="30" t="str">
        <x:v>https://cms.baochinhphu.vn/tuyen-bo-chung-ve-lam-sau-sac-hon-quan-he-doi-tac-chien-luoc-toan-dien-viet-nam-han-quoc-102250811194218425.htm
https://en.baochinhphu.vn/viet-nam-south-korea-issue-joint-statement-on-deepening-comprehensive-strategic-partnership-111250811220040691.htm</x:v>
      </x:c>
      <x:c r="J769" s="11" t="str">
        <x:v>Cùng sự kiện Việt Nam–Hàn Quốc năm 1992.
Nghĩa dùng để đối chiếu: Hành động các quốc gia thỏa thuận chính thức hình thành quan hệ ngoại giao.</x:v>
      </x:c>
      <x:c r="K769" s="11" t="str">
        <x:v>2026-10-29 (KST)</x:v>
      </x:c>
    </x:row>
    <x:row r="770" ht="75" customHeight="1">
      <x:c r="A770" s="11" t="str">
        <x:v>T144</x:v>
      </x:c>
      <x:c r="B770" s="11" t="str">
        <x:v>KO–EN</x:v>
      </x:c>
      <x:c r="C770" s="11" t="str">
        <x:v>수교 → establishment of diplomatic relations</x:v>
      </x:c>
      <x:c r="D770" s="11" t="str">
        <x:v>Không kết luận mục từ từ điển từ nguồn này.</x:v>
      </x:c>
      <x:c r="E770" s="11" t="str">
        <x:v>Đối chiếu văn bản song song</x:v>
      </x:c>
      <x:c r="F770" s="11" t="str">
        <x:v>KO–EN</x:v>
      </x:c>
      <x:c r="G770" s="11" t="str">
        <x:v>EB126</x:v>
      </x:c>
      <x:c r="H770" s="11" t="str">
        <x:v>Bộ Ngoại giao Hàn Quốc — tuyên bố chung Hàn–Indonesia 1/4/2026, hai bản Hàn/Anh</x:v>
      </x:c>
      <x:c r="I770" s="30" t="str">
        <x:v>https://www.mofa.go.kr/www/brd/m_29514/view.do?seq=36</x:v>
      </x:c>
      <x:c r="J770" s="11" t="str">
        <x:v>Đoạn 2 của hai bản dùng 수교 / establishment of diplomatic relations về cùng mốc 1973. Trang ghi bản Hàn là bản dịch không chính thức do cơ quan công bố.
Nghĩa dùng để đối chiếu: Đối chiếu nghĩa Hàn đã ghi trong trang Thuật ngữ.</x:v>
      </x:c>
      <x:c r="K770" s="11" t="str">
        <x:v>2026-10-29 (KST)</x:v>
      </x:c>
    </x:row>
    <x:row r="771" ht="75" customHeight="1">
      <x:c r="A771" s="11" t="str">
        <x:v>T014</x:v>
      </x:c>
      <x:c r="B771" s="11" t="str">
        <x:v>VI–EN</x:v>
      </x:c>
      <x:c r="C771" s="11" t="str">
        <x:v>cuộc tổng tuyển cử → general election</x:v>
      </x:c>
      <x:c r="D771" s="11" t="str">
        <x:v>Đối dịch trong từ điển; không mặc nhiên là định nghĩa Việt/Hàn độc lập.</x:v>
      </x:c>
      <x:c r="E771" s="11" t="str">
        <x:v>Đối dịch trong từ điển</x:v>
      </x:c>
      <x:c r="F771" s="11" t="str">
        <x:v>EN–VI</x:v>
      </x:c>
      <x:c r="G771" s="11" t="str">
        <x:v>EB127</x:v>
      </x:c>
      <x:c r="H771" s="11" t="str">
        <x:v>Cambridge / PASSWORD English–Vietnamese Dictionary: general election</x:v>
      </x:c>
      <x:c r="I771" s="30" t="str">
        <x:v>https://dictionary.cambridge.org/dictionary/english-vietnamese/general-election</x:v>
      </x:c>
      <x:c r="J771" s="11" t="str">
        <x:v>Ánh xạ toàn cụm general election → cuộc tổng tuyển cử, đọc được trong kết quả tìm kiếm mục từ; trực tiếp mở trang sau đó bị robots chặn.
Nghĩa dùng để đối chiếu: Cuộc tổng tuyển cử trên phạm vi toàn quốc trong ngữ cảnh nghiên cứu.</x:v>
      </x:c>
      <x:c r="K771" s="11" t="str">
        <x:v>2026-10-29 (KST)</x:v>
      </x:c>
    </x:row>
    <x:row r="772" ht="75" customHeight="1">
      <x:c r="A772" s="11" t="str">
        <x:v>T014</x:v>
      </x:c>
      <x:c r="B772" s="11" t="str">
        <x:v>KO–EN</x:v>
      </x:c>
      <x:c r="C772" s="11" t="str">
        <x:v>총선 → general election</x:v>
      </x:c>
      <x:c r="D772" s="11" t="str">
        <x:v>Đối dịch trong từ điển; không mặc nhiên là định nghĩa Việt/Hàn độc lập.</x:v>
      </x:c>
      <x:c r="E772" s="11" t="str">
        <x:v>Đối dịch trong từ điển</x:v>
      </x:c>
      <x:c r="F772" s="11" t="str">
        <x:v>EN–KO</x:v>
      </x:c>
      <x:c r="G772" s="11" t="str">
        <x:v>EB128</x:v>
      </x:c>
      <x:c r="H772" s="11" t="str">
        <x:v>Cambridge English–Korean Dictionary: general election</x:v>
      </x:c>
      <x:c r="I772" s="30" t="str">
        <x:v>https://dictionary.cambridge.org/dictionary/english-korean/general-election</x:v>
      </x:c>
      <x:c r="J772" s="11" t="str">
        <x:v>Trang mục từ đọc được trực tiếp, dòng 35–56: toàn cụm general election ánh xạ đúng nguyên dạng 총선.
Nghĩa dùng để đối chiếu: Cuộc bầu cử chung để chọn người đại diện cho dân trong bộ máy chính quyền.</x:v>
      </x:c>
      <x:c r="K772" s="11" t="str">
        <x:v>2026-10-29 (KST)</x:v>
      </x:c>
    </x:row>
    <x:row r="773" ht="75" customHeight="1">
      <x:c r="A773" s="11" t="str">
        <x:v>M020</x:v>
      </x:c>
      <x:c r="B773" s="11" t="str">
        <x:v>VI–EN</x:v>
      </x:c>
      <x:c r="C773" s="11" t="str">
        <x:v>Bản ghi nhớ → Memorandum of Understanding</x:v>
      </x:c>
      <x:c r="D773" s="11" t="str">
        <x:v>Không kết luận mục từ từ điển từ nguồn này.</x:v>
      </x:c>
      <x:c r="E773" s="11" t="str">
        <x:v>Đối chiếu văn bản song song</x:v>
      </x:c>
      <x:c r="F773" s="11" t="str">
        <x:v>VI–EN</x:v>
      </x:c>
      <x:c r="G773" s="11" t="str">
        <x:v>EB129</x:v>
      </x:c>
      <x:c r="H773" s="11" t="str">
        <x:v>Đại sứ quán Việt Nam — bài song ngữ về hội đàm với Burundi</x:v>
      </x:c>
      <x:c r="I773" s="30" t="str">
        <x:v>https://vnembassy-daressalaam.mofa.gov.vn/tin-chi-tiet/chi-tiet/uy-vien-bo-chinh-tri-bo-truong-ngoai-giao-le-hoai-trung-hoi-dam-voi-tong-thu-ky-dang-cndd-fdd-burundi-foreign-minister-le-hoai-trung-holds-talks-with-secretary-general-of-burundi-39-s-cndd-fdd-party-61229-1245.html</x:v>
      </x:c>
      <x:c r="J773" s="11" t="str">
        <x:v>Cùng văn kiện hợp tác giữa hai Đảng có tên tiếng Việt Bản ghi nhớ và bản Anh Memorandum of Understanding.
Nghĩa dùng để đối chiếu: Văn bản ghi lại sự hiểu biết hoặc các nội dung được các bên thống nhất; hiệu lực pháp lý tùy nội dung và hình thức cụ thể.</x:v>
      </x:c>
      <x:c r="K773" s="11" t="str">
        <x:v>2026-10-29 (KST)</x:v>
      </x:c>
    </x:row>
    <x:row r="774" ht="75" customHeight="1">
      <x:c r="A774" s="11" t="str">
        <x:v>M020</x:v>
      </x:c>
      <x:c r="B774" s="11" t="str">
        <x:v>KO–EN</x:v>
      </x:c>
      <x:c r="C774" s="11" t="str">
        <x:v>양해각서 → Memorandum of Understanding</x:v>
      </x:c>
      <x:c r="D774" s="11" t="str">
        <x:v>Không kết luận mục từ từ điển từ nguồn này.</x:v>
      </x:c>
      <x:c r="E774" s="11" t="str">
        <x:v>Đối dịch tường minh trong nguồn</x:v>
      </x:c>
      <x:c r="F774" s="11" t="str">
        <x:v>KO–EN</x:v>
      </x:c>
      <x:c r="G774" s="11" t="str">
        <x:v>EB130</x:v>
      </x:c>
      <x:c r="H774" s="11" t="str">
        <x:v>Bộ Ngoại giao Hàn Quốc — tổng quan hiệp định kinh tế</x:v>
      </x:c>
      <x:c r="I774" s="30" t="str">
        <x:v>https://www.mofa.go.kr/www/wpge/m_4058/contents.do</x:v>
      </x:c>
      <x:c r="J774" s="11" t="str">
        <x:v>Nguồn ghi 양해각서(MOU : Memorandum of Understanding); giải thích hiệu lực pháp lý phụ thuộc nội dung.
Nghĩa dùng để đối chiếu: Loại văn bản ghi nhận thỏa thuận hoặc hiểu biết chung.</x:v>
      </x:c>
      <x:c r="K774" s="11" t="str">
        <x:v>2026-10-29 (KST)</x:v>
      </x:c>
    </x:row>
    <x:row r="775" ht="75" customHeight="1">
      <x:c r="A775" s="11" t="str">
        <x:v>T158</x:v>
      </x:c>
      <x:c r="B775" s="11" t="str">
        <x:v>VI–EN</x:v>
      </x:c>
      <x:c r="C775" s="11" t="str">
        <x:v>Công ước Liên hợp quốc về Luật Biển năm 1982 → United Nations Convention on the Law of the Sea</x:v>
      </x:c>
      <x:c r="D775" s="11" t="str">
        <x:v>Không kết luận mục từ từ điển từ nguồn này.</x:v>
      </x:c>
      <x:c r="E775" s="11" t="str">
        <x:v>Đối dịch tường minh trong nguồn</x:v>
      </x:c>
      <x:c r="F775" s="11" t="str">
        <x:v>VI–EN</x:v>
      </x:c>
      <x:c r="G775" s="11" t="str">
        <x:v>EB131</x:v>
      </x:c>
      <x:c r="H775" s="11" t="str">
        <x:v>Học viện Chính trị CAND — Công ước Liên hợp quốc về Luật Biển năm 1982</x:v>
      </x:c>
      <x:c r="I775" s="30" t="str">
        <x:v>https://hvctcand.bocongan.gov.vn/cong-uoc-lien-hop-quoc-ve-luat-bien-nam-1982-co-so-phap-ly-quoc-te-bao-ve-quyen-loi-cua-viet-nam-tren-882</x:v>
      </x:c>
      <x:c r="J775" s="11" t="str">
        <x:v>Mở đầu nêu tên Việt, tên Anh và viết tắt UNCLOS 1982.
Nghĩa dùng để đối chiếu: Công ước về Luật Biển của Liên hợp quốc, năm 1982.</x:v>
      </x:c>
      <x:c r="K775" s="11" t="str">
        <x:v>2026-10-29 (KST)</x:v>
      </x:c>
    </x:row>
    <x:row r="776" ht="75" customHeight="1">
      <x:c r="A776" s="11" t="str">
        <x:v>T158</x:v>
      </x:c>
      <x:c r="B776" s="11" t="str">
        <x:v>KO–EN</x:v>
      </x:c>
      <x:c r="C776" s="11" t="str">
        <x:v>유엔해양법협약 → United Nations Convention on the Law of the Sea</x:v>
      </x:c>
      <x:c r="D776" s="11" t="str">
        <x:v>Không kết luận mục từ từ điển từ nguồn này.</x:v>
      </x:c>
      <x:c r="E776" s="11" t="str">
        <x:v>Đối dịch tường minh trong nguồn</x:v>
      </x:c>
      <x:c r="F776" s="11" t="str">
        <x:v>KO–EN</x:v>
      </x:c>
      <x:c r="G776" s="11" t="str">
        <x:v>EB132</x:v>
      </x:c>
      <x:c r="H776" s="11" t="str">
        <x:v>Bộ Ngoại giao Hàn Quốc — Hội thảo quốc tế Luật Biển lần 10</x:v>
      </x:c>
      <x:c r="I776" s="30" t="str">
        <x:v>https://www.mofa.go.kr/www/brd/m_4076/view.do?page=1&amp;seq=371820</x:v>
      </x:c>
      <x:c r="J776" s="11" t="str">
        <x:v>Chú thích mở rộng tên Anh, nêu năm thông qua 1982.
Nghĩa dùng để đối chiếu: Công ước về Luật Biển của Liên hợp quốc, năm 1982.</x:v>
      </x:c>
      <x:c r="K776" s="11" t="str">
        <x:v>2026-10-29 (KST)</x:v>
      </x:c>
    </x:row>
    <x:row r="777" ht="75" customHeight="1">
      <x:c r="A777" s="11" t="str">
        <x:v>T044</x:v>
      </x:c>
      <x:c r="B777" s="11" t="str">
        <x:v>VI–EN</x:v>
      </x:c>
      <x:c r="C777" s="11" t="str">
        <x:v>hiến pháp → constitution</x:v>
      </x:c>
      <x:c r="D777" s="11" t="str">
        <x:v>Đối dịch trong từ điển; không mặc nhiên là định nghĩa Việt/Hàn độc lập.</x:v>
      </x:c>
      <x:c r="E777" s="11" t="str">
        <x:v>Đối dịch trong từ điển</x:v>
      </x:c>
      <x:c r="F777" s="11" t="str">
        <x:v>VI–EN</x:v>
      </x:c>
      <x:c r="G777" s="11" t="str">
        <x:v>EB133</x:v>
      </x:c>
      <x:c r="H777" s="11" t="str">
        <x:v>Cambridge / PASSWORD English–Vietnamese: constitution</x:v>
      </x:c>
      <x:c r="I777" s="30" t="str">
        <x:v>https://dictionary.cambridge.org/dictionary/english-vietnamese/constitution</x:v>
      </x:c>
      <x:c r="J777" s="11" t="str">
        <x:v>Chọn nghĩa pháp luật tối cao, không chọn nghĩa thể chất.
Nghĩa dùng để đối chiếu: Hiến pháp của nhà nước.</x:v>
      </x:c>
      <x:c r="K777" s="11" t="str">
        <x:v>2026-10-29 (KST)</x:v>
      </x:c>
    </x:row>
    <x:row r="778" ht="85.5" customHeight="1">
      <x:c r="A778" s="11" t="str">
        <x:v>T044</x:v>
      </x:c>
      <x:c r="B778" s="11" t="str">
        <x:v>KO–EN</x:v>
      </x:c>
      <x:c r="C778" s="11" t="str">
        <x:v>헌법 → constitution</x:v>
      </x:c>
      <x:c r="D778" s="11" t="str">
        <x:v>Đối dịch trong từ điển; không mặc nhiên là định nghĩa Việt/Hàn độc lập.</x:v>
      </x:c>
      <x:c r="E778" s="11" t="str">
        <x:v>Đối dịch trong từ điển</x:v>
      </x:c>
      <x:c r="F778" s="11" t="str">
        <x:v>KO–EN</x:v>
      </x:c>
      <x:c r="G778" s="11" t="str">
        <x:v>EB134</x:v>
      </x:c>
      <x:c r="H778" s="11" t="str">
        <x:v>Collins Korean–English Dictionary: 헌법</x:v>
      </x:c>
      <x:c r="I778" s="30" t="str">
        <x:v>https://www.collinsdictionary.com/ko/dictionary/korean-english/%ED%97%8C%EB%B2%95</x:v>
      </x:c>
      <x:c r="J778" s="11" t="str">
        <x:v>Mục từ nguyên dạng 헌법 ánh xạ constitution; chọn nghĩa hiến pháp nhà nước, không chọn nghĩa thể chất. Bằng chứng đọc được trong kết quả tìm kiếm của nhà xuất bản.
Nghĩa dùng để đối chiếu: Hiến pháp, nghĩa hệ thống quy định nền tảng về quyền, nghĩa vụ và tổ chức của nhà nước.</x:v>
      </x:c>
      <x:c r="K778" s="11" t="str">
        <x:v>2026-10-29 (KST)</x:v>
      </x:c>
    </x:row>
    <x:row r="779" ht="75" customHeight="1">
      <x:c r="A779" s="11" t="str">
        <x:v>M007</x:v>
      </x:c>
      <x:c r="B779" s="11" t="str">
        <x:v>VI–EN</x:v>
      </x:c>
      <x:c r="C779" s="11" t="str">
        <x:v>Tầm nhìn ASEAN về Ấn Độ Dương–Thái Bình Dương → ASEAN Outlook on the Indo-Pacific</x:v>
      </x:c>
      <x:c r="D779" s="11" t="str">
        <x:v>Không kết luận mục từ từ điển từ nguồn này.</x:v>
      </x:c>
      <x:c r="E779" s="11" t="str">
        <x:v>Đối dịch tường minh trong nguồn</x:v>
      </x:c>
      <x:c r="F779" s="11" t="str">
        <x:v>vi,en</x:v>
      </x:c>
      <x:c r="G779" s="11" t="str">
        <x:v>EB135</x:v>
      </x:c>
      <x:c r="H779" s="11" t="str">
        <x:v>Học viện Chính trị CAND – Thuật ngữ Châu Á–Thái Bình Dương và Ấn Độ Dương</x:v>
      </x:c>
      <x:c r="I779" s="30" t="str">
        <x:v>https://hvctcand.bocongan.gov.vn/thuat-ngu-chau-a-thai-binh-duong-va-an-do-duong-trong-du-thao-cac-van-kien-trinh-dai-hoi-dang-toan-quoc-lan-thu-xiv-8288</x:v>
      </x:c>
      <x:c r="J779" s="11" t="str">
        <x:v>Nguồn đặt tên văn kiện Việt và Anh cạnh nhau; không dịch Tầm nhìn thành Vision.
Nghĩa dùng để đối chiếu: Văn kiện của ASEAN trình bày quan điểm và định hướng hợp tác đối với khu vực Ấn Độ Dương–Thái Bình Dương.</x:v>
      </x:c>
      <x:c r="K779" s="11" t="str">
        <x:v>2026-10-29 (KST)</x:v>
      </x:c>
    </x:row>
    <x:row r="780" ht="75" customHeight="1">
      <x:c r="A780" s="11" t="str">
        <x:v>M007</x:v>
      </x:c>
      <x:c r="B780" s="11" t="str">
        <x:v>KO–EN</x:v>
      </x:c>
      <x:c r="C780" s="11" t="str">
        <x:v>인도-태평양에 대한 아세안 관점 → ASEAN Outlook on the Indo-Pacific</x:v>
      </x:c>
      <x:c r="D780" s="11" t="str">
        <x:v>Không kết luận mục từ từ điển từ nguồn này.</x:v>
      </x:c>
      <x:c r="E780" s="11" t="str">
        <x:v>Đối dịch tường minh trong nguồn</x:v>
      </x:c>
      <x:c r="F780" s="11" t="str">
        <x:v>ko,en</x:v>
      </x:c>
      <x:c r="G780" s="11" t="str">
        <x:v>EB136</x:v>
      </x:c>
      <x:c r="H780" s="11" t="str">
        <x:v>MOFA Korea – 강경화 장관, 동아시아의 평화와 번영을 위한 안보 협력 논의 참여</x:v>
      </x:c>
      <x:c r="I780" s="30" t="str">
        <x:v>https://www.mofa.go.kr/www/brd/m_4080/view.do?page=673&amp;pitem=10&amp;seq=370440</x:v>
      </x:c>
      <x:c r="J780" s="11" t="str">
        <x:v>Nguồn ghi 인도-태평양에 대한 아세안의 관점; đầu vào lược trợ từ 의 sau 아세안. Giữ nguyên đầu vào, ghi đây là biến thể biểu thức cùng tên văn kiện.
Nghĩa dùng để đối chiếu: Văn kiện của ASEAN trình bày quan điểm và định hướng hợp tác đối với khu vực Ấn Độ Dương–Thái Bình Dương.</x:v>
      </x:c>
      <x:c r="K780" s="11" t="str">
        <x:v>2026-10-29 (KST)</x:v>
      </x:c>
    </x:row>
    <x:row r="781" ht="75" customHeight="1">
      <x:c r="A781" s="11" t="str">
        <x:v>C001</x:v>
      </x:c>
      <x:c r="B781" s="11" t="str">
        <x:v>VI–EN</x:v>
      </x:c>
      <x:c r="C781" s="11" t="str">
        <x:v>nhà ngoại giao → diplomat</x:v>
      </x:c>
      <x:c r="D781" s="11" t="str">
        <x:v>Đối dịch trong từ điển; không mặc nhiên là định nghĩa Việt/Hàn độc lập.</x:v>
      </x:c>
      <x:c r="E781" s="11" t="str">
        <x:v>Đối dịch trong từ điển</x:v>
      </x:c>
      <x:c r="F781" s="11" t="str">
        <x:v>en+vi</x:v>
      </x:c>
      <x:c r="G781" s="11" t="str">
        <x:v>EB137</x:v>
      </x:c>
      <x:c r="H781" s="11" t="str">
        <x:v>PASSWORD English–Vietnamese Dictionary: diplomat</x:v>
      </x:c>
      <x:c r="I781" s="30" t="str">
        <x:v>https://dictionary.cambridge.org/dictionary/english-vietnamese/diplomat</x:v>
      </x:c>
      <x:c r="J781" s="11" t="str">
        <x:v>Đọc được cặp nhãn và bản dịch đúng nghĩa trong nguồn dẫn.
Nghĩa dùng để đối chiếu: Người đại diện cho quốc gia để thực hiện công việc ngoại giao.</x:v>
      </x:c>
      <x:c r="K781" s="11" t="str">
        <x:v>2026-10-29 (KST)</x:v>
      </x:c>
    </x:row>
    <x:row r="782" ht="75" customHeight="1">
      <x:c r="A782" s="11" t="str">
        <x:v>C001</x:v>
      </x:c>
      <x:c r="B782" s="11" t="str">
        <x:v>KO–EN</x:v>
      </x:c>
      <x:c r="C782" s="11" t="str">
        <x:v>외교관 → diplomat</x:v>
      </x:c>
      <x:c r="D782" s="11" t="str">
        <x:v>Đối dịch trong từ điển; không mặc nhiên là định nghĩa Việt/Hàn độc lập.</x:v>
      </x:c>
      <x:c r="E782" s="11" t="str">
        <x:v>Đối dịch trong từ điển</x:v>
      </x:c>
      <x:c r="F782" s="11" t="str">
        <x:v>ko+en</x:v>
      </x:c>
      <x:c r="G782" s="11" t="str">
        <x:v>EB138</x:v>
      </x:c>
      <x:c r="H782" s="11" t="str">
        <x:v>국립국어원 한국어기초사전: 외교관</x:v>
      </x:c>
      <x:c r="I782" s="30" t="str">
        <x:v>https://krdict.korean.go.kr/eng/dicSearch/SearchView?ParaWordNo=67853&amp;nation=eng</x:v>
      </x:c>
      <x:c r="J782" s="11" t="str">
        <x:v>Đọc được cặp nhãn và bản dịch đúng nghĩa trong nguồn dẫn.
Nghĩa dùng để đối chiếu: Người đại diện cho quốc gia để thực hiện công việc ngoại giao.</x:v>
      </x:c>
      <x:c r="K782" s="11" t="str">
        <x:v>2026-10-29 (KST)</x:v>
      </x:c>
    </x:row>
    <x:row r="783" ht="85.5" customHeight="1">
      <x:c r="A783" s="11" t="str">
        <x:v>C002</x:v>
      </x:c>
      <x:c r="B783" s="11" t="str">
        <x:v>KO–EN</x:v>
      </x:c>
      <x:c r="C783" s="11" t="str">
        <x:v>외교부장관 특사 → Special Envoy</x:v>
      </x:c>
      <x:c r="D783" s="11" t="str">
        <x:v>Không kết luận mục từ từ điển từ nguồn này.</x:v>
      </x:c>
      <x:c r="E783" s="11" t="str">
        <x:v>Đối dịch tường minh trong nguồn</x:v>
      </x:c>
      <x:c r="F783" s="11" t="str">
        <x:v>ko+en</x:v>
      </x:c>
      <x:c r="G783" s="11" t="str">
        <x:v>EB139</x:v>
      </x:c>
      <x:c r="H783" s="11" t="str">
        <x:v>MOFA: 남북정상회담 결과 설명을 위한 외교통상부장관 특사 파견</x:v>
      </x:c>
      <x:c r="I783" s="30" t="str">
        <x:v>https://www.mofa.go.kr/www/brd/m_4080/view.do?page=1&amp;pitem=102026&amp;seq=291093</x:v>
      </x:c>
      <x:c r="J783" s="11" t="str">
        <x:v>Nguồn MOFA đặt ngoại giao bộ trưởng đặc phái viên cùng bản Anh Special Envoy of the Foreign Minister; mapping xác nhận thành phần vai trò 특사 trong toàn chức danh.
Nghĩa dùng để đối chiếu: Người được cử thực hiện một nhiệm vụ đặc biệt với tư cách đại diện.</x:v>
      </x:c>
      <x:c r="K783" s="11" t="str">
        <x:v>2026-10-29 (KST)</x:v>
      </x:c>
    </x:row>
    <x:row r="784" ht="75" customHeight="1">
      <x:c r="A784" s="11" t="str">
        <x:v>C003</x:v>
      </x:c>
      <x:c r="B784" s="11" t="str">
        <x:v>VI–EN</x:v>
      </x:c>
      <x:c r="C784" s="11" t="str">
        <x:v>Tổng lãnh sự → Consul General</x:v>
      </x:c>
      <x:c r="D784" s="11" t="str">
        <x:v>Không kết luận mục từ từ điển từ nguồn này.</x:v>
      </x:c>
      <x:c r="E784" s="11" t="str">
        <x:v>Đối chiếu văn bản song song</x:v>
      </x:c>
      <x:c r="F784" s="11" t="str">
        <x:v>vi+en</x:v>
      </x:c>
      <x:c r="G784" s="11" t="str">
        <x:v>EB140</x:v>
      </x:c>
      <x:c r="H784" s="11" t="str">
        <x:v>Cổng Đà Nẵng: Thông tin đối ngoại 14–19/7, bài song ngữ về Kang Boo Sung</x:v>
      </x:c>
      <x:c r="I784" s="30" t="str">
        <x:v>https://cttdt.danangportal.gov.vn/vi/web/dng/w/thong-tin-doi-ngoai-ve-tinh-hinh-kinh-te-chinh-tri-van-hoa-xa-hoi-cua-thanh-pho-da-nang-tu-ngay-14-den-19-7</x:v>
      </x:c>
      <x:c r="J784" s="11" t="str">
        <x:v>Bài công bố cả tiếng Việt và tiếng Anh về cùng Kang Boo Sung tại buổi chào kết thúc nhiệm kỳ.
Nghĩa dùng để đối chiếu: Viên chức lãnh sự đứng đầu tổng lãnh sự quán, thuộc cấp tổng lãnh sự.</x:v>
      </x:c>
      <x:c r="K784" s="11" t="str">
        <x:v>2026-10-29 (KST)</x:v>
      </x:c>
    </x:row>
    <x:row r="785" ht="75" customHeight="1">
      <x:c r="A785" s="11" t="str">
        <x:v>C003</x:v>
      </x:c>
      <x:c r="B785" s="11" t="str">
        <x:v>KO–EN</x:v>
      </x:c>
      <x:c r="C785" s="11" t="str">
        <x:v>총영사 → Consul General</x:v>
      </x:c>
      <x:c r="D785" s="11" t="str">
        <x:v>Không kết luận mục từ từ điển từ nguồn này.</x:v>
      </x:c>
      <x:c r="E785" s="11" t="str">
        <x:v>Đối chiếu văn bản song song</x:v>
      </x:c>
      <x:c r="F785" s="11" t="str">
        <x:v>ko+en</x:v>
      </x:c>
      <x:c r="G785" s="11" t="str">
        <x:v>EB141</x:v>
      </x:c>
      <x:c r="H785" s="11" t="str">
        <x:v>Tổng lãnh sự quán Hàn Quốc Toronto: 정태인 총영사 공공외교 인터뷰, bài song ngữ</x:v>
      </x:c>
      <x:c r="I785" s="30" t="str">
        <x:v>https://overseas.mofa.go.kr/ca-toronto-ko/brd/m_5399/view.do?seq=1342011</x:v>
      </x:c>
      <x:c r="J785" s="11" t="str">
        <x:v>Trang Tổng lãnh sự quán có hai đoạn Hàn–Anh cho cùng cuộc phỏng vấn của Tae-in Chung.
Nghĩa dùng để đối chiếu: Viên chức lãnh sự đứng đầu tổng lãnh sự quán, thuộc cấp tổng lãnh sự.</x:v>
      </x:c>
      <x:c r="K785" s="11" t="str">
        <x:v>2026-10-29 (KST)</x:v>
      </x:c>
    </x:row>
    <x:row r="786" ht="75" customHeight="1">
      <x:c r="A786" s="11" t="str">
        <x:v>C004</x:v>
      </x:c>
      <x:c r="B786" s="11" t="str">
        <x:v>VI–EN</x:v>
      </x:c>
      <x:c r="C786" s="11" t="str">
        <x:v>Lãnh sự danh dự Việt Nam tại … → Honorary Consul</x:v>
      </x:c>
      <x:c r="D786" s="11" t="str">
        <x:v>Không kết luận mục từ từ điển từ nguồn này.</x:v>
      </x:c>
      <x:c r="E786" s="11" t="str">
        <x:v>Đối dịch tường minh trong nguồn</x:v>
      </x:c>
      <x:c r="F786" s="11" t="str">
        <x:v>vi+en</x:v>
      </x:c>
      <x:c r="G786" s="11" t="str">
        <x:v>EB142</x:v>
      </x:c>
      <x:c r="H786" s="11" t="str">
        <x:v>Công báo: Thông tư 01/2020/TT-BNG, mẫu thẻ lãnh sự danh dự, trang 54</x:v>
      </x:c>
      <x:c r="I786" s="30" t="str">
        <x:v>https://congbao.cdnchinhphu.vn/CongBaoCP/VanBan/2020/2/30709/29971-1-2020231-23201-2020-tt-bng.pdf</x:v>
      </x:c>
      <x:c r="J786" s="11" t="str">
        <x:v>Mẫu thẻ chính thức có dòng chức danh Việt và dòng Title bằng tiếng Anh; lấy tên chức danh, không lẫn thẻ là văn bản.
Nghĩa dùng để đối chiếu: Người được bổ nhiệm làm lãnh sự theo chế độ danh dự, không thuộc ngạch lãnh sự chuyên nghiệp.</x:v>
      </x:c>
      <x:c r="K786" s="11" t="str">
        <x:v>2026-10-29 (KST)</x:v>
      </x:c>
    </x:row>
    <x:row r="787" ht="75" customHeight="1">
      <x:c r="A787" s="11" t="str">
        <x:v>C004</x:v>
      </x:c>
      <x:c r="B787" s="11" t="str">
        <x:v>KO–EN</x:v>
      </x:c>
      <x:c r="C787" s="11" t="str">
        <x:v>명예영사 → Honorary Consul</x:v>
      </x:c>
      <x:c r="D787" s="11" t="str">
        <x:v>Không kết luận mục từ từ điển từ nguồn này.</x:v>
      </x:c>
      <x:c r="E787" s="11" t="str">
        <x:v>Đối chiếu văn bản song song</x:v>
      </x:c>
      <x:c r="F787" s="11" t="str">
        <x:v>ko+en</x:v>
      </x:c>
      <x:c r="G787" s="11" t="str">
        <x:v>EB143</x:v>
      </x:c>
      <x:c r="H787" s="11" t="str">
        <x:v>Đại sứ quán Hàn Quốc tại Croatia: 대사, 주스플리트 명예영사 면담, bài song ngữ</x:v>
      </x:c>
      <x:c r="I787" s="30" t="str">
        <x:v>https://overseas.mofa.go.kr/hr-ko/brd/m_26757/view.do?seq=1345677</x:v>
      </x:c>
      <x:c r="J787" s="11" t="str">
        <x:v>Bài Đại sứ quán có hai đoạn Hàn–Anh cùng nói Damir Primorac là 명예영사/Honorary Consul.
Nghĩa dùng để đối chiếu: Người được bổ nhiệm làm lãnh sự theo chế độ danh dự, không thuộc ngạch lãnh sự chuyên nghiệp.</x:v>
      </x:c>
      <x:c r="K787" s="11" t="str">
        <x:v>2026-10-29 (KST)</x:v>
      </x:c>
    </x:row>
    <x:row r="788" ht="75" customHeight="1">
      <x:c r="A788" s="11" t="str">
        <x:v>C009</x:v>
      </x:c>
      <x:c r="B788" s="11" t="str">
        <x:v>KO–EN</x:v>
      </x:c>
      <x:c r="C788" s="11" t="str">
        <x:v>상주대표 → Permanent Representative</x:v>
      </x:c>
      <x:c r="D788" s="11" t="str">
        <x:v>Không kết luận mục từ từ điển từ nguồn này.</x:v>
      </x:c>
      <x:c r="E788" s="11" t="str">
        <x:v>Đối dịch tường minh trong nguồn</x:v>
      </x:c>
      <x:c r="F788" s="11" t="str">
        <x:v>ko+en</x:v>
      </x:c>
      <x:c r="G788" s="11" t="str">
        <x:v>EB144</x:v>
      </x:c>
      <x:c r="H788" s="11" t="str">
        <x:v>MOFA: 제15차 한-ASEAN 공동기획심의위원회, chú thích ASEAN 상주대표</x:v>
      </x:c>
      <x:c r="I788" s="30" t="str">
        <x:v>https://www.mofa.go.kr/www/brd/m_4080/view.do?page=1&amp;pitem=102026&amp;seq=345879</x:v>
      </x:c>
      <x:c r="J788" s="11" t="str">
        <x:v>Chú thích ghi trực tiếp ASEAN 상주대표(Permanent Representative), giữ nét thường trú.
Nghĩa dùng để đối chiếu: Người đứng đầu một cơ quan hoặc bộ phận đại diện; bản thân cụm từ chưa xác định tính thường trú hay tổ chức tiếp nhận.</x:v>
      </x:c>
      <x:c r="K788" s="11" t="str">
        <x:v>2026-10-29 (KST)</x:v>
      </x:c>
    </x:row>
    <x:row r="789" ht="75" customHeight="1">
      <x:c r="A789" s="11" t="str">
        <x:v>C012</x:v>
      </x:c>
      <x:c r="B789" s="11" t="str">
        <x:v>VI–EN</x:v>
      </x:c>
      <x:c r="C789" s="11" t="str">
        <x:v>thượng nghị sĩ → senator</x:v>
      </x:c>
      <x:c r="D789" s="11" t="str">
        <x:v>Đối dịch trong từ điển; không mặc nhiên là định nghĩa Việt/Hàn độc lập.</x:v>
      </x:c>
      <x:c r="E789" s="11" t="str">
        <x:v>Đối dịch trong từ điển</x:v>
      </x:c>
      <x:c r="F789" s="11" t="str">
        <x:v>en+vi</x:v>
      </x:c>
      <x:c r="G789" s="11" t="str">
        <x:v>EB145</x:v>
      </x:c>
      <x:c r="H789" s="11" t="str">
        <x:v>PASSWORD English–Vietnamese Dictionary: senator, nghĩa 1</x:v>
      </x:c>
      <x:c r="I789" s="30" t="str">
        <x:v>https://dictionary.cambridge.org/dictionary/english-vietnamese/senator</x:v>
      </x:c>
      <x:c r="J789" s="11" t="str">
        <x:v>Đọc được cặp nhãn và bản dịch đúng nghĩa trong nguồn dẫn.
Nghĩa dùng để đối chiếu: Người là thành viên Thượng viện.</x:v>
      </x:c>
      <x:c r="K789" s="11" t="str">
        <x:v>2026-10-29 (KST)</x:v>
      </x:c>
    </x:row>
    <x:row r="790" ht="75" customHeight="1">
      <x:c r="A790" s="11" t="str">
        <x:v>C012</x:v>
      </x:c>
      <x:c r="B790" s="11" t="str">
        <x:v>KO–EN</x:v>
      </x:c>
      <x:c r="C790" s="11" t="str">
        <x:v>상원의원 → senator</x:v>
      </x:c>
      <x:c r="D790" s="11" t="str">
        <x:v>Đối dịch trong từ điển; không mặc nhiên là định nghĩa Việt/Hàn độc lập.</x:v>
      </x:c>
      <x:c r="E790" s="11" t="str">
        <x:v>Đối dịch trong từ điển</x:v>
      </x:c>
      <x:c r="F790" s="11" t="str">
        <x:v>en+ko</x:v>
      </x:c>
      <x:c r="G790" s="11" t="str">
        <x:v>EB146</x:v>
      </x:c>
      <x:c r="H790" s="11" t="str">
        <x:v>Cambridge English–Korean Dictionary: senator</x:v>
      </x:c>
      <x:c r="I790" s="30" t="str">
        <x:v>https://dictionary.cambridge.org/dictionary/english-korean/senator</x:v>
      </x:c>
      <x:c r="J790" s="11" t="str">
        <x:v>Đọc được cặp nhãn và bản dịch đúng nghĩa trong nguồn dẫn.
Nghĩa dùng để đối chiếu: Người là thành viên Thượng viện.</x:v>
      </x:c>
      <x:c r="K790" s="11" t="str">
        <x:v>2026-10-29 (KST)</x:v>
      </x:c>
    </x:row>
    <x:row r="791" ht="75" customHeight="1">
      <x:c r="A791" s="11" t="str">
        <x:v>C021</x:v>
      </x:c>
      <x:c r="B791" s="11" t="str">
        <x:v>KO–EN</x:v>
      </x:c>
      <x:c r="C791" s="11" t="str">
        <x:v>정당 → political party</x:v>
      </x:c>
      <x:c r="D791" s="11" t="str">
        <x:v>Không kết luận mục từ từ điển từ nguồn này.</x:v>
      </x:c>
      <x:c r="E791" s="11" t="str">
        <x:v>Đối dịch tường minh trong nguồn</x:v>
      </x:c>
      <x:c r="F791" s="11" t="str">
        <x:v>ko,en</x:v>
      </x:c>
      <x:c r="G791" s="11" t="str">
        <x:v>EB147</x:v>
      </x:c>
      <x:c r="H791" s="11" t="str">
        <x:v>KLRI – Political Parties Act, bản Hàn–Anh đối chiếu, Điều 2</x:v>
      </x:c>
      <x:c r="I791" s="30" t="str">
        <x:v>https://elaw.klri.re.kr/kor_service/lawViewMultiContent.do?hseq=17754</x:v>
      </x:c>
      <x:c r="J791" s="11" t="str">
        <x:v>Điều 2 đặt 정당 và political party trong hai bản luật; đây là phạm vi thuật ngữ của luật được dẫn, không tự xác nhận nhánh Việt.
Nghĩa dùng để đối chiếu: Tổ chức của những người có quan điểm chính trị chung, hướng tới nắm giữ quyền lực và thực hiện mục tiêu chính trị.</x:v>
      </x:c>
      <x:c r="K791" s="11" t="str">
        <x:v>2026-10-29 (KST)</x:v>
      </x:c>
    </x:row>
    <x:row r="792" ht="75" customHeight="1">
      <x:c r="A792" s="11" t="str">
        <x:v>C026</x:v>
      </x:c>
      <x:c r="B792" s="11" t="str">
        <x:v>KO–EN</x:v>
      </x:c>
      <x:c r="C792" s="11" t="str">
        <x:v>사법부 → judiciary; judicature</x:v>
      </x:c>
      <x:c r="D792" s="11" t="str">
        <x:v>Đối dịch trong từ điển; không mặc nhiên là định nghĩa Việt/Hàn độc lập.</x:v>
      </x:c>
      <x:c r="E792" s="11" t="str">
        <x:v>Đối dịch trong từ điển</x:v>
      </x:c>
      <x:c r="F792" s="11" t="str">
        <x:v>ko,en</x:v>
      </x:c>
      <x:c r="G792" s="11" t="str">
        <x:v>EB148</x:v>
      </x:c>
      <x:c r="H792" s="11" t="str">
        <x:v>National Archives Korea – thesaurus 사법부</x:v>
      </x:c>
      <x:c r="I792" s="30" t="str">
        <x:v>https://www.archives.go.kr/next/newsearch/thesaurusSearchDetail.do?match=1&amp;thesaurusId=126698&amp;thesaurusWord=%EC%82%AC%EB%B2%95%EB%B6%80</x:v>
      </x:c>
      <x:c r="J792" s="11" t="str">
        <x:v>Nguồn đối chiếu 사법부 với judiciary/judicature và xếp dưới cơ quan nhà nước; không phải 사법 là hoạt động tư pháp.
Nghĩa dùng để đối chiếu: Ngành/nhánh cơ quan tư pháp, tức hệ thống xét xử.</x:v>
      </x:c>
      <x:c r="K792" s="11" t="str">
        <x:v>2026-10-29 (KST)</x:v>
      </x:c>
    </x:row>
    <x:row r="793" ht="75" customHeight="1">
      <x:c r="A793" s="11" t="str">
        <x:v>C031</x:v>
      </x:c>
      <x:c r="B793" s="11" t="str">
        <x:v>VI–EN</x:v>
      </x:c>
      <x:c r="C793" s="11" t="str">
        <x:v>Tổng lãnh sự quán → Consulate General</x:v>
      </x:c>
      <x:c r="D793" s="11" t="str">
        <x:v>Không kết luận mục từ từ điển từ nguồn này.</x:v>
      </x:c>
      <x:c r="E793" s="11" t="str">
        <x:v>Đối dịch tường minh trong nguồn</x:v>
      </x:c>
      <x:c r="F793" s="11" t="str">
        <x:v>vi,en</x:v>
      </x:c>
      <x:c r="G793" s="11" t="str">
        <x:v>EB149</x:v>
      </x:c>
      <x:c r="H793" s="11" t="str">
        <x:v>Cục Lễ tân Nhà nước – danh bạ Anh và Bắc Ireland, tên cơ quan VI–EN</x:v>
      </x:c>
      <x:c r="I793" s="30" t="str">
        <x:v>https://stateprotocol.mofa.gov.vn/Lists/BaiViet/B%C3%A0i%20vi%E1%BA%BFt/DispForm.aspx?ID=105&amp;List=dc7c7d75-6a32-4215-afeb-47d4bee70eee</x:v>
      </x:c>
      <x:c r="J793" s="11" t="str">
        <x:v>Tên loại Tổng lãnh sự quán được đối chiếu trong danh xưng cơ quan Anh tại Việt Nam; không nhập quốc tịch của ví dụ vào nghĩa tên loại.
Nghĩa dùng để đối chiếu: Cơ quan lãnh sự thuộc loại tổng lãnh sự quán, thực hiện nhiệm vụ lãnh sự tại địa bàn được giao.</x:v>
      </x:c>
      <x:c r="K793" s="11" t="str">
        <x:v>2026-10-29 (KST)</x:v>
      </x:c>
    </x:row>
    <x:row r="794" ht="75" customHeight="1">
      <x:c r="A794" s="11" t="str">
        <x:v>C031</x:v>
      </x:c>
      <x:c r="B794" s="11" t="str">
        <x:v>KO–EN</x:v>
      </x:c>
      <x:c r="C794" s="11" t="str">
        <x:v>총영사관 → Consulate General</x:v>
      </x:c>
      <x:c r="D794" s="11" t="str">
        <x:v>Không kết luận mục từ từ điển từ nguồn này.</x:v>
      </x:c>
      <x:c r="E794" s="11" t="str">
        <x:v>Đối dịch tường minh trong nguồn</x:v>
      </x:c>
      <x:c r="F794" s="11" t="str">
        <x:v>ko,en</x:v>
      </x:c>
      <x:c r="G794" s="11" t="str">
        <x:v>EB150</x:v>
      </x:c>
      <x:c r="H794" s="11" t="str">
        <x:v>KLRI – Act on the Establishment of Diplomatic Missions Abroad, Điều 2</x:v>
      </x:c>
      <x:c r="I794" s="30" t="str">
        <x:v>https://elaw.klri.re.kr/kor_service/lawViewMultiContent.do?hseq=22041</x:v>
      </x:c>
      <x:c r="J794" s="11" t="str">
        <x:v>Bản Hàn–Anh cùng Điều 2 liệt kê tổng lãnh sự quán; xác nhận tên loại, không một cơ quan cụ thể.
Nghĩa dùng để đối chiếu: Cơ quan lãnh sự thuộc loại tổng lãnh sự quán, thực hiện nhiệm vụ lãnh sự tại địa bàn được giao.</x:v>
      </x:c>
      <x:c r="K794" s="11" t="str">
        <x:v>2026-10-29 (KST)</x:v>
      </x:c>
    </x:row>
    <x:row r="795" ht="75" customHeight="1">
      <x:c r="A795" s="11" t="str">
        <x:v>C036</x:v>
      </x:c>
      <x:c r="B795" s="11" t="str">
        <x:v>VI–EN</x:v>
      </x:c>
      <x:c r="C795" s="11" t="str">
        <x:v>Đoàn Ngoại giao → diplomatic corps</x:v>
      </x:c>
      <x:c r="D795" s="11" t="str">
        <x:v>Không kết luận mục từ từ điển từ nguồn này.</x:v>
      </x:c>
      <x:c r="E795" s="11" t="str">
        <x:v>Đối chiếu văn bản song song</x:v>
      </x:c>
      <x:c r="F795" s="11" t="str">
        <x:v>vi,en</x:v>
      </x:c>
      <x:c r="G795" s="11" t="str">
        <x:v>EB151</x:v>
      </x:c>
      <x:c r="H795" s="11" t="str">
        <x:v>ĐSQ Việt Nam tại Tanzania – bản tin VI–EN cùng trang, 25/6/2026</x:v>
      </x:c>
      <x:c r="I795" s="30" t="str">
        <x:v>https://vnembassy-daressalaam.mofa.gov.vn/tin-chi-tiet/chi-tiet/tang-cuong-hop-tac-chien-luoc-ve-giao-duc-thuong-mai-va-ha-tang-ngoai-giao-giua-viet-nam-va-tanzania-enhancing-strategic-cooperation-in-education-trade-and-diplomatic-infrastructure-between-vietnam-and-tanzania-60615-1241.html</x:v>
      </x:c>
      <x:c r="J795" s="11" t="str">
        <x:v>Câu VI về khối đoàn ngoại giao tại Dodoma khớp đoạn EN nói diplomatic corps; bằng chứng chỉ nghĩa tập thể ngoại giao tại nước tiếp nhận.
Nghĩa dùng để đối chiếu: Tập thể các nhà ngoại giao đại diện cho các nước tại cùng một nước tiếp nhận.</x:v>
      </x:c>
      <x:c r="K795" s="11" t="str">
        <x:v>2026-10-29 (KST)</x:v>
      </x:c>
    </x:row>
    <x:row r="796" ht="75" customHeight="1">
      <x:c r="A796" s="11" t="str">
        <x:v>C036</x:v>
      </x:c>
      <x:c r="B796" s="11" t="str">
        <x:v>KO–EN</x:v>
      </x:c>
      <x:c r="C796" s="11" t="str">
        <x:v>외교단 → Diplomatic Corps</x:v>
      </x:c>
      <x:c r="D796" s="11" t="str">
        <x:v>Không kết luận mục từ từ điển từ nguồn này.</x:v>
      </x:c>
      <x:c r="E796" s="11" t="str">
        <x:v>Đối dịch tường minh trong nguồn</x:v>
      </x:c>
      <x:c r="F796" s="11" t="str">
        <x:v>ko,en</x:v>
      </x:c>
      <x:c r="G796" s="11" t="str">
        <x:v>EB152</x:v>
      </x:c>
      <x:c r="H796" s="11" t="str">
        <x:v>Government Protocol Manual – bảng thuật ngữ Hàn–Anh</x:v>
      </x:c>
      <x:c r="I796" s="30" t="str">
        <x:v>https://clik.nanet.go.kr/clikr-collection/policyinfo/19/42/2015/CLIKC30800170503201213_attach_1.pdf</x:v>
      </x:c>
      <x:c r="J796" s="11" t="str">
        <x:v>Bảng thuật ngữ đặt 외교단 cạnh Diplomatic Corps. Không đồng nhất với một đoàn công tác đi dự sự kiện.
Nghĩa dùng để đối chiếu: Tập thể các đại diện ngoại giao tại nước tiếp nhận.</x:v>
      </x:c>
      <x:c r="K796" s="11" t="str">
        <x:v>2026-10-29 (KST)</x:v>
      </x:c>
    </x:row>
    <x:row r="797" ht="75" customHeight="1">
      <x:c r="A797" s="11" t="str">
        <x:v>C039</x:v>
      </x:c>
      <x:c r="B797" s="11" t="str">
        <x:v>VI–EN</x:v>
      </x:c>
      <x:c r="C797" s="11" t="str">
        <x:v>Tổ chức Thương mại thế giới → World Trade Organization</x:v>
      </x:c>
      <x:c r="D797" s="11" t="str">
        <x:v>Không kết luận mục từ từ điển từ nguồn này.</x:v>
      </x:c>
      <x:c r="E797" s="11" t="str">
        <x:v>Đối dịch tường minh trong nguồn</x:v>
      </x:c>
      <x:c r="F797" s="11" t="str">
        <x:v>vi,en</x:v>
      </x:c>
      <x:c r="G797" s="11" t="str">
        <x:v>EB153</x:v>
      </x:c>
      <x:c r="H797" s="11" t="str">
        <x:v>Bộ KH&amp;CN – Giới thiệu ngắn gọn về WTO</x:v>
      </x:c>
      <x:c r="I797" s="30" t="str">
        <x:v>https://mst.gov.vn/gioi-thieu-ngan-gon-ve-wto-197133629.htm</x:v>
      </x:c>
      <x:c r="J797" s="11" t="str">
        <x:v>Nguồn đặt tên bản ngữ và tên tiếng Anh cạnh nhau; chỉ dùng cho nghĩa/đối tượng được nêu.
Nghĩa dùng để đối chiếu: Tổ chức quốc tế quản lý hệ thống quy tắc thương mại giữa các thành viên.</x:v>
      </x:c>
      <x:c r="K797" s="11" t="str">
        <x:v>2026-10-29 (KST)</x:v>
      </x:c>
    </x:row>
    <x:row r="798" ht="75" customHeight="1">
      <x:c r="A798" s="11" t="str">
        <x:v>C039</x:v>
      </x:c>
      <x:c r="B798" s="11" t="str">
        <x:v>KO–EN</x:v>
      </x:c>
      <x:c r="C798" s="11" t="str">
        <x:v>세계무역기구 → World Trade Organization</x:v>
      </x:c>
      <x:c r="D798" s="11" t="str">
        <x:v>Không kết luận mục từ từ điển từ nguồn này.</x:v>
      </x:c>
      <x:c r="E798" s="11" t="str">
        <x:v>Đối dịch tường minh trong nguồn</x:v>
      </x:c>
      <x:c r="F798" s="11" t="str">
        <x:v>ko,en</x:v>
      </x:c>
      <x:c r="G798" s="11" t="str">
        <x:v>EB154</x:v>
      </x:c>
      <x:c r="H798" s="11" t="str">
        <x:v>MOFA Korea – danh mục tên song ngữ các tổ chức quốc tế</x:v>
      </x:c>
      <x:c r="I798" s="30" t="str">
        <x:v>https://unrecruit.mofa.go.kr/new/vacancy/gigu_vacancy.jsp</x:v>
      </x:c>
      <x:c r="J798" s="11" t="str">
        <x:v>Nguồn đặt tên bản ngữ và tên tiếng Anh cạnh nhau; chỉ dùng cho nghĩa/đối tượng được nêu.
Nghĩa dùng để đối chiếu: Tổ chức quốc tế quản lý hệ thống quy tắc thương mại giữa các thành viên.</x:v>
      </x:c>
      <x:c r="K798" s="11" t="str">
        <x:v>2026-10-29 (KST)</x:v>
      </x:c>
    </x:row>
    <x:row r="799" ht="75" customHeight="1">
      <x:c r="A799" s="11" t="str">
        <x:v>C040</x:v>
      </x:c>
      <x:c r="B799" s="11" t="str">
        <x:v>VI–EN</x:v>
      </x:c>
      <x:c r="C799" s="11" t="str">
        <x:v>Tổ chức Y tế thế giới → World Health Organization</x:v>
      </x:c>
      <x:c r="D799" s="11" t="str">
        <x:v>Không kết luận mục từ từ điển từ nguồn này.</x:v>
      </x:c>
      <x:c r="E799" s="11" t="str">
        <x:v>Đối chiếu văn bản song song</x:v>
      </x:c>
      <x:c r="F799" s="11" t="str">
        <x:v>vi</x:v>
      </x:c>
      <x:c r="G799" s="11" t="str">
        <x:v>EB155</x:v>
      </x:c>
      <x:c r="H799" s="11" t="str">
        <x:v>WHO – Giới thiệu về WHO tại Việt Nam</x:v>
      </x:c>
      <x:c r="I799" s="30" t="str">
        <x:v>https://www.who.int/vietnam/vi/about/</x:v>
      </x:c>
      <x:c r="J799" s="11" t="str">
        <x:v>Đối chiếu mục giới thiệu bản VI và EN của chính WHO; cùng tổ chức, không chỉ suy từ chữ viết tắt.
Nghĩa dùng để đối chiếu: Cơ quan chuyên môn của Liên hợp quốc phụ trách hợp tác và điều phối y tế quốc tế.</x:v>
      </x:c>
      <x:c r="K799" s="11" t="str">
        <x:v>2026-10-29 (KST)</x:v>
      </x:c>
    </x:row>
    <x:row r="800" ht="75" customHeight="1">
      <x:c r="A800" s="11" t="str">
        <x:v>C040</x:v>
      </x:c>
      <x:c r="B800" s="11" t="str">
        <x:v>KO–EN</x:v>
      </x:c>
      <x:c r="C800" s="11" t="str">
        <x:v>세계보건기구 → World Health Organization</x:v>
      </x:c>
      <x:c r="D800" s="11" t="str">
        <x:v>Không kết luận mục từ từ điển từ nguồn này.</x:v>
      </x:c>
      <x:c r="E800" s="11" t="str">
        <x:v>Đối dịch tường minh trong nguồn</x:v>
      </x:c>
      <x:c r="F800" s="11" t="str">
        <x:v>ko,en</x:v>
      </x:c>
      <x:c r="G800" s="11" t="str">
        <x:v>EB156</x:v>
      </x:c>
      <x:c r="H800" s="11" t="str">
        <x:v>MOFA Korea – danh mục tên song ngữ các tổ chức quốc tế</x:v>
      </x:c>
      <x:c r="I800" s="30" t="str">
        <x:v>https://unrecruit.mofa.go.kr/new/vacancy/gigu_vacancy.jsp</x:v>
      </x:c>
      <x:c r="J800" s="11" t="str">
        <x:v>Nguồn đặt tên bản ngữ và tên tiếng Anh cạnh nhau; chỉ dùng cho nghĩa/đối tượng được nêu.
Nghĩa dùng để đối chiếu: Cơ quan chuyên môn của Liên hợp quốc phụ trách hợp tác và điều phối y tế quốc tế.</x:v>
      </x:c>
      <x:c r="K800" s="11" t="str">
        <x:v>2026-10-29 (KST)</x:v>
      </x:c>
    </x:row>
    <x:row r="801" ht="75" customHeight="1">
      <x:c r="A801" s="11" t="str">
        <x:v>C044</x:v>
      </x:c>
      <x:c r="B801" s="11" t="str">
        <x:v>VI–EN</x:v>
      </x:c>
      <x:c r="C801" s="11" t="str">
        <x:v>Cơ quan quyền lực đáy đại dương → International Seabed Authority</x:v>
      </x:c>
      <x:c r="D801" s="11" t="str">
        <x:v>Không kết luận mục từ từ điển từ nguồn này.</x:v>
      </x:c>
      <x:c r="E801" s="11" t="str">
        <x:v>Đối dịch tường minh trong nguồn</x:v>
      </x:c>
      <x:c r="F801" s="11" t="str">
        <x:v>vi,en</x:v>
      </x:c>
      <x:c r="G801" s="11" t="str">
        <x:v>EB157</x:v>
      </x:c>
      <x:c r="H801" s="11" t="str">
        <x:v>VAST – Việt Nam trúng cử vào Ủy ban Pháp lý và Kỹ thuật ISA</x:v>
      </x:c>
      <x:c r="I801" s="30" t="str">
        <x:v>https://vast.gov.vn/tin-chi-tiet/-/chi-tiet/viet-nam-trung-cu-vao-uy-ban-phap-ly-va-ky-thuat-co-quan-quyen-luc-quoc-te-%C4%91ay-%C4%91ai-duong-51958-403.html</x:v>
      </x:c>
      <x:c r="J801" s="11" t="str">
        <x:v>Nguồn có dạng đầy đủ Cơ quan quyền lực quốc tế đáy đại dương; đầu vào lược quốc tế, nên phải xác nhận cùng ISA.
Nghĩa dùng để đối chiếu: Tổ chức quốc tế điều phối và kiểm soát hoạt động khoáng sản tại đáy biển ngoài quyền tài phán quốc gia.</x:v>
      </x:c>
      <x:c r="K801" s="11" t="str">
        <x:v>2026-10-29 (KST)</x:v>
      </x:c>
    </x:row>
    <x:row r="802" ht="75" customHeight="1">
      <x:c r="A802" s="11" t="str">
        <x:v>C044</x:v>
      </x:c>
      <x:c r="B802" s="11" t="str">
        <x:v>KO–EN</x:v>
      </x:c>
      <x:c r="C802" s="11" t="str">
        <x:v>국제해저기구 → International Sea-bed Authority</x:v>
      </x:c>
      <x:c r="D802" s="11" t="str">
        <x:v>Không kết luận mục từ từ điển từ nguồn này.</x:v>
      </x:c>
      <x:c r="E802" s="11" t="str">
        <x:v>Đối dịch tường minh trong nguồn</x:v>
      </x:c>
      <x:c r="F802" s="11" t="str">
        <x:v>ko,en</x:v>
      </x:c>
      <x:c r="G802" s="11" t="str">
        <x:v>EB158</x:v>
      </x:c>
      <x:c r="H802" s="11" t="str">
        <x:v>MOFA Korea – 국제해저기구(ISA) 제30차 이사회</x:v>
      </x:c>
      <x:c r="I802" s="30" t="str">
        <x:v>https://www.mofa.go.kr/www/brd/m_3828/view.do?page=2&amp;seq=367484</x:v>
      </x:c>
      <x:c r="J802" s="11" t="str">
        <x:v>Nguồn đặt tên bản ngữ và tên tiếng Anh cạnh nhau; chỉ dùng cho nghĩa/đối tượng được nêu.
Nghĩa dùng để đối chiếu: Tổ chức quốc tế điều phối và kiểm soát hoạt động khoáng sản tại đáy biển ngoài quyền tài phán quốc gia.</x:v>
      </x:c>
      <x:c r="K802" s="11" t="str">
        <x:v>2026-10-29 (KST)</x:v>
      </x:c>
    </x:row>
    <x:row r="803" ht="75" customHeight="1">
      <x:c r="A803" s="11" t="str">
        <x:v>C047</x:v>
      </x:c>
      <x:c r="B803" s="11" t="str">
        <x:v>VI–EN</x:v>
      </x:c>
      <x:c r="C803" s="11" t="str">
        <x:v>Tổ chức Hợp tác Thượng Hải → Shanghai Cooperation Organization</x:v>
      </x:c>
      <x:c r="D803" s="11" t="str">
        <x:v>Không kết luận mục từ từ điển từ nguồn này.</x:v>
      </x:c>
      <x:c r="E803" s="11" t="str">
        <x:v>Đối dịch tường minh trong nguồn</x:v>
      </x:c>
      <x:c r="F803" s="11" t="str">
        <x:v>vi,en</x:v>
      </x:c>
      <x:c r="G803" s="11" t="str">
        <x:v>EB159</x:v>
      </x:c>
      <x:c r="H803" s="11" t="str">
        <x:v>Cục Thông tin, Thống kê – nhan đề sách gốc và nhan đề dịch về SCO</x:v>
      </x:c>
      <x:c r="I803" s="30" t="str">
        <x:v>https://www.vista.gov.vn/vi/newbook/sach-moi/mining-development-report-of-the-shanghai-cooperation-organization-sco-member-countries-2023-3940.html</x:v>
      </x:c>
      <x:c r="J803" s="11" t="str">
        <x:v>Cơ quan nhà nước đưa nhan đề tiếng Anh và nhan đề dịch Việt cạnh nhau; phần tên tổ chức được căn chỉnh trong nhan đề.
Nghĩa dùng để đối chiếu: Tổ chức liên chính phủ thường trực mang tên Hợp tác Thượng Hải, thúc đẩy hợp tác giữa các thành viên.</x:v>
      </x:c>
      <x:c r="K803" s="11" t="str">
        <x:v>2026-10-29 (KST)</x:v>
      </x:c>
    </x:row>
    <x:row r="804" ht="75" customHeight="1">
      <x:c r="A804" s="11" t="str">
        <x:v>C047</x:v>
      </x:c>
      <x:c r="B804" s="11" t="str">
        <x:v>KO–EN</x:v>
      </x:c>
      <x:c r="C804" s="11" t="str">
        <x:v>상하이협력기구 → Shanghai Cooperation Organization</x:v>
      </x:c>
      <x:c r="D804" s="11" t="str">
        <x:v>Không kết luận mục từ từ điển từ nguồn này.</x:v>
      </x:c>
      <x:c r="E804" s="11" t="str">
        <x:v>Đối dịch tường minh trong nguồn</x:v>
      </x:c>
      <x:c r="F804" s="11" t="str">
        <x:v>ko,en</x:v>
      </x:c>
      <x:c r="G804" s="11" t="str">
        <x:v>EB160</x:v>
      </x:c>
      <x:c r="H804" s="11" t="str">
        <x:v>KOTRA – 2025 상하이협력기구 정상회의</x:v>
      </x:c>
      <x:c r="I804" s="30" t="str">
        <x:v>https://dream.kotra.or.kr/kotranews/cms/news/actionKotraBoardDetail.do?CONTENTS_NO=2&amp;MENU_ID=80&amp;SITE_NO=3&amp;bbsGbn=242&amp;bbsSn=242&amp;pNttSn=233519</x:v>
      </x:c>
      <x:c r="J804" s="11" t="str">
        <x:v>Nguồn đặt tên bản ngữ và tên tiếng Anh cạnh nhau; chỉ dùng cho nghĩa/đối tượng được nêu.
Nghĩa dùng để đối chiếu: Tổ chức liên chính phủ thường trực mang tên Hợp tác Thượng Hải, thúc đẩy hợp tác giữa các thành viên.</x:v>
      </x:c>
      <x:c r="K804" s="11" t="str">
        <x:v>2026-10-29 (KST)</x:v>
      </x:c>
    </x:row>
    <x:row r="805" ht="75" customHeight="1">
      <x:c r="A805" s="11" t="str">
        <x:v>C048</x:v>
      </x:c>
      <x:c r="B805" s="11" t="str">
        <x:v>VI–EN</x:v>
      </x:c>
      <x:c r="C805" s="11" t="str">
        <x:v>Nghị viện châu Âu → European Parliament</x:v>
      </x:c>
      <x:c r="D805" s="11" t="str">
        <x:v>Không kết luận mục từ từ điển từ nguồn này.</x:v>
      </x:c>
      <x:c r="E805" s="11" t="str">
        <x:v>Đối dịch tường minh trong nguồn</x:v>
      </x:c>
      <x:c r="F805" s="11" t="str">
        <x:v>vi,en</x:v>
      </x:c>
      <x:c r="G805" s="11" t="str">
        <x:v>EB161</x:v>
      </x:c>
      <x:c r="H805" s="11" t="str">
        <x:v>Thông tấn xã Việt Nam – cơ cấu tổ chức EU, mục Nghị viện châu Âu</x:v>
      </x:c>
      <x:c r="I805" s="30" t="str">
        <x:v>https://nvsk.vnanet.vn/print/ii-co-cau-to-chuc-32404.vna</x:v>
      </x:c>
      <x:c r="J805" s="11" t="str">
        <x:v>Nguồn đặt tên bản ngữ và tên tiếng Anh cạnh nhau; chỉ dùng cho nghĩa/đối tượng được nêu.
Nghĩa dùng để đối chiếu: Cơ quan của Liên minh châu Âu do cử tri trực tiếp bầu, thực hiện chức năng lập pháp, giám sát và ngân sách.</x:v>
      </x:c>
      <x:c r="K805" s="11" t="str">
        <x:v>2026-10-29 (KST)</x:v>
      </x:c>
    </x:row>
    <x:row r="806" ht="75" customHeight="1">
      <x:c r="A806" s="11" t="str">
        <x:v>C048</x:v>
      </x:c>
      <x:c r="B806" s="11" t="str">
        <x:v>KO–EN</x:v>
      </x:c>
      <x:c r="C806" s="11" t="str">
        <x:v>유럽의회 → European Parliament</x:v>
      </x:c>
      <x:c r="D806" s="11" t="str">
        <x:v>Không kết luận mục từ từ điển từ nguồn này.</x:v>
      </x:c>
      <x:c r="E806" s="11" t="str">
        <x:v>Đối dịch tường minh trong nguồn</x:v>
      </x:c>
      <x:c r="F806" s="11" t="str">
        <x:v>ko,en</x:v>
      </x:c>
      <x:c r="G806" s="11" t="str">
        <x:v>EB162</x:v>
      </x:c>
      <x:c r="H806" s="11" t="str">
        <x:v>Đại sứ quán Hàn Quốc tại Bỉ/EU – EU 주요기구</x:v>
      </x:c>
      <x:c r="I806" s="30" t="str">
        <x:v>https://be.mofa.go.kr/be-ko/wpge/m_25612/contents.do</x:v>
      </x:c>
      <x:c r="J806" s="11" t="str">
        <x:v>Nguồn đặt tên bản ngữ và tên tiếng Anh cạnh nhau; chỉ dùng cho nghĩa/đối tượng được nêu.
Nghĩa dùng để đối chiếu: Cơ quan của Liên minh châu Âu do cử tri trực tiếp bầu, thực hiện chức năng lập pháp, giám sát và ngân sách.</x:v>
      </x:c>
      <x:c r="K806" s="11" t="str">
        <x:v>2026-10-29 (KST)</x:v>
      </x:c>
    </x:row>
    <x:row r="807" ht="75" customHeight="1">
      <x:c r="A807" s="11" t="str">
        <x:v>C049</x:v>
      </x:c>
      <x:c r="B807" s="11" t="str">
        <x:v>VI–EN</x:v>
      </x:c>
      <x:c r="C807" s="11" t="str">
        <x:v>Chương trình phát triển Liên hợp quốc → United Nations Development Programme</x:v>
      </x:c>
      <x:c r="D807" s="11" t="str">
        <x:v>Không kết luận mục từ từ điển từ nguồn này.</x:v>
      </x:c>
      <x:c r="E807" s="11" t="str">
        <x:v>Đối chiếu văn bản song song</x:v>
      </x:c>
      <x:c r="F807" s="11" t="str">
        <x:v>vi,en</x:v>
      </x:c>
      <x:c r="G807" s="11" t="str">
        <x:v>EB163</x:v>
      </x:c>
      <x:c r="H807" s="11" t="str">
        <x:v>UNDP – UNDP tại Việt Nam</x:v>
      </x:c>
      <x:c r="I807" s="30" t="str">
        <x:v>https://www.undp.org/vi/vietnam/undp-tai-viet-nam</x:v>
      </x:c>
      <x:c r="J807" s="11" t="str">
        <x:v>Trang VI của chính UNDP nêu tên Việt; title giữ tên Anh; bản EN liên kết trang VI cùng mục giới thiệu.
Nghĩa dùng để đối chiếu: Tổ chức thuộc Liên hợp quốc thực hiện hoạt động phát triển quốc tế và hỗ trợ phát triển bền vững.</x:v>
      </x:c>
      <x:c r="K807" s="11" t="str">
        <x:v>2026-10-29 (KST)</x:v>
      </x:c>
    </x:row>
    <x:row r="808" ht="75" customHeight="1">
      <x:c r="A808" s="11" t="str">
        <x:v>C049</x:v>
      </x:c>
      <x:c r="B808" s="11" t="str">
        <x:v>KO–EN</x:v>
      </x:c>
      <x:c r="C808" s="11" t="str">
        <x:v>유엔개발계획 → United Nations Development Programme</x:v>
      </x:c>
      <x:c r="D808" s="11" t="str">
        <x:v>Không kết luận mục từ từ điển từ nguồn này.</x:v>
      </x:c>
      <x:c r="E808" s="11" t="str">
        <x:v>Đối dịch tường minh trong nguồn</x:v>
      </x:c>
      <x:c r="F808" s="11" t="str">
        <x:v>ko,en</x:v>
      </x:c>
      <x:c r="G808" s="11" t="str">
        <x:v>EB164</x:v>
      </x:c>
      <x:c r="H808" s="11" t="str">
        <x:v>MOFA Korea – danh mục tên song ngữ các tổ chức quốc tế</x:v>
      </x:c>
      <x:c r="I808" s="30" t="str">
        <x:v>https://unrecruit.mofa.go.kr/new/vacancy/gigu_vacancy.jsp</x:v>
      </x:c>
      <x:c r="J808" s="11" t="str">
        <x:v>Nguồn đặt tên bản ngữ và tên tiếng Anh cạnh nhau; chỉ dùng cho nghĩa/đối tượng được nêu.
Nghĩa dùng để đối chiếu: Tổ chức thuộc Liên hợp quốc thực hiện hoạt động phát triển quốc tế và hỗ trợ phát triển bền vững.</x:v>
      </x:c>
      <x:c r="K808" s="11" t="str">
        <x:v>2026-10-29 (KST)</x:v>
      </x:c>
    </x:row>
    <x:row r="809" ht="75" customHeight="1">
      <x:c r="A809" s="11" t="str">
        <x:v>C056</x:v>
      </x:c>
      <x:c r="B809" s="11" t="str">
        <x:v>KO–EN</x:v>
      </x:c>
      <x:c r="C809" s="11" t="str">
        <x:v>입법기관 → legislative organ; the legislature</x:v>
      </x:c>
      <x:c r="D809" s="11" t="str">
        <x:v>Đối dịch trong từ điển; không mặc nhiên là định nghĩa Việt/Hàn độc lập.</x:v>
      </x:c>
      <x:c r="E809" s="11" t="str">
        <x:v>Đối dịch trong từ điển</x:v>
      </x:c>
      <x:c r="F809" s="11" t="str">
        <x:v>ko,en</x:v>
      </x:c>
      <x:c r="G809" s="11" t="str">
        <x:v>EB165</x:v>
      </x:c>
      <x:c r="H809" s="11" t="str">
        <x:v>NIKL Korean–English Learners Dictionary – 입법 기관</x:v>
      </x:c>
      <x:c r="I809" s="30" t="str">
        <x:v>https://krdict.korean.go.kr/m/eng/searchResult?ParaWordNo=83521&amp;currentPage=9&amp;exaType=&amp;font_size=12&amp;mainSearchWord=%EC%9E%85&amp;nation=eng&amp;nationCode=6&amp;proverbType=&amp;searchType=W&amp;sort=W&amp;viewType=A&amp;wordMatchFlag=N</x:v>
      </x:c>
      <x:c r="J809" s="11" t="str">
        <x:v>Đúng mục 입법 기관; nguồn cho hai đối ứng. Chưa có nguồn Việt–Anh độc lập cho toàn cụm trong lượt này.
Nghĩa dùng để đối chiếu: Cơ quan nhà nước có chức năng xây dựng và ban hành luật.</x:v>
      </x:c>
      <x:c r="K809" s="11" t="str">
        <x:v>2026-10-29 (KST)</x:v>
      </x:c>
    </x:row>
    <x:row r="810" ht="75" customHeight="1">
      <x:c r="A810" s="11" t="str">
        <x:v>C063</x:v>
      </x:c>
      <x:c r="B810" s="11" t="str">
        <x:v>KO–EN</x:v>
      </x:c>
      <x:c r="C810" s="11" t="str">
        <x:v>관할권 → jurisdiction</x:v>
      </x:c>
      <x:c r="D810" s="11" t="str">
        <x:v>Đối dịch trong từ điển; không mặc nhiên là định nghĩa Việt/Hàn độc lập.</x:v>
      </x:c>
      <x:c r="E810" s="11" t="str">
        <x:v>Đối dịch trong từ điển</x:v>
      </x:c>
      <x:c r="F810" s="11" t="str">
        <x:v>en-ko</x:v>
      </x:c>
      <x:c r="G810" s="11" t="str">
        <x:v>EB166</x:v>
      </x:c>
      <x:c r="H810" s="11" t="str">
        <x:v>Collins English–Korean Dictionary: jurisdiction</x:v>
      </x:c>
      <x:c r="I810" s="30" t="str">
        <x:v>https://www.collinsdictionary.com/dictionary/english-korean/jurisdiction</x:v>
      </x:c>
      <x:c r="J810" s="11" t="str">
        <x:v>Mục từ nghĩa không đếm được ghi 관할권; nghĩa khu vực pháp lý khác được tách riêng.
Nghĩa dùng để đối chiếu: Quyền của tòa án hoặc cơ quan/công chức có thẩm quyền áp dụng, thực thi pháp luật.</x:v>
      </x:c>
      <x:c r="K810" s="11" t="str">
        <x:v>2026-10-29 (KST)</x:v>
      </x:c>
    </x:row>
    <x:row r="811" ht="75" customHeight="1">
      <x:c r="A811" s="11" t="str">
        <x:v>C068</x:v>
      </x:c>
      <x:c r="B811" s="11" t="str">
        <x:v>VI–EN</x:v>
      </x:c>
      <x:c r="C811" s="11" t="str">
        <x:v>an ninh phi truyền thống → non-traditional security</x:v>
      </x:c>
      <x:c r="D811" s="11" t="str">
        <x:v>Không kết luận mục từ từ điển từ nguồn này.</x:v>
      </x:c>
      <x:c r="E811" s="11" t="str">
        <x:v>Đối dịch tường minh trong nguồn</x:v>
      </x:c>
      <x:c r="F811" s="11" t="str">
        <x:v>vi-en</x:v>
      </x:c>
      <x:c r="G811" s="11" t="str">
        <x:v>EB167</x:v>
      </x:c>
      <x:c r="H811" s="11" t="str">
        <x:v>Học viện Chính trị Công an nhân dân: Phòng ngừa, ứng phó với các nguy cơ, thách thức, mối đe dọa an ninh phi truyền thống</x:v>
      </x:c>
      <x:c r="I811" s="30" t="str">
        <x:v>https://hvctcand.bocongan.gov.vn/phong-ngua-ung-pho-voi-cac-nguy-co-thach-thuc-moi-de-doa-an-ninh-phi-truyen-thong-phuc-vu-phat-trien-ben-vung-1771</x:v>
      </x:c>
      <x:c r="J811" s="11" t="str">
        <x:v>Nguồn ghi toàn thuật ngữ Việt kèm non-traditional security và nêu phạm vi khái niệm.
Nghĩa dùng để đối chiếu: Phạm vi an ninh liên quan các đe dọa chủ yếu phi quân sự.</x:v>
      </x:c>
      <x:c r="K811" s="11" t="str">
        <x:v>2026-10-29 (KST)</x:v>
      </x:c>
    </x:row>
    <x:row r="812" ht="75" customHeight="1">
      <x:c r="A812" s="11" t="str">
        <x:v>C068</x:v>
      </x:c>
      <x:c r="B812" s="11" t="str">
        <x:v>KO–EN</x:v>
      </x:c>
      <x:c r="C812" s="11" t="str">
        <x:v>비전통안보 → non-traditional security</x:v>
      </x:c>
      <x:c r="D812" s="11" t="str">
        <x:v>Không kết luận mục từ từ điển từ nguồn này.</x:v>
      </x:c>
      <x:c r="E812" s="11" t="str">
        <x:v>Đối chiếu văn bản song song</x:v>
      </x:c>
      <x:c r="F812" s="11" t="str">
        <x:v>ko-en</x:v>
      </x:c>
      <x:c r="G812" s="11" t="str">
        <x:v>EB168</x:v>
      </x:c>
      <x:c r="H812" s="11" t="str">
        <x:v>Đại sứ quán Hàn Quốc tại Indonesia: Tuyên bố chung về quan hệ đối tác chiến lược toàn diện đặc biệt, mục 7</x:v>
      </x:c>
      <x:c r="I812" s="30" t="str">
        <x:v>https://overseas.mofa.go.kr/id-ko/brd/m_2865/view.do?seq=1343973</x:v>
      </x:c>
      <x:c r="J812" s="11" t="str">
        <x:v>Mục 7 có bản Hàn 비전통안보 và bản Anh non-traditional security; văn bản song song đọc được trong chỉ mục.
Nghĩa dùng để đối chiếu: Các vấn đề an ninh phi truyền thống như chống khủng bố, tội phạm xuyên quốc gia, an ninh biển, thiên tai.</x:v>
      </x:c>
      <x:c r="K812" s="11" t="str">
        <x:v>2026-10-29 (KST)</x:v>
      </x:c>
    </x:row>
    <x:row r="813" ht="75" customHeight="1">
      <x:c r="A813" s="11" t="str">
        <x:v>C069</x:v>
      </x:c>
      <x:c r="B813" s="11" t="str">
        <x:v>KO–EN</x:v>
      </x:c>
      <x:c r="C813" s="11" t="str">
        <x:v>해양 안보 → maritime security</x:v>
      </x:c>
      <x:c r="D813" s="11" t="str">
        <x:v>Không kết luận mục từ từ điển từ nguồn này.</x:v>
      </x:c>
      <x:c r="E813" s="11" t="str">
        <x:v>Đối chiếu văn bản song song</x:v>
      </x:c>
      <x:c r="F813" s="11" t="str">
        <x:v>ko-en</x:v>
      </x:c>
      <x:c r="G813" s="11" t="str">
        <x:v>EB169</x:v>
      </x:c>
      <x:c r="H813" s="11" t="str">
        <x:v>Đại sứ quán Hàn Quốc tại Indonesia: Tuyên bố chung, mục 7</x:v>
      </x:c>
      <x:c r="I813" s="30" t="str">
        <x:v>https://overseas.mofa.go.kr/id-ko/brd/m_2865/view.do?seq=1343973</x:v>
      </x:c>
      <x:c r="J813" s="11" t="str">
        <x:v>Đoạn song song tách 해양 안보 및 안전 và maritime security and safety, nên không nhập hai khái niệm an ninh/an toàn.
Nghĩa dùng để đối chiếu: An ninh trên biển trong hợp tác liên quốc gia.</x:v>
      </x:c>
      <x:c r="K813" s="11" t="str">
        <x:v>2026-10-29 (KST)</x:v>
      </x:c>
    </x:row>
    <x:row r="814" ht="75" customHeight="1">
      <x:c r="A814" s="11" t="str">
        <x:v>C070</x:v>
      </x:c>
      <x:c r="B814" s="11" t="str">
        <x:v>VI–EN</x:v>
      </x:c>
      <x:c r="C814" s="11" t="str">
        <x:v>an ninh lương thực → food security</x:v>
      </x:c>
      <x:c r="D814" s="11" t="str">
        <x:v>Không kết luận mục từ từ điển từ nguồn này.</x:v>
      </x:c>
      <x:c r="E814" s="11" t="str">
        <x:v>Đối dịch tường minh trong nguồn</x:v>
      </x:c>
      <x:c r="F814" s="11" t="str">
        <x:v>vi-en</x:v>
      </x:c>
      <x:c r="G814" s="11" t="str">
        <x:v>EB170</x:v>
      </x:c>
      <x:c r="H814" s="11" t="str">
        <x:v>Bộ Công Thương: Bộ trưởng Nguyễn Hồng Diên làm việc với Chủ tịch Phòng Thương mại và Công nghiệp Indonesia</x:v>
      </x:c>
      <x:c r="I814" s="30" t="str">
        <x:v>https://moit.gov.vn/tin-tuc/hoat-dong/bo-truong-nguyen-hong-dien-tiep-va-lam-viec-voi-chu-tich-phong-thuong-mai-va-cong-nghiep-indonesia.html</x:v>
      </x:c>
      <x:c r="J814" s="11" t="str">
        <x:v>Nguồn ghi An ninh lương thực (Food Security).
Nghĩa dùng để đối chiếu: Bảo đảm nguồn lương thực, thực phẩm và chuỗi cung ứng.</x:v>
      </x:c>
      <x:c r="K814" s="11" t="str">
        <x:v>2026-10-29 (KST)</x:v>
      </x:c>
    </x:row>
    <x:row r="815" ht="75" customHeight="1">
      <x:c r="A815" s="11" t="str">
        <x:v>C070</x:v>
      </x:c>
      <x:c r="B815" s="11" t="str">
        <x:v>KO–EN</x:v>
      </x:c>
      <x:c r="C815" s="11" t="str">
        <x:v>식량안보 → food security</x:v>
      </x:c>
      <x:c r="D815" s="11" t="str">
        <x:v>Không kết luận mục từ từ điển từ nguồn này.</x:v>
      </x:c>
      <x:c r="E815" s="11" t="str">
        <x:v>Đối dịch tường minh trong nguồn</x:v>
      </x:c>
      <x:c r="F815" s="11" t="str">
        <x:v>ko-en</x:v>
      </x:c>
      <x:c r="G815" s="11" t="str">
        <x:v>EB171</x:v>
      </x:c>
      <x:c r="H815" s="11" t="str">
        <x:v>Bộ Nông nghiệp, Thực phẩm và Nông thôn Hàn Quốc: hợp tác công tư bảo đảm 식량안보</x:v>
      </x:c>
      <x:c r="I815" s="30" t="str">
        <x:v>https://www.mafra.go.kr/bbs/mafra/68/330744/artclView.do</x:v>
      </x:c>
      <x:c r="J815" s="11" t="str">
        <x:v>Nguồn ghi trực tiếp 식량안보(Food security), cùng ngữ cảnh bảo đảm nguồn cung.
Nghĩa dùng để đối chiếu: Bảo đảm nguồn cung thực phẩm, ngũ cốc trước gián đoạn.</x:v>
      </x:c>
      <x:c r="K815" s="11" t="str">
        <x:v>2026-10-29 (KST)</x:v>
      </x:c>
    </x:row>
    <x:row r="816" ht="75" customHeight="1">
      <x:c r="A816" s="11" t="str">
        <x:v>C071</x:v>
      </x:c>
      <x:c r="B816" s="11" t="str">
        <x:v>KO–EN</x:v>
      </x:c>
      <x:c r="C816" s="11" t="str">
        <x:v>경제안보 → economic security</x:v>
      </x:c>
      <x:c r="D816" s="11" t="str">
        <x:v>Không kết luận mục từ từ điển từ nguồn này.</x:v>
      </x:c>
      <x:c r="E816" s="11" t="str">
        <x:v>Đối dịch tường minh trong nguồn</x:v>
      </x:c>
      <x:c r="F816" s="11" t="str">
        <x:v>ko-en</x:v>
      </x:c>
      <x:c r="G816" s="11" t="str">
        <x:v>EB172</x:v>
      </x:c>
      <x:c r="H816" s="11" t="str">
        <x:v>Bộ Ngoại giao Hàn Quốc: danh mục 경제안보 Review / Economic Security Review</x:v>
      </x:c>
      <x:c r="I816" s="30" t="str">
        <x:v>https://www.mofa.go.kr/www/brd/m_26799/list.do?company_cd=&amp;company_nm=&amp;itm_seq_1=0&amp;itm_seq_2=0&amp;multi_itm_seq=0&amp;page=1&amp;srchFr=&amp;srchTo=&amp;srchTp=&amp;srchWord=</x:v>
      </x:c>
      <x:c r="J816" s="11" t="str">
        <x:v>Tên ấn phẩm Hàn và tên bản Anh ghi trực tiếp 경제안보 Review / Economic Security Review; chỉ chứng minh nhãn, không toàn định nghĩa luật.
Nghĩa dùng để đối chiếu: Phạm vi an ninh kinh tế trong ngoại giao, chuỗi cung ứng.</x:v>
      </x:c>
      <x:c r="K816" s="11" t="str">
        <x:v>2026-10-29 (KST)</x:v>
      </x:c>
    </x:row>
    <x:row r="817" ht="75" customHeight="1">
      <x:c r="A817" s="11" t="str">
        <x:v>C072</x:v>
      </x:c>
      <x:c r="B817" s="11" t="str">
        <x:v>VI–EN</x:v>
      </x:c>
      <x:c r="C817" s="11" t="str">
        <x:v>an ninh năng lượng → energy security</x:v>
      </x:c>
      <x:c r="D817" s="11" t="str">
        <x:v>Không kết luận mục từ từ điển từ nguồn này.</x:v>
      </x:c>
      <x:c r="E817" s="11" t="str">
        <x:v>Đối chiếu văn bản song song</x:v>
      </x:c>
      <x:c r="F817" s="11" t="str">
        <x:v>vi-en</x:v>
      </x:c>
      <x:c r="G817" s="11" t="str">
        <x:v>EB173</x:v>
      </x:c>
      <x:c r="H817" s="11" t="str">
        <x:v>Tạp chí Ngân hàng: Nghiên cứu ảnh hưởng của an ninh năng lượng, biến động giá xăng dầu tới lạm phát ở Việt Nam</x:v>
      </x:c>
      <x:c r="I817" s="30" t="str">
        <x:v>https://tapchinganhang.gov.vn/nghien-cuu-anh-huong-cua-an-ninh-nang-luong-bien-dong-gia-xang-dau-toi-lam-phat-o-viet-nam-17117.html</x:v>
      </x:c>
      <x:c r="J817" s="11" t="str">
        <x:v>Bài nghiên cứu gốc có tóm tắt Việt và Abstract Anh dùng energy security tương ứng an ninh năng lượng.
Nghĩa dùng để đối chiếu: Khả năng bảo đảm năng lượng trong quan hệ với giá cả và ổn định kinh tế.</x:v>
      </x:c>
      <x:c r="K817" s="11" t="str">
        <x:v>2026-10-29 (KST)</x:v>
      </x:c>
    </x:row>
    <x:row r="818" ht="75" customHeight="1">
      <x:c r="A818" s="11" t="str">
        <x:v>C072</x:v>
      </x:c>
      <x:c r="B818" s="11" t="str">
        <x:v>KO–EN</x:v>
      </x:c>
      <x:c r="C818" s="11" t="str">
        <x:v>에너지 안보 → energy security</x:v>
      </x:c>
      <x:c r="D818" s="11" t="str">
        <x:v>Không kết luận mục từ từ điển từ nguồn này.</x:v>
      </x:c>
      <x:c r="E818" s="11" t="str">
        <x:v>Đối dịch tường minh trong nguồn</x:v>
      </x:c>
      <x:c r="F818" s="11" t="str">
        <x:v>ko-en</x:v>
      </x:c>
      <x:c r="G818" s="11" t="str">
        <x:v>EB174</x:v>
      </x:c>
      <x:c r="H818" s="11" t="str">
        <x:v>Bộ Ngoại giao Hàn Quốc: 제5차 한국-OECD 공동세미나 개최</x:v>
      </x:c>
      <x:c r="I818" s="30" t="str">
        <x:v>https://www.mofa.go.kr/www/brd/m_4080/view.do?page=404&amp;pitem=50&amp;seq=291143</x:v>
      </x:c>
      <x:c r="J818" s="11" t="str">
        <x:v>Chủ đề hội thảo ghi 에너지 안보 위기 / Energy Security Crisis, toàn phần định danh an ninh năng lượng hiển thị rõ.
Nghĩa dùng để đối chiếu: Bảo đảm nguồn cung năng lượng và khả năng ứng phó khủng hoảng năng lượng.</x:v>
      </x:c>
      <x:c r="K818" s="11" t="str">
        <x:v>2026-10-29 (KST)</x:v>
      </x:c>
    </x:row>
    <x:row r="819" ht="75" customHeight="1">
      <x:c r="A819" s="11" t="str">
        <x:v>C073</x:v>
      </x:c>
      <x:c r="B819" s="11" t="str">
        <x:v>VI–EN</x:v>
      </x:c>
      <x:c r="C819" s="11" t="str">
        <x:v>an ninh mạng → cybersecurity</x:v>
      </x:c>
      <x:c r="D819" s="11" t="str">
        <x:v>Không kết luận mục từ từ điển từ nguồn này.</x:v>
      </x:c>
      <x:c r="E819" s="11" t="str">
        <x:v>Đối dịch tường minh trong nguồn</x:v>
      </x:c>
      <x:c r="F819" s="11" t="str">
        <x:v>vi-en</x:v>
      </x:c>
      <x:c r="G819" s="11" t="str">
        <x:v>EB175</x:v>
      </x:c>
      <x:c r="H819" s="11" t="str">
        <x:v>Ban Quản lý Khu Công nghệ cao Hòa Lạc: Khóa học An ninh mạng Cơ bản</x:v>
      </x:c>
      <x:c r="I819" s="30" t="str">
        <x:v>https://hhtp.gov.vn/vi/tin-tuc/khoa-hoc-an-ninh-mang-co-ban-2098.html</x:v>
      </x:c>
      <x:c r="J819" s="11" t="str">
        <x:v>Thông báo khóa học của đơn vị tổ chức ghi An ninh mạng – Cybersecurity; chưa là định nghĩa toàn phạm vi luật Việt Nam 2025.
Nghĩa dùng để đối chiếu: Bảo vệ không gian mạng và hệ thống trước các rủi ro, tấn công.</x:v>
      </x:c>
      <x:c r="K819" s="11" t="str">
        <x:v>2026-10-29 (KST)</x:v>
      </x:c>
    </x:row>
    <x:row r="820" ht="75" customHeight="1">
      <x:c r="A820" s="11" t="str">
        <x:v>C076</x:v>
      </x:c>
      <x:c r="B820" s="11" t="str">
        <x:v>KO–EN</x:v>
      </x:c>
      <x:c r="C820" s="11" t="str">
        <x:v>법치주의 → rule of law</x:v>
      </x:c>
      <x:c r="D820" s="11" t="str">
        <x:v>Không kết luận mục từ từ điển từ nguồn này.</x:v>
      </x:c>
      <x:c r="E820" s="11" t="str">
        <x:v>Đối chiếu văn bản song song</x:v>
      </x:c>
      <x:c r="F820" s="11" t="str">
        <x:v>ko-en</x:v>
      </x:c>
      <x:c r="G820" s="11" t="str">
        <x:v>EB176</x:v>
      </x:c>
      <x:c r="H820" s="11" t="str">
        <x:v>Đại sứ quán Hàn Quốc tại Indonesia: Tuyên bố chung về quan hệ đối tác chiến lược toàn diện đặc biệt</x:v>
      </x:c>
      <x:c r="I820" s="30" t="str">
        <x:v>https://overseas.mofa.go.kr/id-ko/brd/m_2865/view.do?seq=1343973</x:v>
      </x:c>
      <x:c r="J820" s="11" t="str">
        <x:v>Đoạn song song giá trị chung có 법치주의 và the rule of law.
Nghĩa dùng để đối chiếu: Giá trị/phương thức quyền lực chịu sự ràng buộc của pháp luật.</x:v>
      </x:c>
      <x:c r="K820" s="11" t="str">
        <x:v>2026-10-29 (KST)</x:v>
      </x:c>
    </x:row>
    <x:row r="821" ht="75" customHeight="1">
      <x:c r="A821" s="11" t="str">
        <x:v>C085</x:v>
      </x:c>
      <x:c r="B821" s="11" t="str">
        <x:v>VI–EN</x:v>
      </x:c>
      <x:c r="C821" s="11" t="str">
        <x:v>quản trị toàn cầu → global governance</x:v>
      </x:c>
      <x:c r="D821" s="11" t="str">
        <x:v>Không kết luận mục từ từ điển từ nguồn này.</x:v>
      </x:c>
      <x:c r="E821" s="11" t="str">
        <x:v>Đối dịch tường minh trong nguồn</x:v>
      </x:c>
      <x:c r="F821" s="11" t="str">
        <x:v>vi-en</x:v>
      </x:c>
      <x:c r="G821" s="11" t="str">
        <x:v>EB177</x:v>
      </x:c>
      <x:c r="H821" s="11" t="str">
        <x:v>Học viện Chính trị Công an nhân dân: Các xu thế tác động đến tư duy chiến lược và đối ngoại</x:v>
      </x:c>
      <x:c r="I821" s="30" t="str">
        <x:v>https://hvctcand.bocongan.gov.vn/nhan-dien-mot-so-xu-the-trong-the-gioi-tac-dong-den-tu-duy-chien-luoc-va-doi-ngoai-quoc-gia-hien-nay-961</x:v>
      </x:c>
      <x:c r="J821" s="11" t="str">
        <x:v>Bài ghi trực tiếp quản trị toàn cầu (global governance), kèm giải thích phạm vi quốc tế.
Nghĩa dùng để đối chiếu: Các thiết chế, chuẩn tắc và phương thức phối hợp giải quyết vấn đề chung toàn cầu.</x:v>
      </x:c>
      <x:c r="K821" s="11" t="str">
        <x:v>2026-10-29 (KST)</x:v>
      </x:c>
    </x:row>
    <x:row r="822" ht="75" customHeight="1">
      <x:c r="A822" s="11" t="str">
        <x:v>C085</x:v>
      </x:c>
      <x:c r="B822" s="11" t="str">
        <x:v>KO–EN</x:v>
      </x:c>
      <x:c r="C822" s="11" t="str">
        <x:v>글로벌 거버넌스 → global governance</x:v>
      </x:c>
      <x:c r="D822" s="11" t="str">
        <x:v>Không kết luận mục từ từ điển từ nguồn này.</x:v>
      </x:c>
      <x:c r="E822" s="11" t="str">
        <x:v>Đối dịch tường minh trong nguồn</x:v>
      </x:c>
      <x:c r="F822" s="11" t="str">
        <x:v>ko-en</x:v>
      </x:c>
      <x:c r="G822" s="11" t="str">
        <x:v>EB178</x:v>
      </x:c>
      <x:c r="H822" s="11" t="str">
        <x:v>Nghiên cứu gốc: 글로벌 거버넌스와 국제공법</x:v>
      </x:c>
      <x:c r="I822" s="30" t="str">
        <x:v>https://www.kci.go.kr/kciportal/landing/article.kci?arti_id=ART001750509</x:v>
      </x:c>
      <x:c r="J822" s="11" t="str">
        <x:v>Tóm tắt của tác giả ghi 글로벌 거버넌스(global governance); đây là bài nghiên cứu gốc được KCI lưu chỉ mục.
Nghĩa dùng để đối chiếu: Sự phối hợp giữa các chủ thể xuyên quốc gia để xử lý vấn đề vượt biên giới quốc gia.</x:v>
      </x:c>
      <x:c r="K822" s="11" t="str">
        <x:v>2026-10-29 (KST)</x:v>
      </x:c>
    </x:row>
    <x:row r="823" ht="75" customHeight="1">
      <x:c r="A823" s="11" t="str">
        <x:v>C086</x:v>
      </x:c>
      <x:c r="B823" s="11" t="str">
        <x:v>KO–EN</x:v>
      </x:c>
      <x:c r="C823" s="11" t="str">
        <x:v>국제질서 → international order</x:v>
      </x:c>
      <x:c r="D823" s="11" t="str">
        <x:v>Không kết luận mục từ từ điển từ nguồn này.</x:v>
      </x:c>
      <x:c r="E823" s="11" t="str">
        <x:v>Đối dịch tường minh trong nguồn</x:v>
      </x:c>
      <x:c r="F823" s="11" t="str">
        <x:v>ko-en</x:v>
      </x:c>
      <x:c r="G823" s="11" t="str">
        <x:v>EB179</x:v>
      </x:c>
      <x:c r="H823" s="11" t="str">
        <x:v>Bộ Ngoại giao Hàn Quốc: 강경화 장관, 뮌헨안보회의 다자주의 세션 참석</x:v>
      </x:c>
      <x:c r="I823" s="30" t="str">
        <x:v>https://www.mofa.go.kr/www/brd/m_4080/view.do?page=1&amp;pitem=102026&amp;seq=369996</x:v>
      </x:c>
      <x:c r="J823" s="11" t="str">
        <x:v>Tên phiên ghi 변화하는 국제질서 내 다자주의 / Multilateralism in a Changing International Order.
Nghĩa dùng để đối chiếu: Trật tự quốc tế trong quan hệ quyền lực và hợp tác đa phương.</x:v>
      </x:c>
      <x:c r="K823" s="11" t="str">
        <x:v>2026-10-29 (KST)</x:v>
      </x:c>
    </x:row>
    <x:row r="824" ht="75" customHeight="1">
      <x:c r="A824" s="11" t="str">
        <x:v>C087</x:v>
      </x:c>
      <x:c r="B824" s="11" t="str">
        <x:v>VI–EN</x:v>
      </x:c>
      <x:c r="C824" s="11" t="str">
        <x:v>Quan hệ quốc tế → international relations</x:v>
      </x:c>
      <x:c r="D824" s="11" t="str">
        <x:v>Không kết luận mục từ từ điển từ nguồn này.</x:v>
      </x:c>
      <x:c r="E824" s="11" t="str">
        <x:v>Đối dịch tường minh trong nguồn</x:v>
      </x:c>
      <x:c r="F824" s="11" t="str">
        <x:v>vi-en</x:v>
      </x:c>
      <x:c r="G824" s="11" t="str">
        <x:v>EB180</x:v>
      </x:c>
      <x:c r="H824" s="11" t="str">
        <x:v>Học viện Ngoại giao: Chương trình đào tạo Thạc sĩ Quan hệ Quốc tế</x:v>
      </x:c>
      <x:c r="I824" s="30" t="str">
        <x:v>https://dav.edu.vn/chuong-trinh-dao-tao-thac-si-quan-he-quoc-te/</x:v>
      </x:c>
      <x:c r="J824" s="11" t="str">
        <x:v>Tên văn bằng Việt Thạc sĩ Quan hệ quốc tế được ghi kèm Master Degree in International Relations; chứng cứ này trực tiếp cho ngành học.
Nghĩa dùng để đối chiếu: Tên ngành học nghiên cứu quan hệ quốc tế.</x:v>
      </x:c>
      <x:c r="K824" s="11" t="str">
        <x:v>2026-10-29 (KST)</x:v>
      </x:c>
    </x:row>
    <x:row r="825" ht="75" customHeight="1">
      <x:c r="A825" s="11" t="str">
        <x:v>C087</x:v>
      </x:c>
      <x:c r="B825" s="11" t="str">
        <x:v>KO–EN</x:v>
      </x:c>
      <x:c r="C825" s="11" t="str">
        <x:v>국제관계 → international relations</x:v>
      </x:c>
      <x:c r="D825" s="11" t="str">
        <x:v>Không kết luận mục từ từ điển từ nguồn này.</x:v>
      </x:c>
      <x:c r="E825" s="11" t="str">
        <x:v>Đối dịch tường minh trong nguồn</x:v>
      </x:c>
      <x:c r="F825" s="11" t="str">
        <x:v>ko-en</x:v>
      </x:c>
      <x:c r="G825" s="11" t="str">
        <x:v>EB181</x:v>
      </x:c>
      <x:c r="H825" s="11" t="str">
        <x:v>Nghiên cứu gốc: 한반도 국제관계, 1972–2022</x:v>
      </x:c>
      <x:c r="I825" s="30" t="str">
        <x:v>https://www.kci.go.kr/kciportal/landing/article.kci?arti_id=ART002824719</x:v>
      </x:c>
      <x:c r="J825" s="11" t="str">
        <x:v>Tóm tắt Hàn và Anh của bài nghiên cứu dùng 한반도 국제관계 / international relations of the Korean Peninsula.
Nghĩa dùng để đối chiếu: Các quan hệ chính trị, kinh tế, quân sự liên kết bán đảo Triều Tiên với thế giới.</x:v>
      </x:c>
      <x:c r="K825" s="11" t="str">
        <x:v>2026-10-29 (KST)</x:v>
      </x:c>
    </x:row>
    <x:row r="826" ht="75" customHeight="1">
      <x:c r="A826" s="11" t="str">
        <x:v>C097</x:v>
      </x:c>
      <x:c r="B826" s="11" t="str">
        <x:v>VI–EN</x:v>
      </x:c>
      <x:c r="C826" s="11" t="str">
        <x:v>quản trị đại dương → ocean governance</x:v>
      </x:c>
      <x:c r="D826" s="11" t="str">
        <x:v>Không kết luận mục từ từ điển từ nguồn này.</x:v>
      </x:c>
      <x:c r="E826" s="11" t="str">
        <x:v>Đối dịch tường minh trong nguồn</x:v>
      </x:c>
      <x:c r="F826" s="11" t="str">
        <x:v>vi-en</x:v>
      </x:c>
      <x:c r="G826" s="11" t="str">
        <x:v>EB182</x:v>
      </x:c>
      <x:c r="H826" s="11" t="str">
        <x:v>Tạp chí Khoa học và Công nghệ Việt Nam: phát triển hàng hải xanh và kinh tế biển bền vững</x:v>
      </x:c>
      <x:c r="I826" s="30" t="str">
        <x:v>https://vjst.vn/danh-gia-tiem-nang-phat-trien-hang-hai-xanh-va-nang-cao-nang-luc-kinh-te-bien-ben-vung-tai-viet-nam-82573.html</x:v>
      </x:c>
      <x:c r="J826" s="11" t="str">
        <x:v>Bài ghi trực tiếp quản trị đại dương (Ocean Governance - OG); dùng như bằng chứng ánh xạ do tạp chí công bố, không coi là mục từ từ điển.
Nghĩa dùng để đối chiếu: Quản trị đại dương gắn thể chế, chính sách và điều phối phát triển kinh tế biển bền vững.</x:v>
      </x:c>
      <x:c r="K826" s="11" t="str">
        <x:v>2026-10-29 (KST)</x:v>
      </x:c>
    </x:row>
    <x:row r="827" ht="75" customHeight="1">
      <x:c r="A827" s="11" t="str">
        <x:v>C097</x:v>
      </x:c>
      <x:c r="B827" s="11" t="str">
        <x:v>KO–EN</x:v>
      </x:c>
      <x:c r="C827" s="11" t="str">
        <x:v>해양 거버넌스 → ocean governance</x:v>
      </x:c>
      <x:c r="D827" s="11" t="str">
        <x:v>Không kết luận mục từ từ điển từ nguồn này.</x:v>
      </x:c>
      <x:c r="E827" s="11" t="str">
        <x:v>Đối dịch tường minh trong nguồn</x:v>
      </x:c>
      <x:c r="F827" s="11" t="str">
        <x:v>ko-en</x:v>
      </x:c>
      <x:c r="G827" s="11" t="str">
        <x:v>EB183</x:v>
      </x:c>
      <x:c r="H827" s="11" t="str">
        <x:v>Korea Maritime and Ocean University: các lĩnh vực nghiên cứu, Khoa Hàng hải</x:v>
      </x:c>
      <x:c r="I827" s="30" t="str">
        <x:v>https://www.kmou.ac.kr/navigation/ad/tepDept/sub6/view.do?mi=4622&amp;teaSn=3255</x:v>
      </x:c>
      <x:c r="J827" s="11" t="str">
        <x:v>Trang chính thức của trường ghi 해양 거버넌스 (Ocean Governance) trong danh mục lĩnh vực nghiên cứu.
Nghĩa dùng để đối chiếu: Lĩnh vực quản trị biển và đại dương trong luật và chính sách biển.</x:v>
      </x:c>
      <x:c r="K827" s="11" t="str">
        <x:v>2026-10-29 (KST)</x:v>
      </x:c>
    </x:row>
    <x:row r="828" ht="75" customHeight="1">
      <x:c r="A828" s="11" t="str">
        <x:v>C101</x:v>
      </x:c>
      <x:c r="B828" s="11" t="str">
        <x:v>VI–EN</x:v>
      </x:c>
      <x:c r="C828" s="11" t="str">
        <x:v>Ủy ban hỗn hợp → Joint Committee</x:v>
      </x:c>
      <x:c r="D828" s="11" t="str">
        <x:v>Không kết luận mục từ từ điển từ nguồn này.</x:v>
      </x:c>
      <x:c r="E828" s="11" t="str">
        <x:v>Đối chiếu văn bản song song</x:v>
      </x:c>
      <x:c r="F828" s="11" t="str">
        <x:v>vi,en</x:v>
      </x:c>
      <x:c r="G828" s="11" t="str">
        <x:v>EB184</x:v>
      </x:c>
      <x:c r="H828" s="11" t="str">
        <x:v>ĐSQ Việt Nam tại Tanzania – bản tin VI–EN cùng trang, 25/6/2026</x:v>
      </x:c>
      <x:c r="I828" s="30" t="str">
        <x:v>https://vnembassy-daressalaam.mofa.gov.vn/tin-chi-tiet/chi-tiet/tang-cuong-hop-tac-chien-luoc-ve-giao-duc-thuong-mai-va-ha-tang-ngoai-giao-giua-viet-nam-va-tanzania-enhancing-strategic-cooperation-in-education-trade-and-diplomatic-infrastructure-between-vietnam-and-tanzania-60615-1241.html</x:v>
      </x:c>
      <x:c r="J828" s="11" t="str">
        <x:v>Căn chỉnh Ủy ban Hỗn hợp Việt Nam–Tanzania với Vietnam–Tanzania Joint Committee. Chỉ chứng minh tên trong cơ chế cụ thể này, chưa xác nhận mọi 공동위원회.
Nghĩa dùng để đối chiếu: Ủy ban có thành viên từ các bên tham gia để thực hiện nhiệm vụ chung.</x:v>
      </x:c>
      <x:c r="K828" s="11" t="str">
        <x:v>2026-10-29 (KST)</x:v>
      </x:c>
    </x:row>
    <x:row r="829" ht="75" customHeight="1">
      <x:c r="A829" s="11" t="str">
        <x:v>C104</x:v>
      </x:c>
      <x:c r="B829" s="11" t="str">
        <x:v>KO–EN</x:v>
      </x:c>
      <x:c r="C829" s="11" t="str">
        <x:v>아세안 공동체 → ASEAN Community</x:v>
      </x:c>
      <x:c r="D829" s="11" t="str">
        <x:v>Không kết luận mục từ từ điển từ nguồn này.</x:v>
      </x:c>
      <x:c r="E829" s="11" t="str">
        <x:v>Đối dịch tường minh trong nguồn</x:v>
      </x:c>
      <x:c r="F829" s="11" t="str">
        <x:v>ko-en</x:v>
      </x:c>
      <x:c r="G829" s="11" t="str">
        <x:v>EB185</x:v>
      </x:c>
      <x:c r="H829" s="11" t="str">
        <x:v>Phái đoàn Hàn Quốc tại ASEAN: 아세안 3대 공동체별 정책</x:v>
      </x:c>
      <x:c r="I829" s="30" t="str">
        <x:v>https://asean.mofa.go.kr/asean-ko/wpge/m_2574/contents.do</x:v>
      </x:c>
      <x:c r="J829" s="11" t="str">
        <x:v>Nguồn ghi 아세안 공동체(ASEAN Community), mô tả ba trụ cột.
Nghĩa dùng để đối chiếu: Cộng đồng ASEAN theo ba trụ cột chính trị-an ninh, kinh tế, văn hóa-xã hội.</x:v>
      </x:c>
      <x:c r="K829" s="11" t="str">
        <x:v>2026-10-29 (KST)</x:v>
      </x:c>
    </x:row>
    <x:row r="830" ht="75" customHeight="1">
      <x:c r="A830" s="11" t="str">
        <x:v>C109</x:v>
      </x:c>
      <x:c r="B830" s="11" t="str">
        <x:v>VI–EN</x:v>
      </x:c>
      <x:c r="C830" s="11" t="str">
        <x:v>việc đàm phán → negotiation</x:v>
      </x:c>
      <x:c r="D830" s="11" t="str">
        <x:v>Đối dịch trong từ điển; không mặc nhiên là định nghĩa Việt/Hàn độc lập.</x:v>
      </x:c>
      <x:c r="E830" s="11" t="str">
        <x:v>Đối dịch trong từ điển</x:v>
      </x:c>
      <x:c r="F830" s="11" t="str">
        <x:v>VI–EN</x:v>
      </x:c>
      <x:c r="G830" s="11" t="str">
        <x:v>EB186</x:v>
      </x:c>
      <x:c r="H830" s="11" t="str">
        <x:v>Cambridge / PASSWORD English–Vietnamese: negotiation</x:v>
      </x:c>
      <x:c r="I830" s="30" t="str">
        <x:v>https://dictionary.cambridge.org/dictionary/english-vietnamese/negotiation</x:v>
      </x:c>
      <x:c r="J830" s="11" t="str">
        <x:v>Đối dịch trong mục từ là việc đàm phán.
Nghĩa dùng để đối chiếu: Thảo luận để đạt thỏa thuận.</x:v>
      </x:c>
      <x:c r="K830" s="11" t="str">
        <x:v>2026-10-29 (KST)</x:v>
      </x:c>
    </x:row>
    <x:row r="831" ht="75" customHeight="1">
      <x:c r="A831" s="11" t="str">
        <x:v>C109</x:v>
      </x:c>
      <x:c r="B831" s="11" t="str">
        <x:v>KO–EN</x:v>
      </x:c>
      <x:c r="C831" s="11" t="str">
        <x:v>협상 → negotiation; talk</x:v>
      </x:c>
      <x:c r="D831" s="11" t="str">
        <x:v>Đối dịch trong từ điển; không mặc nhiên là định nghĩa Việt/Hàn độc lập.</x:v>
      </x:c>
      <x:c r="E831" s="11" t="str">
        <x:v>Đối dịch trong từ điển</x:v>
      </x:c>
      <x:c r="F831" s="11" t="str">
        <x:v>KO–EN</x:v>
      </x:c>
      <x:c r="G831" s="11" t="str">
        <x:v>EB187</x:v>
      </x:c>
      <x:c r="H831" s="11" t="str">
        <x:v>국립국어원 한국어기초사전: 협상</x:v>
      </x:c>
      <x:c r="I831" s="30" t="str">
        <x:v>https://krdict.korean.go.kr/eng/dicSearch/SearchView?ParaNationCode=6&amp;ParaWordNo=90592&amp;captchaNumber=&amp;commentTitle=&amp;comment_user_name=&amp;divSearch=defViewGlobal&amp;nation=eng&amp;nationCode=6&amp;viewTypes=on&amp;wordComment=</x:v>
      </x:c>
      <x:c r="J831" s="11" t="str">
        <x:v>Từ điển ghi negotiation; talk cho thảo luận giữa các bên có khác biệt để quyết định vấn đề.
Nghĩa dùng để đối chiếu: Thảo luận để đạt thỏa thuận.</x:v>
      </x:c>
      <x:c r="K831" s="11" t="str">
        <x:v>2026-10-29 (KST)</x:v>
      </x:c>
    </x:row>
    <x:row r="832" ht="75" customHeight="1">
      <x:c r="A832" s="11" t="str">
        <x:v>C110</x:v>
      </x:c>
      <x:c r="B832" s="11" t="str">
        <x:v>VI–EN</x:v>
      </x:c>
      <x:c r="C832" s="11" t="str">
        <x:v>sự phê chuẩn → ratification</x:v>
      </x:c>
      <x:c r="D832" s="11" t="str">
        <x:v>Đối dịch trong từ điển; không mặc nhiên là định nghĩa Việt/Hàn độc lập.</x:v>
      </x:c>
      <x:c r="E832" s="11" t="str">
        <x:v>Đối dịch trong từ điển</x:v>
      </x:c>
      <x:c r="F832" s="11" t="str">
        <x:v>VI–EN</x:v>
      </x:c>
      <x:c r="G832" s="11" t="str">
        <x:v>EB188</x:v>
      </x:c>
      <x:c r="H832" s="11" t="str">
        <x:v>Cambridge / PASSWORD English–Vietnamese: ratification</x:v>
      </x:c>
      <x:c r="I832" s="30" t="str">
        <x:v>https://dictionary.cambridge.org/dictionary/english-vietnamese/ratification
https://treaty.mofa.gov.vn/vi-vn/thuc-tien-cac-nuoc/trung-quoc/</x:v>
      </x:c>
      <x:c r="J832" s="11" t="str">
        <x:v>Mục từ Anh–Việt ghi sự phê chuẩn; ví dụ biên soạn là phê chuẩn thỏa thuận. Nguồn chính thức của Bộ Ngoại giao về Anh/Trung Quốc cũng ghi thuật ngữ ratification.
Nghĩa dùng để đối chiếu: Phê chuẩn điều ước quốc tế.</x:v>
      </x:c>
      <x:c r="K832" s="11" t="str">
        <x:v>2026-10-29 (KST)</x:v>
      </x:c>
    </x:row>
    <x:row r="833" ht="75" customHeight="1">
      <x:c r="A833" s="11" t="str">
        <x:v>C110</x:v>
      </x:c>
      <x:c r="B833" s="11" t="str">
        <x:v>KO–EN</x:v>
      </x:c>
      <x:c r="C833" s="11" t="str">
        <x:v>비준 → ratification</x:v>
      </x:c>
      <x:c r="D833" s="11" t="str">
        <x:v>Đối dịch trong từ điển; không mặc nhiên là định nghĩa Việt/Hàn độc lập.</x:v>
      </x:c>
      <x:c r="E833" s="11" t="str">
        <x:v>Đối dịch trong từ điển</x:v>
      </x:c>
      <x:c r="F833" s="11" t="str">
        <x:v>KO–EN</x:v>
      </x:c>
      <x:c r="G833" s="11" t="str">
        <x:v>EB189</x:v>
      </x:c>
      <x:c r="H833" s="11" t="str">
        <x:v>국립국어원 한국어기초사전: 비준</x:v>
      </x:c>
      <x:c r="I833" s="30" t="str">
        <x:v>https://krdict.korean.go.kr/eng/dicSearch/SearchView?ParaWordNo=60759</x:v>
      </x:c>
      <x:c r="J833" s="11" t="str">
        <x:v>Đối dịch ratification; nghĩa xác nhận/đồng ý cuối cùng đối với điều ước bởi quốc gia/nguyên thủ.
Nghĩa dùng để đối chiếu: Phê chuẩn điều ước quốc tế.</x:v>
      </x:c>
      <x:c r="K833" s="11" t="str">
        <x:v>2026-10-29 (KST)</x:v>
      </x:c>
    </x:row>
    <x:row r="834" ht="75" customHeight="1">
      <x:c r="A834" s="11" t="str">
        <x:v>C114</x:v>
      </x:c>
      <x:c r="B834" s="11" t="str">
        <x:v>VI–EN</x:v>
      </x:c>
      <x:c r="C834" s="11" t="str">
        <x:v>hoạt động gìn giữ hòa bình Liên hợp quốc → United Nations peacekeeping</x:v>
      </x:c>
      <x:c r="D834" s="11" t="str">
        <x:v>Không kết luận mục từ từ điển từ nguồn này.</x:v>
      </x:c>
      <x:c r="E834" s="11" t="str">
        <x:v>Đối chiếu văn bản song song</x:v>
      </x:c>
      <x:c r="F834" s="11" t="str">
        <x:v>VI–EN</x:v>
      </x:c>
      <x:c r="G834" s="11" t="str">
        <x:v>EB190</x:v>
      </x:c>
      <x:c r="H834" s="11" t="str">
        <x:v>Cổng Chính phủ — tuyên bố chung Việt Nam–Hàn Quốc 11/8/2025, Việt và Anh</x:v>
      </x:c>
      <x:c r="I834" s="30" t="str">
        <x:v>https://cms.baochinhphu.vn/tuyen-bo-chung-ve-lam-sau-sac-hon-quan-he-doi-tac-chien-luoc-toan-dien-viet-nam-han-quoc-102250811194218425.htm
https://en.baochinhphu.vn/viet-nam-south-korea-issue-joint-statement-on-deepening-comprehensive-strategic-partnership-111250811220040691.htm</x:v>
      </x:c>
      <x:c r="J834" s="11" t="str">
        <x:v>Bản Anh lược từ hoạt động; nhãn đầy đủ VI gắn Liên hợp quốc.
Nghĩa dùng để đối chiếu: Hoạt động hỗ trợ duy trì hòa bình, an ninh và tạo điều kiện cho hòa bình bền vững tại khu vực xung đột.</x:v>
      </x:c>
      <x:c r="K834" s="11" t="str">
        <x:v>2026-10-29 (KST)</x:v>
      </x:c>
    </x:row>
    <x:row r="835" ht="75" customHeight="1">
      <x:c r="A835" s="11" t="str">
        <x:v>C117</x:v>
      </x:c>
      <x:c r="B835" s="11" t="str">
        <x:v>VI–EN</x:v>
      </x:c>
      <x:c r="C835" s="11" t="str">
        <x:v>bảo hộ công dân → citizen protection</x:v>
      </x:c>
      <x:c r="D835" s="11" t="str">
        <x:v>Không kết luận mục từ từ điển từ nguồn này.</x:v>
      </x:c>
      <x:c r="E835" s="11" t="str">
        <x:v>Đối chiếu văn bản song song</x:v>
      </x:c>
      <x:c r="F835" s="11" t="str">
        <x:v>VI–EN</x:v>
      </x:c>
      <x:c r="G835" s="11" t="str">
        <x:v>EB191</x:v>
      </x:c>
      <x:c r="H835" s="11" t="str">
        <x:v>Đại sứ quán Việt Nam tại Tanzania — bài song ngữ về ưu tiên ngoại giao</x:v>
      </x:c>
      <x:c r="I835" s="30" t="str">
        <x:v>https://vnembassy-daressalaam.mofa.gov.vn/km/tin-chi-tiet/chi-tiet/dai-su-quan-viet-nam-tai-tanzania-quyet-tam-phat-huy-vai-tro-tien-phong-trong-cong-tac-doi-ngoai-tai-dong-phi-embassy-of-vietnam-in-tanzania-proud-to-serve-on-the-frontline-of-diplomacy-61175-1241.html</x:v>
      </x:c>
      <x:c r="J835" s="11" t="str">
        <x:v>Bản song ngữ của cơ quan đại diện dùng citizen protection; phạm vi không tự thu hẹp về riêng lãnh sự.
Nghĩa dùng để đối chiếu: Hoạt động của cơ quan có thẩm quyền nhằm bảo vệ an toàn, quyền và lợi ích hợp pháp của công dân ở nước ngoài.</x:v>
      </x:c>
      <x:c r="K835" s="11" t="str">
        <x:v>2026-10-29 (KST)</x:v>
      </x:c>
    </x:row>
    <x:row r="836" ht="75" customHeight="1">
      <x:c r="A836" s="11" t="str">
        <x:v>C123</x:v>
      </x:c>
      <x:c r="B836" s="11" t="str">
        <x:v>VI–EN</x:v>
      </x:c>
      <x:c r="C836" s="11" t="str">
        <x:v>tương trợ tư pháp về hình sự → mutual legal assistance in criminal matters</x:v>
      </x:c>
      <x:c r="D836" s="11" t="str">
        <x:v>Không kết luận mục từ từ điển từ nguồn này.</x:v>
      </x:c>
      <x:c r="E836" s="11" t="str">
        <x:v>Đối dịch tường minh trong nguồn</x:v>
      </x:c>
      <x:c r="F836" s="11" t="str">
        <x:v>vi-en</x:v>
      </x:c>
      <x:c r="G836" s="11" t="str">
        <x:v>EB192</x:v>
      </x:c>
      <x:c r="H836" s="11" t="str">
        <x:v>Viện kiểm sát nhân dân tối cao: Vụ Hợp tác quốc tế và Tương trợ tư pháp về hình sự</x:v>
      </x:c>
      <x:c r="I836" s="30" t="str">
        <x:v>https://vksndtc.gov.vn/gioi-thieu/Pages/default.aspx?ItemID=90</x:v>
      </x:c>
      <x:c r="J836" s="11" t="str">
        <x:v>Tên giao dịch quốc tế chính thức có Mutual Legal Assistance in Criminal Matters tương ứng phần tên Việt Tương trợ tư pháp về hình sự.
Nghĩa dùng để đối chiếu: Hỗ trợ tư pháp quốc tế trong lĩnh vực hình sự.</x:v>
      </x:c>
      <x:c r="K836" s="11" t="str">
        <x:v>2026-10-29 (KST)</x:v>
      </x:c>
    </x:row>
    <x:row r="837" ht="75" customHeight="1">
      <x:c r="A837" s="11" t="str">
        <x:v>C123</x:v>
      </x:c>
      <x:c r="B837" s="11" t="str">
        <x:v>KO–EN</x:v>
      </x:c>
      <x:c r="C837" s="11" t="str">
        <x:v>사법공조 → mutual legal assistance</x:v>
      </x:c>
      <x:c r="D837" s="11" t="str">
        <x:v>Không kết luận mục từ từ điển từ nguồn này.</x:v>
      </x:c>
      <x:c r="E837" s="11" t="str">
        <x:v>Đối chiếu văn bản song song</x:v>
      </x:c>
      <x:c r="F837" s="11" t="str">
        <x:v>ko-en</x:v>
      </x:c>
      <x:c r="G837" s="11" t="str">
        <x:v>EB193</x:v>
      </x:c>
      <x:c r="H837" s="11" t="str">
        <x:v>Ủy ban Nhân quyền Quốc gia Hàn Quốc: Khuyến nghị chung CEDAW số 38, bản đối chiếu Hàn–Anh</x:v>
      </x:c>
      <x:c r="I837" s="30" t="str">
        <x:v>https://uhr.humanrights.go.kr/pub/uhrstd/pair/line/591</x:v>
      </x:c>
      <x:c r="J837" s="11" t="str">
        <x:v>Bản đối chiếu ghi 사법공조 / mutual legal assistance trong cùng đoạn về hợp tác tư pháp hình sự.
Nghĩa dùng để đối chiếu: Hỗ trợ tư pháp trong hợp tác hình sự chống mua bán người.</x:v>
      </x:c>
      <x:c r="K837" s="11" t="str">
        <x:v>2026-10-29 (KST)</x:v>
      </x:c>
    </x:row>
    <x:row r="838" ht="75" customHeight="1">
      <x:c r="A838" s="11" t="str">
        <x:v>C125</x:v>
      </x:c>
      <x:c r="B838" s="11" t="str">
        <x:v>VI–EN</x:v>
      </x:c>
      <x:c r="C838" s="11" t="str">
        <x:v>viện trợ không hoàn lại → Grant Assistance</x:v>
      </x:c>
      <x:c r="D838" s="11" t="str">
        <x:v>Không kết luận mục từ từ điển từ nguồn này.</x:v>
      </x:c>
      <x:c r="E838" s="11" t="str">
        <x:v>Đối chiếu văn bản song song</x:v>
      </x:c>
      <x:c r="F838" s="11" t="str">
        <x:v>VI–EN</x:v>
      </x:c>
      <x:c r="G838" s="11" t="str">
        <x:v>EB194</x:v>
      </x:c>
      <x:c r="H838" s="11" t="str">
        <x:v>Đại sứ quán Nhật Bản tại Việt Nam — chương trình GGP</x:v>
      </x:c>
      <x:c r="I838" s="30" t="str">
        <x:v>https://www.vn.emb-japan.go.jp/itpr_ja/11_000001_02481.html</x:v>
      </x:c>
      <x:c r="J838" s="11" t="str">
        <x:v>Tiêu đề Việt và Anh của cùng chương trình GGP dùng viện trợ không hoàn lại / Grant Assistance; bằng chứng nằm trong tên chương trình.
Nghĩa dùng để đối chiếu: Viện trợ không yêu cầu hoàn trả.</x:v>
      </x:c>
      <x:c r="K838" s="11" t="str">
        <x:v>2026-10-29 (KST)</x:v>
      </x:c>
    </x:row>
    <x:row r="839" ht="75" customHeight="1">
      <x:c r="A839" s="11" t="str">
        <x:v>C125</x:v>
      </x:c>
      <x:c r="B839" s="11" t="str">
        <x:v>KO–EN</x:v>
      </x:c>
      <x:c r="C839" s="11" t="str">
        <x:v>무상원조 → Grant</x:v>
      </x:c>
      <x:c r="D839" s="11" t="str">
        <x:v>Không kết luận mục từ từ điển từ nguồn này.</x:v>
      </x:c>
      <x:c r="E839" s="11" t="str">
        <x:v>Đối dịch tường minh trong nguồn</x:v>
      </x:c>
      <x:c r="F839" s="11" t="str">
        <x:v>KO–EN</x:v>
      </x:c>
      <x:c r="G839" s="11" t="str">
        <x:v>EB195</x:v>
      </x:c>
      <x:c r="H839" s="11" t="str">
        <x:v>Văn phòng Điều phối Chính phủ Hàn Quốc — hợp tác phát triển</x:v>
      </x:c>
      <x:c r="I839" s="30" t="str">
        <x:v>https://www.opm.go.kr/opm/info/international-cooperation02.do</x:v>
      </x:c>
      <x:c r="J839" s="11" t="str">
        <x:v>Nguồn ghi 무상원조(Grant, 증여), không đặt nghĩa vụ trả nợ.
Nghĩa dùng để đối chiếu: Viện trợ không yêu cầu hoàn trả.</x:v>
      </x:c>
      <x:c r="K839" s="11" t="str">
        <x:v>2026-10-29 (KST)</x:v>
      </x:c>
    </x:row>
    <x:row r="840" ht="75" customHeight="1">
      <x:c r="A840" s="11" t="str">
        <x:v>C127</x:v>
      </x:c>
      <x:c r="B840" s="11" t="str">
        <x:v>VI–EN</x:v>
      </x:c>
      <x:c r="C840" s="11" t="str">
        <x:v>trao đổi đoàn → delegation exchanges</x:v>
      </x:c>
      <x:c r="D840" s="11" t="str">
        <x:v>Không kết luận mục từ từ điển từ nguồn này.</x:v>
      </x:c>
      <x:c r="E840" s="11" t="str">
        <x:v>Đối chiếu văn bản song song</x:v>
      </x:c>
      <x:c r="F840" s="11" t="str">
        <x:v>VI–EN</x:v>
      </x:c>
      <x:c r="G840" s="11" t="str">
        <x:v>EB196</x:v>
      </x:c>
      <x:c r="H840" s="11" t="str">
        <x:v>Cổng Chính phủ — tuyên bố chung Việt Nam–Hàn Quốc 11/8/2025, Việt và Anh</x:v>
      </x:c>
      <x:c r="I840" s="30" t="str">
        <x:v>https://cms.baochinhphu.vn/tuyen-bo-chung-ve-lam-sau-sac-hon-quan-he-doi-tac-chien-luoc-toan-dien-viet-nam-han-quoc-102250811194218425.htm
https://en.baochinhphu.vn/viet-nam-south-korea-issue-joint-statement-on-deepening-comprehensive-strategic-partnership-111250811220040691.htm</x:v>
      </x:c>
      <x:c r="J840" s="11" t="str">
        <x:v>Điểm hợp tác quốc phòng của cùng tuyên bố có cách gọi tương ứng.
Nghĩa dùng để đối chiếu: Hoạt động các bên cử và tiếp nhận đoàn đại biểu để tiếp xúc, trao đổi và làm việc.</x:v>
      </x:c>
      <x:c r="K840" s="11" t="str">
        <x:v>2026-10-29 (KST)</x:v>
      </x:c>
    </x:row>
    <x:row r="841" ht="75" customHeight="1">
      <x:c r="A841" s="11" t="str">
        <x:v>C130</x:v>
      </x:c>
      <x:c r="B841" s="11" t="str">
        <x:v>VI–EN</x:v>
      </x:c>
      <x:c r="C841" s="11" t="str">
        <x:v>hợp tác kênh Đảng → cooperation across Party channels</x:v>
      </x:c>
      <x:c r="D841" s="11" t="str">
        <x:v>Không kết luận mục từ từ điển từ nguồn này.</x:v>
      </x:c>
      <x:c r="E841" s="11" t="str">
        <x:v>Đối chiếu văn bản song song</x:v>
      </x:c>
      <x:c r="F841" s="11" t="str">
        <x:v>VI–EN</x:v>
      </x:c>
      <x:c r="G841" s="11" t="str">
        <x:v>EB197</x:v>
      </x:c>
      <x:c r="H841" s="11" t="str">
        <x:v>Cổng Chính phủ — tuyên bố chung Việt Nam–Hàn Quốc 11/8/2025, Việt và Anh</x:v>
      </x:c>
      <x:c r="I841" s="30" t="str">
        <x:v>https://cms.baochinhphu.vn/tuyen-bo-chung-ve-lam-sau-sac-hon-quan-he-doi-tac-chien-luoc-toan-dien-viet-nam-han-quoc-102250811194218425.htm
https://en.baochinhphu.vn/viet-nam-south-korea-issue-joint-statement-on-deepening-comprehensive-strategic-partnership-111250811220040691.htm</x:v>
      </x:c>
      <x:c r="J841" s="11" t="str">
        <x:v>Bản Anh diễn giải trong chuỗi các kênh hợp tác, chưa phải mục từ Party-to-Party cooperation độc lập.
Nghĩa dùng để đối chiếu: Hoạt động hợp tác được tiến hành thông qua quan hệ giữa các chính đảng.</x:v>
      </x:c>
      <x:c r="K841" s="11" t="str">
        <x:v>2026-10-29 (KST)</x:v>
      </x:c>
    </x:row>
    <x:row r="842" ht="100.5" customHeight="1">
      <x:c r="A842" s="11" t="str">
        <x:v>C135</x:v>
      </x:c>
      <x:c r="B842" s="11" t="str">
        <x:v>VI–EN</x:v>
      </x:c>
      <x:c r="C842" s="11" t="str">
        <x:v>hợp tác phát triển → development cooperation</x:v>
      </x:c>
      <x:c r="D842" s="11" t="str">
        <x:v>Không kết luận mục từ từ điển từ nguồn này.</x:v>
      </x:c>
      <x:c r="E842" s="11" t="str">
        <x:v>Đối chiếu văn bản song song</x:v>
      </x:c>
      <x:c r="F842" s="11" t="str">
        <x:v>vi-en</x:v>
      </x:c>
      <x:c r="G842" s="11" t="str">
        <x:v>EB198</x:v>
      </x:c>
      <x:c r="H842" s="11" t="str">
        <x:v>Đại sứ quán Việt Nam tại Tanzania: Tọa đàm Hồ Chí Minh – Hành trình di sản</x:v>
      </x:c>
      <x:c r="I842" s="30" t="str">
        <x:v>https://vnembassy-daressalaam.mofa.gov.vn/en/tin-chi-tiet/chi-tiet/dai-su-quan-viet-nam-tai-tanzania-to-chuc-toa-dam-ho-chi-minh-8211-hanh-trinh-di-san-tu-tuong-ho-chi-minh-va-hop-tac-phat-trien-viet-nam-8211-dong-phi-the-embassy-of-viet-nam-in-tanzania-organised-the-symposium-ho-chi-minh-8211-a-journey-of-legacy-ho-chi-minh-thought-and-viet-nam-8211-east-africa-development-cooperation--61848-1247.html</x:v>
      </x:c>
      <x:c r="J842" s="11" t="str">
        <x:v>Tiêu đề song song của đơn vị tổ chức ghi hợp tác phát triển Việt Nam–Đông Phi / Viet Nam–East Africa Development Cooperation.
Nghĩa dùng để đối chiếu: Hợp tác hỗ trợ phát triển giữa Việt Nam và Đông Phi.</x:v>
      </x:c>
      <x:c r="K842" s="11" t="str">
        <x:v>2026-10-29 (KST)</x:v>
      </x:c>
    </x:row>
    <x:row r="843" ht="75" customHeight="1">
      <x:c r="A843" s="11" t="str">
        <x:v>C135</x:v>
      </x:c>
      <x:c r="B843" s="11" t="str">
        <x:v>KO–EN</x:v>
      </x:c>
      <x:c r="C843" s="11" t="str">
        <x:v>개발협력 → development cooperation</x:v>
      </x:c>
      <x:c r="D843" s="11" t="str">
        <x:v>Không kết luận mục từ từ điển từ nguồn này.</x:v>
      </x:c>
      <x:c r="E843" s="11" t="str">
        <x:v>Đối dịch tường minh trong nguồn</x:v>
      </x:c>
      <x:c r="F843" s="11" t="str">
        <x:v>ko-en</x:v>
      </x:c>
      <x:c r="G843" s="11" t="str">
        <x:v>EB199</x:v>
      </x:c>
      <x:c r="H843" s="11" t="str">
        <x:v>KIEP: Hội thảo hợp tác phát triển vì phục hồi và phát triển bao trùm</x:v>
      </x:c>
      <x:c r="I843" s="30" t="str">
        <x:v>https://www.kiep.go.kr/boardDownload.es?bid=0025&amp;list_no=14281&amp;seq=2</x:v>
      </x:c>
      <x:c r="J843" s="11" t="str">
        <x:v>Tài liệu hội thảo do viện tổ chức công bố có tên Hàn 개발협력 và tên Anh Development Cooperation.
Nghĩa dùng để đối chiếu: Hợp tác phát triển quốc tế nhằm phục hồi và phát triển bao trùm.</x:v>
      </x:c>
      <x:c r="K843" s="11" t="str">
        <x:v>2026-10-29 (KST)</x:v>
      </x:c>
    </x:row>
    <x:row r="844" ht="75" customHeight="1">
      <x:c r="A844" s="11" t="str">
        <x:v>C137</x:v>
      </x:c>
      <x:c r="B844" s="11" t="str">
        <x:v>VI–EN</x:v>
      </x:c>
      <x:c r="C844" s="11" t="str">
        <x:v>Tuyên bố chung → Joint Statement</x:v>
      </x:c>
      <x:c r="D844" s="11" t="str">
        <x:v>Không kết luận mục từ từ điển từ nguồn này.</x:v>
      </x:c>
      <x:c r="E844" s="11" t="str">
        <x:v>Đối chiếu văn bản song song</x:v>
      </x:c>
      <x:c r="F844" s="11" t="str">
        <x:v>VI–EN</x:v>
      </x:c>
      <x:c r="G844" s="11" t="str">
        <x:v>EB200</x:v>
      </x:c>
      <x:c r="H844" s="11" t="str">
        <x:v>Cổng Chính phủ — tuyên bố chung Việt Nam–Hàn Quốc 11/8/2025, Việt và Anh</x:v>
      </x:c>
      <x:c r="I844" s="30" t="str">
        <x:v>https://cms.baochinhphu.vn/tuyen-bo-chung-ve-lam-sau-sac-hon-quan-he-doi-tac-chien-luoc-toan-dien-viet-nam-han-quoc-102250811194218425.htm
https://en.baochinhphu.vn/viet-nam-south-korea-issue-joint-statement-on-deepening-comprehensive-strategic-partnership-111250811220040691.htm</x:v>
      </x:c>
      <x:c r="J844" s="11" t="str">
        <x:v>Hai bản cùng văn kiện công bố ngày 11/8/2025.
Nghĩa dùng để đối chiếu: Loại văn bản do các bên cùng công bố để thể hiện lập trường hoặc những nội dung đã nhất trí.</x:v>
      </x:c>
      <x:c r="K844" s="11" t="str">
        <x:v>2026-10-29 (KST)</x:v>
      </x:c>
    </x:row>
    <x:row r="845" ht="75" customHeight="1">
      <x:c r="A845" s="11" t="str">
        <x:v>C137</x:v>
      </x:c>
      <x:c r="B845" s="11" t="str">
        <x:v>KO–EN</x:v>
      </x:c>
      <x:c r="C845" s="11" t="str">
        <x:v>공동성명 → Joint Statement</x:v>
      </x:c>
      <x:c r="D845" s="11" t="str">
        <x:v>Không kết luận mục từ từ điển từ nguồn này.</x:v>
      </x:c>
      <x:c r="E845" s="11" t="str">
        <x:v>Đối chiếu văn bản song song</x:v>
      </x:c>
      <x:c r="F845" s="11" t="str">
        <x:v>KO–EN</x:v>
      </x:c>
      <x:c r="G845" s="11" t="str">
        <x:v>EB201</x:v>
      </x:c>
      <x:c r="H845" s="11" t="str">
        <x:v>Bộ Ngoại giao Hàn Quốc — tuyên bố chung Hàn–Indonesia 1/4/2026, hai bản Hàn/Anh</x:v>
      </x:c>
      <x:c r="I845" s="30" t="str">
        <x:v>https://www.mofa.go.kr/www/brd/m_29514/view.do?seq=36</x:v>
      </x:c>
      <x:c r="J845" s="11" t="str">
        <x:v>Tiêu đề hai bản Hàn và Anh của cùng tuyên bố Hàn–Indonesia ngày 1/4/2026. Trang ghi bản Hàn là bản dịch không chính thức do cơ quan công bố.
Nghĩa dùng để đối chiếu: Đối chiếu nghĩa Hàn đã ghi trong trang Thuật ngữ.</x:v>
      </x:c>
      <x:c r="K845" s="11" t="str">
        <x:v>2026-10-29 (KST)</x:v>
      </x:c>
    </x:row>
    <x:row r="846" ht="75" customHeight="1">
      <x:c r="A846" s="11" t="str">
        <x:v>C142</x:v>
      </x:c>
      <x:c r="B846" s="11" t="str">
        <x:v>KO–EN</x:v>
      </x:c>
      <x:c r="C846" s="11" t="str">
        <x:v>협정 → agreement; treaty; pact</x:v>
      </x:c>
      <x:c r="D846" s="11" t="str">
        <x:v>Đối dịch trong từ điển; không mặc nhiên là định nghĩa Việt/Hàn độc lập.</x:v>
      </x:c>
      <x:c r="E846" s="11" t="str">
        <x:v>Đối dịch trong từ điển</x:v>
      </x:c>
      <x:c r="F846" s="11" t="str">
        <x:v>KO–EN</x:v>
      </x:c>
      <x:c r="G846" s="11" t="str">
        <x:v>EB202</x:v>
      </x:c>
      <x:c r="H846" s="11" t="str">
        <x:v>국립국어원 한국어기초사전: 협정</x:v>
      </x:c>
      <x:c r="I846" s="30" t="str">
        <x:v>https://krdict.korean.go.kr/eng/dicSearch/SearchView?ParaWordNo=86041&amp;captchaNumber=&amp;comment_user_name=&amp;nation=eng&amp;nationCode=6&amp;viewTypes=on&amp;wordComment=</x:v>
      </x:c>
      <x:c r="J846" s="11" t="str">
        <x:v>Mục nghĩa ngoại giao chỉ agreement/treaty/pact; không tự mang thành tố cooperation.
Nghĩa dùng để đối chiếu: Thỏa thuận/hiệp định giữa các nước.</x:v>
      </x:c>
      <x:c r="K846" s="11" t="str">
        <x:v>2026-10-29 (KST)</x:v>
      </x:c>
    </x:row>
    <x:row r="847" ht="75" customHeight="1">
      <x:c r="A847" s="11" t="str">
        <x:v>C143</x:v>
      </x:c>
      <x:c r="B847" s="11" t="str">
        <x:v>VI–EN</x:v>
      </x:c>
      <x:c r="C847" s="11" t="str">
        <x:v>Nghị định thư → Protocol</x:v>
      </x:c>
      <x:c r="D847" s="11" t="str">
        <x:v>Không kết luận mục từ từ điển từ nguồn này.</x:v>
      </x:c>
      <x:c r="E847" s="11" t="str">
        <x:v>Đối chiếu văn bản song song</x:v>
      </x:c>
      <x:c r="F847" s="11" t="str">
        <x:v>VI–EN</x:v>
      </x:c>
      <x:c r="G847" s="11" t="str">
        <x:v>EB203</x:v>
      </x:c>
      <x:c r="H847" s="11" t="str">
        <x:v>Bộ Công Thương — hồ sơ Nghị định thư về các Thủ tục thông báo</x:v>
      </x:c>
      <x:c r="I847" s="30" t="str">
        <x:v>https://moit.gov.vn/van-ban-phap-luat/van-ban-dieu-hanh/-protocol-on-notification-procedures.html</x:v>
      </x:c>
      <x:c r="J847" s="11" t="str">
        <x:v>Hồ sơ cùng văn kiện dùng tiêu đề Anh Protocol on Notification Procedures và tên file Việt Nghị định thư về các Thủ tục thông báo.
Nghĩa dùng để đối chiếu: Tên loại văn kiện ngoại giao/pháp lý quốc tế.</x:v>
      </x:c>
      <x:c r="K847" s="11" t="str">
        <x:v>2026-10-29 (KST)</x:v>
      </x:c>
    </x:row>
    <x:row r="848" ht="75" customHeight="1">
      <x:c r="A848" s="11" t="str">
        <x:v>C143</x:v>
      </x:c>
      <x:c r="B848" s="11" t="str">
        <x:v>KO–EN</x:v>
      </x:c>
      <x:c r="C848" s="11" t="str">
        <x:v>의정서 → protocol</x:v>
      </x:c>
      <x:c r="D848" s="11" t="str">
        <x:v>Không kết luận mục từ từ điển từ nguồn này.</x:v>
      </x:c>
      <x:c r="E848" s="11" t="str">
        <x:v>Đối dịch tường minh trong nguồn</x:v>
      </x:c>
      <x:c r="F848" s="11" t="str">
        <x:v>KO–EN</x:v>
      </x:c>
      <x:c r="G848" s="11" t="str">
        <x:v>EB204</x:v>
      </x:c>
      <x:c r="H848" s="11" t="str">
        <x:v>Bộ Ngoại giao Hàn Quốc — tổng quan các dạng hiệp định kinh tế</x:v>
      </x:c>
      <x:c r="I848" s="30" t="str">
        <x:v>https://py.mofa.go.kr/www/wpge/m_4058/contents.do</x:v>
      </x:c>
      <x:c r="J848" s="11" t="str">
        <x:v>Trang ghi 의정서(protocol) và phân biệt các cách dùng tên văn kiện; đọc bản được lập chỉ mục.
Nghĩa dùng để đối chiếu: Tên loại văn kiện ngoại giao/pháp lý quốc tế.</x:v>
      </x:c>
      <x:c r="K848" s="11" t="str">
        <x:v>2026-10-29 (KST)</x:v>
      </x:c>
    </x:row>
    <x:row r="849" ht="75" customHeight="1">
      <x:c r="A849" s="11" t="str">
        <x:v>C144</x:v>
      </x:c>
      <x:c r="B849" s="11" t="str">
        <x:v>VI–EN</x:v>
      </x:c>
      <x:c r="C849" s="11" t="str">
        <x:v>hiệp định thương mại tự do → Free trade agreement</x:v>
      </x:c>
      <x:c r="D849" s="11" t="str">
        <x:v>Không kết luận mục từ từ điển từ nguồn này.</x:v>
      </x:c>
      <x:c r="E849" s="11" t="str">
        <x:v>Đối dịch tường minh trong nguồn</x:v>
      </x:c>
      <x:c r="F849" s="11" t="str">
        <x:v>VI–EN</x:v>
      </x:c>
      <x:c r="G849" s="11" t="str">
        <x:v>EB205</x:v>
      </x:c>
      <x:c r="H849" s="11" t="str">
        <x:v>Bộ Công Thương — Báo cáo Logistics Việt Nam 2017</x:v>
      </x:c>
      <x:c r="I849" s="30" t="str">
        <x:v>https://moit.gov.vn/upload/2005517/20210707/bao-cao-logistics-viet-nam-20178796.pdf</x:v>
      </x:c>
      <x:c r="J849" s="11" t="str">
        <x:v>Bảng chữ viết tắt ghi FTA, Free trade agreement và hiệp định thương mại tự do. Đọc từ phần PDF được lập chỉ mục; mở toàn PDF bị hết thời gian.
Nghĩa dùng để đối chiếu: Loại hiệp định thương mại tự do.</x:v>
      </x:c>
      <x:c r="K849" s="11" t="str">
        <x:v>2026-10-29 (KST)</x:v>
      </x:c>
    </x:row>
    <x:row r="850" ht="75" customHeight="1">
      <x:c r="A850" s="11" t="str">
        <x:v>C144</x:v>
      </x:c>
      <x:c r="B850" s="11" t="str">
        <x:v>KO–EN</x:v>
      </x:c>
      <x:c r="C850" s="11" t="str">
        <x:v>자유무역협정 → Free Trade Agreement</x:v>
      </x:c>
      <x:c r="D850" s="11" t="str">
        <x:v>Không kết luận mục từ từ điển từ nguồn này.</x:v>
      </x:c>
      <x:c r="E850" s="11" t="str">
        <x:v>Đối dịch tường minh trong nguồn</x:v>
      </x:c>
      <x:c r="F850" s="11" t="str">
        <x:v>KO–EN</x:v>
      </x:c>
      <x:c r="G850" s="11" t="str">
        <x:v>EB206</x:v>
      </x:c>
      <x:c r="H850" s="11" t="str">
        <x:v>Bộ Ngoại giao Hàn Quốc — kết quả vòng 3 đàm phán FTA Hàn–Nhật</x:v>
      </x:c>
      <x:c r="I850" s="30" t="str">
        <x:v>https://www.mofa.go.kr/www/brd/4080/view.do?page=2002&amp;pitem=10&amp;seq=291802</x:v>
      </x:c>
      <x:c r="J850" s="11" t="str">
        <x:v>Đoạn 1 ghi tự do thương mại 자유무역협정(Free Trade Agreement).
Nghĩa dùng để đối chiếu: Loại hiệp định thương mại tự do.</x:v>
      </x:c>
      <x:c r="K850" s="11" t="str">
        <x:v>2026-10-29 (KST)</x:v>
      </x:c>
    </x:row>
    <x:row r="851" ht="75" customHeight="1">
      <x:c r="A851" s="11" t="str">
        <x:v>C151</x:v>
      </x:c>
      <x:c r="B851" s="11" t="str">
        <x:v>VI–EN</x:v>
      </x:c>
      <x:c r="C851" s="11" t="str">
        <x:v>Công ước Hà Nội → Hanoi Convention</x:v>
      </x:c>
      <x:c r="D851" s="11" t="str">
        <x:v>Không kết luận mục từ từ điển từ nguồn này.</x:v>
      </x:c>
      <x:c r="E851" s="11" t="str">
        <x:v>Đối chiếu văn bản song song</x:v>
      </x:c>
      <x:c r="F851" s="11" t="str">
        <x:v>vi</x:v>
      </x:c>
      <x:c r="G851" s="11" t="str">
        <x:v>EB207</x:v>
      </x:c>
      <x:c r="H851" s="11" t="str">
        <x:v>MOFA Việt Nam – Phê chuẩn Công ước Hà Nội, 8/4/2026</x:v>
      </x:c>
      <x:c r="I851" s="30" t="str">
        <x:v>https://vnembassy-beijing.mofa.gov.vn/vi/web/guest/tin-chi-tiet/chi-tiet/tong-bi-thu-chu-tich-nuoc-to-lam-ky-quyet-dinh-phe-chuan-cong-uoc-ha-noi-59345-138.html</x:v>
      </x:c>
      <x:c r="J851" s="11" t="str">
        <x:v>Bản VI và bản EN MOFA cùng sự kiện, cùng người ký, cùng tên đầy đủ và biệt danh.
Nghĩa dùng để đối chiếu: Tên gọi khác của Công ước Liên hợp quốc về chống tội phạm mạng, được mở ký tại Hà Nội năm 2025.</x:v>
      </x:c>
      <x:c r="K851" s="11" t="str">
        <x:v>2026-10-29 (KST)</x:v>
      </x:c>
    </x:row>
    <x:row r="852" ht="85.5" customHeight="1">
      <x:c r="A852" s="11" t="str">
        <x:v>C151</x:v>
      </x:c>
      <x:c r="B852" s="11" t="str">
        <x:v>KO–EN</x:v>
      </x:c>
      <x:c r="C852" s="11" t="str">
        <x:v>하노이협약 → Hanoi Convention</x:v>
      </x:c>
      <x:c r="D852" s="11" t="str">
        <x:v>Không kết luận mục từ từ điển từ nguồn này.</x:v>
      </x:c>
      <x:c r="E852" s="11" t="str">
        <x:v>Nguồn chỉ giải nghĩa khái niệm</x:v>
      </x:c>
      <x:c r="F852" s="11" t="str">
        <x:v>ko</x:v>
      </x:c>
      <x:c r="G852" s="11" t="str">
        <x:v>EB208</x:v>
      </x:c>
      <x:c r="H852" s="11" t="str">
        <x:v>Nhân Dân tiếng Hàn – toàn văn phát biểu của Tổng Thư ký UN, 25/10/2025</x:v>
      </x:c>
      <x:c r="I852" s="30" t="str">
        <x:v>https://kr.nhandan.vn/article-post1687.html</x:v>
      </x:c>
      <x:c r="J852" s="11" t="str">
        <x:v>Đã tìm toàn biểu thức 하노이협약 và quan hệ đồng danh với công ước UN; nguồn KO chưa đưa tên Anh Hanoi Convention trực tiếp. Liên kết qua đối tượng mới là chứng cứ định danh.
Nghĩa dùng để đối chiếu: Tên gọi khác của Công ước Liên hợp quốc về chống tội phạm mạng, được mở ký tại Hà Nội năm 2025.</x:v>
      </x:c>
      <x:c r="K852" s="11" t="str">
        <x:v>2026-10-29 (KST)</x:v>
      </x:c>
    </x:row>
    <x:row r="853" ht="75" customHeight="1">
      <x:c r="A853" s="11" t="str">
        <x:v>C154</x:v>
      </x:c>
      <x:c r="B853" s="11" t="str">
        <x:v>VI–EN</x:v>
      </x:c>
      <x:c r="C853" s="11" t="str">
        <x:v>Thỏa thuận Paris về khí hậu → Paris Agreement</x:v>
      </x:c>
      <x:c r="D853" s="11" t="str">
        <x:v>Không kết luận mục từ từ điển từ nguồn này.</x:v>
      </x:c>
      <x:c r="E853" s="11" t="str">
        <x:v>Đối dịch tường minh trong nguồn</x:v>
      </x:c>
      <x:c r="F853" s="11" t="str">
        <x:v>VI–EN</x:v>
      </x:c>
      <x:c r="G853" s="11" t="str">
        <x:v>EB209</x:v>
      </x:c>
      <x:c r="H853" s="11" t="str">
        <x:v>Cục Biến đổi khí hậu — bản Việt–Anh Thỏa thuận Paris</x:v>
      </x:c>
      <x:c r="I853" s="30" t="str">
        <x:v>https://pilot.dcc.gov.vn/Portals/0/Thoa%20thuan%20Paris_viet.pdf</x:v>
      </x:c>
      <x:c r="J853" s="11" t="str">
        <x:v>Đã đọc phần tiêu đề song ngữ trong chỉ mục tìm kiếm; mở toàn PDF bị lỗi, chưa kiểm tra toàn văn.
Nghĩa dùng để đối chiếu: Văn kiện khí hậu được thông qua tại Paris năm 2015.</x:v>
      </x:c>
      <x:c r="K853" s="11" t="str">
        <x:v>2026-10-29 (KST)</x:v>
      </x:c>
    </x:row>
    <x:row r="854" ht="75" customHeight="1">
      <x:c r="A854" s="11" t="str">
        <x:v>C154</x:v>
      </x:c>
      <x:c r="B854" s="11" t="str">
        <x:v>KO–EN</x:v>
      </x:c>
      <x:c r="C854" s="11" t="str">
        <x:v>파리협정 → Paris Agreement</x:v>
      </x:c>
      <x:c r="D854" s="11" t="str">
        <x:v>Không kết luận mục từ từ điển từ nguồn này.</x:v>
      </x:c>
      <x:c r="E854" s="11" t="str">
        <x:v>Đối dịch tường minh trong nguồn</x:v>
      </x:c>
      <x:c r="F854" s="11" t="str">
        <x:v>KO–EN</x:v>
      </x:c>
      <x:c r="G854" s="11" t="str">
        <x:v>EB210</x:v>
      </x:c>
      <x:c r="H854" s="11" t="str">
        <x:v>Bộ Ngoại giao Hàn Quốc — ý nghĩa và đặc điểm Thỏa thuận Paris</x:v>
      </x:c>
      <x:c r="I854" s="30" t="str">
        <x:v>https://www.mofa.go.kr/www/brd/m_20152/view.do?seq=365390</x:v>
      </x:c>
      <x:c r="J854" s="11" t="str">
        <x:v>Tiêu đề ghi 파리협정(Paris Agreement), nội dung xác định lĩnh vực khí hậu.
Nghĩa dùng để đối chiếu: Văn kiện khí hậu được thông qua tại Paris năm 2015.</x:v>
      </x:c>
      <x:c r="K854" s="11" t="str">
        <x:v>2026-10-29 (KST)</x:v>
      </x:c>
    </x:row>
    <x:row r="855" ht="75" customHeight="1">
      <x:c r="A855" s="11" t="str">
        <x:v>C155</x:v>
      </x:c>
      <x:c r="B855" s="11" t="str">
        <x:v>VI–EN</x:v>
      </x:c>
      <x:c r="C855" s="11" t="str">
        <x:v>Nghị định thư Kyoto → Kyoto Protocol</x:v>
      </x:c>
      <x:c r="D855" s="11" t="str">
        <x:v>Không kết luận mục từ từ điển từ nguồn này.</x:v>
      </x:c>
      <x:c r="E855" s="11" t="str">
        <x:v>Đối dịch tường minh trong nguồn</x:v>
      </x:c>
      <x:c r="F855" s="11" t="str">
        <x:v>VI–EN</x:v>
      </x:c>
      <x:c r="G855" s="11" t="str">
        <x:v>EB211</x:v>
      </x:c>
      <x:c r="H855" s="11" t="str">
        <x:v>Cục Biến đổi khí hậu — tài liệu kiến thức chung về biến đổi khí hậu</x:v>
      </x:c>
      <x:c r="I855" s="30" t="str">
        <x:v>https://pilot.dcc.gov.vn/Portals/0/DocumentFiles/1161_3_Tai%20lieu%20ve%20Bien%20doi%20khi%20hau%20chung%20o%20VietNam.pdf</x:v>
      </x:c>
      <x:c r="J855" s="11" t="str">
        <x:v>Bảng thuật ngữ được lập chỉ mục ghi trực tiếp Nghị định thư Kyoto – Kyoto Protocol; xác định văn kiện thuộc Công ước khí hậu.
Nghĩa dùng để đối chiếu: Nghị định thư Kyoto năm 1997 thuộc UNFCCC.</x:v>
      </x:c>
      <x:c r="K855" s="11" t="str">
        <x:v>2026-10-29 (KST)</x:v>
      </x:c>
    </x:row>
    <x:row r="856" ht="75" customHeight="1">
      <x:c r="A856" s="11" t="str">
        <x:v>C155</x:v>
      </x:c>
      <x:c r="B856" s="11" t="str">
        <x:v>KO–EN</x:v>
      </x:c>
      <x:c r="C856" s="11" t="str">
        <x:v>교토의정서 → Kyoto Protocol</x:v>
      </x:c>
      <x:c r="D856" s="11" t="str">
        <x:v>Không kết luận mục từ từ điển từ nguồn này.</x:v>
      </x:c>
      <x:c r="E856" s="11" t="str">
        <x:v>Đối dịch tường minh trong nguồn</x:v>
      </x:c>
      <x:c r="F856" s="11" t="str">
        <x:v>KO–EN</x:v>
      </x:c>
      <x:c r="G856" s="11" t="str">
        <x:v>EB212</x:v>
      </x:c>
      <x:c r="H856" s="11" t="str">
        <x:v>Bộ Ngoại giao Hàn Quốc — tiến trình đàm phán khí hậu</x:v>
      </x:c>
      <x:c r="I856" s="30" t="str">
        <x:v>https://www.mofa.go.kr/www/wpge/m_20150/contents.do</x:v>
      </x:c>
      <x:c r="J856" s="11" t="str">
        <x:v>Danh mục song ngữ ghi 교토의정서(1997.12) Kyoto Protocol.
Nghĩa dùng để đối chiếu: Nghị định thư Kyoto năm 1997 thuộc UNFCCC.</x:v>
      </x:c>
      <x:c r="K856" s="11" t="str">
        <x:v>2026-10-29 (KST)</x:v>
      </x:c>
    </x:row>
    <x:row r="857" ht="75" customHeight="1">
      <x:c r="A857" s="11" t="str">
        <x:v>C157</x:v>
      </x:c>
      <x:c r="B857" s="11" t="str">
        <x:v>VI–EN</x:v>
      </x:c>
      <x:c r="C857" s="11" t="str">
        <x:v>Hiệp định Đối tác Toàn diện và tiến bộ xuyên Thái Bình Dương → Comprehensive and Progressive Agreement for Trans-Pacific Partnership</x:v>
      </x:c>
      <x:c r="D857" s="11" t="str">
        <x:v>Không kết luận mục từ từ điển từ nguồn này.</x:v>
      </x:c>
      <x:c r="E857" s="11" t="str">
        <x:v>Đối dịch tường minh trong nguồn</x:v>
      </x:c>
      <x:c r="F857" s="11" t="str">
        <x:v>vi,en</x:v>
      </x:c>
      <x:c r="G857" s="11" t="str">
        <x:v>EB213</x:v>
      </x:c>
      <x:c r="H857" s="11" t="str">
        <x:v>Ban chỉ đạo hội nhập kinh tế quốc tế – Phê chuẩn CPTPP, dẫn Nghị quyết 72/2018/QH14</x:v>
      </x:c>
      <x:c r="I857" s="30" t="str">
        <x:v>https://hoinhapkinhte.gov.vn/Tin-t%E1%BB%A9c/ID/1049/Ban-hanh-nghi-quyet-phe-chuan-CPTPP-cung-cac-van-kien-lien-quan</x:v>
      </x:c>
      <x:c r="J857" s="11" t="str">
        <x:v>Tên đầy đủ VI–EN được đối chiếu tường minh; chỉ xác nhận tên hiệp định, không nội dung hoặc hiệu lực mới.
Nghĩa dùng để đối chiếu: Hiệp định CPTPP, tiếp nhận nhiều quy định của TPP và tạm đình chỉ áp dụng một số quy định được xác định trong văn kiện.</x:v>
      </x:c>
      <x:c r="K857" s="11" t="str">
        <x:v>2026-10-29 (KST)</x:v>
      </x:c>
    </x:row>
    <x:row r="858" ht="75" customHeight="1">
      <x:c r="A858" s="11" t="str">
        <x:v>C157</x:v>
      </x:c>
      <x:c r="B858" s="11" t="str">
        <x:v>KO–EN</x:v>
      </x:c>
      <x:c r="C858" s="11" t="str">
        <x:v>포괄적·점진적 환태평양경제동반자협정 → Comprehensive and Progressive Agreement for Trans-Pacific Partnership</x:v>
      </x:c>
      <x:c r="D858" s="11" t="str">
        <x:v>Không kết luận mục từ từ điển từ nguồn này.</x:v>
      </x:c>
      <x:c r="E858" s="11" t="str">
        <x:v>Đối dịch tường minh trong nguồn</x:v>
      </x:c>
      <x:c r="F858" s="11" t="str">
        <x:v>ko,en</x:v>
      </x:c>
      <x:c r="G858" s="11" t="str">
        <x:v>EB214</x:v>
      </x:c>
      <x:c r="H858" s="11" t="str">
        <x:v>MOTIR – CPTPP 가입 검토 관련 서비스업계 간담회 개최, 8/10/2026</x:v>
      </x:c>
      <x:c r="I858" s="30" t="str">
        <x:v>https://www.motir.go.kr/kor/article/ATCL3f49a5a8c/172272/view</x:v>
      </x:c>
      <x:c r="J858" s="11" t="str">
        <x:v>Nguồn có nguyên dạng 포괄적·점진적 환태평양경제동반자협정 và tên tiếng Anh.
Nghĩa dùng để đối chiếu: Hiệp định CPTPP, tiếp nhận nhiều quy định của TPP và tạm đình chỉ áp dụng một số quy định được xác định trong văn kiện.</x:v>
      </x:c>
      <x:c r="K858" s="11" t="str">
        <x:v>2026-10-29 (KST)</x:v>
      </x:c>
    </x:row>
    <x:row r="859" ht="75" customHeight="1">
      <x:c r="A859" s="11" t="str">
        <x:v>C159</x:v>
      </x:c>
      <x:c r="B859" s="11" t="str">
        <x:v>VI–EN</x:v>
      </x:c>
      <x:c r="C859" s="11" t="str">
        <x:v>Chương trình Hành động → Action Programme</x:v>
      </x:c>
      <x:c r="D859" s="11" t="str">
        <x:v>Không kết luận mục từ từ điển từ nguồn này.</x:v>
      </x:c>
      <x:c r="E859" s="11" t="str">
        <x:v>Đối chiếu văn bản song song</x:v>
      </x:c>
      <x:c r="F859" s="11" t="str">
        <x:v>VI–EN</x:v>
      </x:c>
      <x:c r="G859" s="11" t="str">
        <x:v>EB215</x:v>
      </x:c>
      <x:c r="H859" s="11" t="str">
        <x:v>Cổng Chính phủ — tuyên bố chung Việt Nam–Hàn Quốc 11/8/2025, Việt và Anh</x:v>
      </x:c>
      <x:c r="I859" s="30" t="str">
        <x:v>https://cms.baochinhphu.vn/tuyen-bo-chung-ve-lam-sau-sac-hon-quan-he-doi-tac-chien-luoc-toan-dien-viet-nam-han-quoc-102250811194218425.htm
https://en.baochinhphu.vn/viet-nam-south-korea-issue-joint-statement-on-deepening-comprehensive-strategic-partnership-111250811220040691.htm</x:v>
      </x:c>
      <x:c r="J859" s="11" t="str">
        <x:v>Cùng chương trình triển khai quan hệ Việt Nam–Hàn Quốc; không tự đổi thành mọi action plan.
Nghĩa dùng để đối chiếu: Loại văn bản xác định các nhiệm vụ và hướng thực hiện để đạt mục tiêu hành động đã đề ra.</x:v>
      </x:c>
      <x:c r="K859" s="11" t="str">
        <x:v>2026-10-29 (KST)</x:v>
      </x:c>
    </x:row>
    <x:row r="860" ht="75" customHeight="1">
      <x:c r="A860" s="11" t="str">
        <x:v>C161</x:v>
      </x:c>
      <x:c r="B860" s="11" t="str">
        <x:v>VI–EN</x:v>
      </x:c>
      <x:c r="C860" s="11" t="str">
        <x:v>Công ước Liên hợp quốc về chống tội phạm mạng → United Nations Convention against Cybercrime</x:v>
      </x:c>
      <x:c r="D860" s="11" t="str">
        <x:v>Không kết luận mục từ từ điển từ nguồn này.</x:v>
      </x:c>
      <x:c r="E860" s="11" t="str">
        <x:v>Đối dịch tường minh trong nguồn</x:v>
      </x:c>
      <x:c r="F860" s="11" t="str">
        <x:v>vi,en</x:v>
      </x:c>
      <x:c r="G860" s="11" t="str">
        <x:v>EB216</x:v>
      </x:c>
      <x:c r="H860" s="11" t="str">
        <x:v>Học viện Chính trị CAND – phục vụ Lễ mở ký Công ước Hà Nội 2025</x:v>
      </x:c>
      <x:c r="I860" s="30" t="str">
        <x:v>https://hvctcand.bocongan.gov.vn/doan-cong-tac-hoc-vien-chinh-tri-cong-an-nhan-dan-hoan-thanh-xuat-sac-nhiem-vu-phuc-vu-tai-le-mo-ki-cong-7944</x:v>
      </x:c>
      <x:c r="J860" s="11" t="str">
        <x:v>Tên Việt trong nguồn có bổ sung Hà Nội/phòng chống, nhưng chỉ rõ tên Anh của cùng công ước UN.
Nghĩa dùng để đối chiếu: Công ước Liên hợp quốc quy định hợp tác phòng, chống tội phạm mạng và chia sẻ chứng cứ điện tử; còn gọi là Công ước Hà Nội.</x:v>
      </x:c>
      <x:c r="K860" s="11" t="str">
        <x:v>2026-10-29 (KST)</x:v>
      </x:c>
    </x:row>
    <x:row r="861" ht="85.5" customHeight="1">
      <x:c r="A861" s="11" t="str">
        <x:v>C161</x:v>
      </x:c>
      <x:c r="B861" s="11" t="str">
        <x:v>KO–EN</x:v>
      </x:c>
      <x:c r="C861" s="11" t="str">
        <x:v>유엔 사이버범죄 방지 협약 → United Nations Convention against Cybercrime</x:v>
      </x:c>
      <x:c r="D861" s="11" t="str">
        <x:v>Không kết luận mục từ từ điển từ nguồn này.</x:v>
      </x:c>
      <x:c r="E861" s="11" t="str">
        <x:v>Đối chiếu văn bản song song</x:v>
      </x:c>
      <x:c r="F861" s="11" t="str">
        <x:v>ko</x:v>
      </x:c>
      <x:c r="G861" s="11" t="str">
        <x:v>EB217</x:v>
      </x:c>
      <x:c r="H861" s="11" t="str">
        <x:v>UNODC–KOSTAT – Annual Review 2025; báo cáo tiếng Hàn về lễ ký</x:v>
      </x:c>
      <x:c r="I861" s="30" t="str">
        <x:v>https://coekostat.unodc.org/coekostat/uploads/documents/Annual%20Review/2025_Annual_Review_Final.pdf</x:v>
      </x:c>
      <x:c r="J861" s="11" t="str">
        <x:v>Đối chiếu đoạn báo cáo KO 2025 và bản tin EN cùng UNODC–KOSTAT về đúng lễ ký; chứng cứ thuật ngữ không chỉ suy từ nguồn EN. Tên Hàn viết liền 방지협약 khác khoảng trắng đầu vào.
Nghĩa dùng để đối chiếu: Công ước Liên hợp quốc quy định hợp tác phòng, chống tội phạm mạng và chia sẻ chứng cứ điện tử; còn gọi là Công ước Hà Nội.</x:v>
      </x:c>
      <x:c r="K861" s="11" t="str">
        <x:v>2026-10-29 (KST)</x:v>
      </x:c>
    </x:row>
    <x:row r="862" ht="85.5" customHeight="1">
      <x:c r="A862" s="11" t="str">
        <x:v>C165</x:v>
      </x:c>
      <x:c r="B862" s="11" t="str">
        <x:v>VI–EN</x:v>
      </x:c>
      <x:c r="C862" s="11" t="str">
        <x:v>Tổng Bí thư → General Secretary of the Communist Party of Viet Nam Central Committee</x:v>
      </x:c>
      <x:c r="D862" s="11" t="str">
        <x:v>Không kết luận mục từ từ điển từ nguồn này.</x:v>
      </x:c>
      <x:c r="E862" s="11" t="str">
        <x:v>Đối chiếu văn bản song song</x:v>
      </x:c>
      <x:c r="F862" s="11" t="str">
        <x:v>vi + en</x:v>
      </x:c>
      <x:c r="G862" s="11" t="str">
        <x:v>EB218</x:v>
      </x:c>
      <x:c r="H862" s="11" t="str">
        <x:v>Văn phòng Chủ tịch nước: Tổng Bí thư Tô Lâm lên đường dự họp Gaza, 18/02/2026 | Nhân Dân/VNA: Party leader leaves for inaugural meeting of Gaza Board of Peace in US, 18/02/2026</x:v>
      </x:c>
      <x:c r="I862" s="30" t="str">
        <x:v>https://vpctn.gov.vn/tin-tuc-su-kien/hoat-dong-cua-lanh-dao-dang-nha-nuoc/tong-bi-thu-to-lam-len-duong-tham-du-cuoc-hop-khai-mac-hoi-dong-hoa-binh-ve-gaza.html
https://en.nhandan.vn/party-leader-leaves-for-inaugural-meeting-of-gaza-board-of-peace-in-us-post159197.html</x:v>
      </x:c>
      <x:c r="J862" s="11" t="str">
        <x:v>Đối chiếu cùng người (Tô Lâm), cùng chuyến đi ngày 18/02/2026 và cùng chức vụ trong các bản tin chính thức; tên người dùng để khóa nghĩa, không thay thế kiểm tra danh hiệu.
Nghĩa dùng để đối chiếu: Người đứng đầu chính đảng; ở đây là ĐCSVN.</x:v>
      </x:c>
      <x:c r="K862" s="11" t="str">
        <x:v>2026-10-29 (KST)</x:v>
      </x:c>
    </x:row>
    <x:row r="863" ht="75" customHeight="1">
      <x:c r="A863" s="11" t="str">
        <x:v>C165</x:v>
      </x:c>
      <x:c r="B863" s="11" t="str">
        <x:v>KO–EN</x:v>
      </x:c>
      <x:c r="C863" s="11" t="str">
        <x:v>당 서기장 → General Secretary of the Communist Party of Viet Nam Central Committee</x:v>
      </x:c>
      <x:c r="D863" s="11" t="str">
        <x:v>Không kết luận mục từ từ điển từ nguồn này.</x:v>
      </x:c>
      <x:c r="E863" s="11" t="str">
        <x:v>Đối chiếu văn bản song song</x:v>
      </x:c>
      <x:c r="F863" s="11" t="str">
        <x:v>ko + en</x:v>
      </x:c>
      <x:c r="G863" s="11" t="str">
        <x:v>EB219</x:v>
      </x:c>
      <x:c r="H863" s="11" t="str">
        <x:v>Nhân Dân tiếng Hàn: 또럼 당 서기장… 출국, 18/02/2026 | Nhân Dân/VNA: Party leader leaves for inaugural meeting of Gaza Board of Peace in US, 18/02/2026</x:v>
      </x:c>
      <x:c r="I863" s="30" t="str">
        <x:v>https://kr.nhandan.vn/article-post4069.html
https://en.nhandan.vn/party-leader-leaves-for-inaugural-meeting-of-gaza-board-of-peace-in-us-post159197.html</x:v>
      </x:c>
      <x:c r="J863" s="11" t="str">
        <x:v>Đối chiếu cùng người (Tô Lâm), cùng chuyến đi ngày 18/02/2026 và cùng chức vụ trong các bản tin chính thức; tên người dùng để khóa nghĩa, không thay thế kiểm tra danh hiệu.
Nghĩa dùng để đối chiếu: Người đứng đầu chính đảng; ở đây là ĐCSVN.</x:v>
      </x:c>
      <x:c r="K863" s="11" t="str">
        <x:v>2026-10-29 (KST)</x:v>
      </x:c>
    </x:row>
    <x:row r="864" ht="85.5" customHeight="1">
      <x:c r="A864" s="11" t="str">
        <x:v>C166</x:v>
      </x:c>
      <x:c r="B864" s="11" t="str">
        <x:v>VI–EN</x:v>
      </x:c>
      <x:c r="C864" s="11" t="str">
        <x:v>Ủy viên Trung ương Đảng → member of the Party Central Committee</x:v>
      </x:c>
      <x:c r="D864" s="11" t="str">
        <x:v>Không kết luận mục từ từ điển từ nguồn này.</x:v>
      </x:c>
      <x:c r="E864" s="11" t="str">
        <x:v>Đối chiếu văn bản song song</x:v>
      </x:c>
      <x:c r="F864" s="11" t="str">
        <x:v>vi + en</x:v>
      </x:c>
      <x:c r="G864" s="11" t="str">
        <x:v>EB220</x:v>
      </x:c>
      <x:c r="H864" s="11" t="str">
        <x:v>Văn phòng Chủ tịch nước: Tổng Bí thư Tô Lâm lên đường dự họp Gaza, 18/02/2026 | Nhân Dân/VNA: Party leader leaves for inaugural meeting of Gaza Board of Peace in US, 18/02/2026</x:v>
      </x:c>
      <x:c r="I864" s="30" t="str">
        <x:v>https://vpctn.gov.vn/tin-tuc-su-kien/hoat-dong-cua-lanh-dao-dang-nha-nuoc/tong-bi-thu-to-lam-len-duong-tham-du-cuoc-hop-khai-mac-hoi-dong-hoa-binh-ve-gaza.html
https://en.nhandan.vn/party-leader-leaves-for-inaugural-meeting-of-gaza-board-of-peace-in-us-post159197.html</x:v>
      </x:c>
      <x:c r="J864" s="11" t="str">
        <x:v>Đối chiếu cùng người (Nguyễn Văn Thắng / Nguyễn Thị Hồng), cùng chuyến đi ngày 18/02/2026 và cùng chức vụ trong các bản tin chính thức; tên người dùng để khóa nghĩa, không thay thế kiểm tra danh hiệu.
Nghĩa dùng để đối chiếu: Người có tư cách thành viên Ban Chấp hành Trung ương Đảng.</x:v>
      </x:c>
      <x:c r="K864" s="11" t="str">
        <x:v>2026-10-29 (KST)</x:v>
      </x:c>
    </x:row>
    <x:row r="865" ht="85.5" customHeight="1">
      <x:c r="A865" s="11" t="str">
        <x:v>C166</x:v>
      </x:c>
      <x:c r="B865" s="11" t="str">
        <x:v>KO–EN</x:v>
      </x:c>
      <x:c r="C865" s="11" t="str">
        <x:v>당 중앙위원 → member of the Party Central Committee</x:v>
      </x:c>
      <x:c r="D865" s="11" t="str">
        <x:v>Không kết luận mục từ từ điển từ nguồn này.</x:v>
      </x:c>
      <x:c r="E865" s="11" t="str">
        <x:v>Đối chiếu văn bản song song</x:v>
      </x:c>
      <x:c r="F865" s="11" t="str">
        <x:v>ko + en</x:v>
      </x:c>
      <x:c r="G865" s="11" t="str">
        <x:v>EB221</x:v>
      </x:c>
      <x:c r="H865" s="11" t="str">
        <x:v>Nhân Dân tiếng Hàn: 또럼 당 서기장… 출국, 18/02/2026 | Nhân Dân/VNA: Party leader leaves for inaugural meeting of Gaza Board of Peace in US, 18/02/2026</x:v>
      </x:c>
      <x:c r="I865" s="30" t="str">
        <x:v>https://kr.nhandan.vn/article-post4069.html
https://en.nhandan.vn/party-leader-leaves-for-inaugural-meeting-of-gaza-board-of-peace-in-us-post159197.html</x:v>
      </x:c>
      <x:c r="J865" s="11" t="str">
        <x:v>Đối chiếu cùng người (Nguyễn Văn Thắng / Nguyễn Thị Hồng), cùng chuyến đi ngày 18/02/2026 và cùng chức vụ trong các bản tin chính thức; tên người dùng để khóa nghĩa, không thay thế kiểm tra danh hiệu.
Nghĩa dùng để đối chiếu: Người có tư cách thành viên Ban Chấp hành Trung ương Đảng.</x:v>
      </x:c>
      <x:c r="K865" s="11" t="str">
        <x:v>2026-10-29 (KST)</x:v>
      </x:c>
    </x:row>
    <x:row r="866" ht="75" customHeight="1">
      <x:c r="A866" s="11" t="str">
        <x:v>C167</x:v>
      </x:c>
      <x:c r="B866" s="11" t="str">
        <x:v>VI–EN</x:v>
      </x:c>
      <x:c r="C866" s="11" t="str">
        <x:v>Đảng Cộng sản Việt Nam → Communist Party of Viet Nam</x:v>
      </x:c>
      <x:c r="D866" s="11" t="str">
        <x:v>Không kết luận mục từ từ điển từ nguồn này.</x:v>
      </x:c>
      <x:c r="E866" s="11" t="str">
        <x:v>Đối chiếu văn bản song song</x:v>
      </x:c>
      <x:c r="F866" s="11" t="str">
        <x:v>vi</x:v>
      </x:c>
      <x:c r="G866" s="11" t="str">
        <x:v>EB222</x:v>
      </x:c>
      <x:c r="H866" s="11" t="str">
        <x:v>Cổng Chính phủ – Hệ thống chính trị</x:v>
      </x:c>
      <x:c r="I866" s="30" t="str">
        <x:v>https://vanban.chinhphu.vn/he-thong-chinh-tri-68381</x:v>
      </x:c>
      <x:c r="J866" s="11" t="str">
        <x:v>Bản VI và EN của cổng Chính phủ định danh cùng ĐCSVN; không suy từ một nguồn EN đơn ngữ.
Nghĩa dùng để đối chiếu: Chính đảng lãnh đạo Nhà nước và xã hội Việt Nam.</x:v>
      </x:c>
      <x:c r="K866" s="11" t="str">
        <x:v>2026-10-29 (KST)</x:v>
      </x:c>
    </x:row>
    <x:row r="867" ht="75" customHeight="1">
      <x:c r="A867" s="11" t="str">
        <x:v>C167</x:v>
      </x:c>
      <x:c r="B867" s="11" t="str">
        <x:v>KO–EN</x:v>
      </x:c>
      <x:c r="C867" s="11" t="str">
        <x:v>베트남공산당 → Communist Party of Vietnam</x:v>
      </x:c>
      <x:c r="D867" s="11" t="str">
        <x:v>Không kết luận mục từ từ điển từ nguồn này.</x:v>
      </x:c>
      <x:c r="E867" s="11" t="str">
        <x:v>Đối dịch tường minh trong nguồn</x:v>
      </x:c>
      <x:c r="F867" s="11" t="str">
        <x:v>ko,en</x:v>
      </x:c>
      <x:c r="G867" s="11" t="str">
        <x:v>EB223</x:v>
      </x:c>
      <x:c r="H867" s="11" t="str">
        <x:v>DTAQ – 2020 국방조달시장 진출가이드북 베트남</x:v>
      </x:c>
      <x:c r="I867" s="30" t="str">
        <x:v>https://www.dtaq.re.kr/_custom/dtaq/_common/board/download.jsp?attach_no=196121</x:v>
      </x:c>
      <x:c r="J867" s="11" t="str">
        <x:v>Nguồn đặt tên bản ngữ và tên tiếng Anh cạnh nhau; chỉ dùng cho nghĩa/đối tượng được nêu.
Nghĩa dùng để đối chiếu: Chính đảng lãnh đạo Nhà nước và xã hội Việt Nam.</x:v>
      </x:c>
      <x:c r="K867" s="11" t="str">
        <x:v>2026-10-29 (KST)</x:v>
      </x:c>
    </x:row>
    <x:row r="868" ht="75" customHeight="1">
      <x:c r="A868" s="11" t="str">
        <x:v>C169</x:v>
      </x:c>
      <x:c r="B868" s="11" t="str">
        <x:v>VI–EN</x:v>
      </x:c>
      <x:c r="C868" s="11" t="str">
        <x:v>Hội đồng Bảo an Liên hợp quốc → Security Council</x:v>
      </x:c>
      <x:c r="D868" s="11" t="str">
        <x:v>Không kết luận mục từ từ điển từ nguồn này.</x:v>
      </x:c>
      <x:c r="E868" s="11" t="str">
        <x:v>Đối dịch tường minh trong nguồn</x:v>
      </x:c>
      <x:c r="F868" s="11" t="str">
        <x:v>vi,en</x:v>
      </x:c>
      <x:c r="G868" s="11" t="str">
        <x:v>EB224</x:v>
      </x:c>
      <x:c r="H868" s="11" t="str">
        <x:v>Bộ Tư pháp – nghiên cứu báo cáo quốc gia UPR; tên các cơ quan LHQ</x:v>
      </x:c>
      <x:c r="I868" s="30" t="str">
        <x:v>https://tlpl.moj.gov.vn/tailieu/_layouts/mobile/dispform.aspx?ID=822&amp;List=1c8785d3-62e5-46e7-b67f-498c8b0e9904&amp;View=b950df70-0f0b-407d-ab81-7dc000b50102</x:v>
      </x:c>
      <x:c r="J868" s="11" t="str">
        <x:v>Nguồn đặt Hội đồng Bảo an cạnh Security Council trong danh mục cơ quan LHQ; phạm vi UN được nêu trong câu.
Nghĩa dùng để đối chiếu: Cơ quan Liên hợp quốc chịu trách nhiệm chính về duy trì hòa bình và an ninh quốc tế.</x:v>
      </x:c>
      <x:c r="K868" s="11" t="str">
        <x:v>2026-10-29 (KST)</x:v>
      </x:c>
    </x:row>
    <x:row r="869" ht="75" customHeight="1">
      <x:c r="A869" s="11" t="str">
        <x:v>C169</x:v>
      </x:c>
      <x:c r="B869" s="11" t="str">
        <x:v>KO–EN</x:v>
      </x:c>
      <x:c r="C869" s="11" t="str">
        <x:v>유엔안보리 → Security Council</x:v>
      </x:c>
      <x:c r="D869" s="11" t="str">
        <x:v>Không kết luận mục từ từ điển từ nguồn này.</x:v>
      </x:c>
      <x:c r="E869" s="11" t="str">
        <x:v>Đối dịch tường minh trong nguồn</x:v>
      </x:c>
      <x:c r="F869" s="11" t="str">
        <x:v>ko,en</x:v>
      </x:c>
      <x:c r="G869" s="11" t="str">
        <x:v>EB225</x:v>
      </x:c>
      <x:c r="H869" s="11" t="str">
        <x:v>MOFA Korea – 유엔(United Nations), tên đầy đủ và tên viết tắt</x:v>
      </x:c>
      <x:c r="I869" s="30" t="str">
        <x:v>https://www.mofa.go.kr/www/wpge/m_3873/contents.do</x:v>
      </x:c>
      <x:c r="J869" s="11" t="str">
        <x:v>Cùng trang giải thích 안전보장이사회 viết tắt 안보리; trang đặt Security Council trong hệ thống UN. Đây là đối chiếu tên rút gọn trong đúng thực thể.
Nghĩa dùng để đối chiếu: Cơ quan Liên hợp quốc chịu trách nhiệm chính về duy trì hòa bình và an ninh quốc tế.</x:v>
      </x:c>
      <x:c r="K869" s="11" t="str">
        <x:v>2026-10-29 (KST)</x:v>
      </x:c>
    </x:row>
    <x:row r="870" ht="75" customHeight="1">
      <x:c r="A870" s="11" t="str">
        <x:v>C170</x:v>
      </x:c>
      <x:c r="B870" s="11" t="str">
        <x:v>VI–EN</x:v>
      </x:c>
      <x:c r="C870" s="11" t="str">
        <x:v>ngoại giao kinh tế → economic diplomacy</x:v>
      </x:c>
      <x:c r="D870" s="11" t="str">
        <x:v>Không kết luận mục từ từ điển từ nguồn này.</x:v>
      </x:c>
      <x:c r="E870" s="11" t="str">
        <x:v>Đối chiếu văn bản song song</x:v>
      </x:c>
      <x:c r="F870" s="11" t="str">
        <x:v>VI–EN</x:v>
      </x:c>
      <x:c r="G870" s="11" t="str">
        <x:v>EB226</x:v>
      </x:c>
      <x:c r="H870" s="11" t="str">
        <x:v>Đại sứ quán Việt Nam tại Thổ Nhĩ Kỳ — tiêu đề song ngữ về ngoại giao kinh tế</x:v>
      </x:c>
      <x:c r="I870" s="30" t="str">
        <x:v>https://vnembassy-ankara.mofa.gov.vn/en/tin-chi-tiet/chi-tiet/tang-cuong-ngoai-giao-kinh-te-va-ket-noi-dia-phuong-61668-1455.html</x:v>
      </x:c>
      <x:c r="J870" s="11" t="str">
        <x:v>Tiêu đề Việt và Anh của cùng bài tương ứng rõ ràng.
Nghĩa dùng để đối chiếu: Hoạt động ngoại giao nhằm phục vụ lợi ích, mục tiêu phát triển kinh tế và thúc đẩy quan hệ kinh tế đối ngoại.</x:v>
      </x:c>
      <x:c r="K870" s="11" t="str">
        <x:v>2026-10-29 (KST)</x:v>
      </x:c>
    </x:row>
    <x:row r="871" ht="75" customHeight="1">
      <x:c r="A871" s="11" t="str">
        <x:v>C170</x:v>
      </x:c>
      <x:c r="B871" s="11" t="str">
        <x:v>KO–EN</x:v>
      </x:c>
      <x:c r="C871" s="11" t="str">
        <x:v>경제외교 → economic diplomacy</x:v>
      </x:c>
      <x:c r="D871" s="11" t="str">
        <x:v>Không kết luận mục từ từ điển từ nguồn này.</x:v>
      </x:c>
      <x:c r="E871" s="11" t="str">
        <x:v>Đối chiếu văn bản song song</x:v>
      </x:c>
      <x:c r="F871" s="11" t="str">
        <x:v>KO–EN</x:v>
      </x:c>
      <x:c r="G871" s="11" t="str">
        <x:v>EB227</x:v>
      </x:c>
      <x:c r="H871" s="11" t="str">
        <x:v>Bộ Ngoại giao Hàn Quốc — hội đồng tư vấn kinh tế ngoại giao</x:v>
      </x:c>
      <x:c r="I871" s="30" t="str">
        <x:v>https://www.mofa.go.kr/www/brd/m_4080/view.do?page=69&amp;pitem=10&amp;seq=376605
https://www.mofa.go.kr/eng/brd/m_5676/view.do?seq=323010</x:v>
      </x:c>
      <x:c r="J871" s="11" t="str">
        <x:v>Bài Hàn về 경제외교 có liên kết bản Anh ghi Policy Advisory Committee on Economic Diplomacy.
Nghĩa dùng để đối chiếu: Lĩnh vực thực hành ngoại giao phục vụ mục tiêu kinh tế.</x:v>
      </x:c>
      <x:c r="K871" s="11" t="str">
        <x:v>2026-10-29 (KST)</x:v>
      </x:c>
    </x:row>
    <x:row r="872" ht="75" customHeight="1">
      <x:c r="A872" s="11" t="str">
        <x:v>C182</x:v>
      </x:c>
      <x:c r="B872" s="11" t="str">
        <x:v>VI–EN</x:v>
      </x:c>
      <x:c r="C872" s="11" t="str">
        <x:v>Hiệp ước Biển cả → High Seas Treaty</x:v>
      </x:c>
      <x:c r="D872" s="11" t="str">
        <x:v>Không kết luận mục từ từ điển từ nguồn này.</x:v>
      </x:c>
      <x:c r="E872" s="11" t="str">
        <x:v>Đối chiếu văn bản song song</x:v>
      </x:c>
      <x:c r="F872" s="11" t="str">
        <x:v>vi</x:v>
      </x:c>
      <x:c r="G872" s="11" t="str">
        <x:v>EB228</x:v>
      </x:c>
      <x:c r="H872" s="11" t="str">
        <x:v>MOFA Việt Nam – phỏng vấn Nguyễn Minh Vũ về Hiệp ước Biển cả, 17/1/2026</x:v>
      </x:c>
      <x:c r="I872" s="30" t="str">
        <x:v>https://web.mofa.gov.vn/vi/web/guest/tin-chi-tiet/chi-tiet/uy-vien-du-khuyet-trung-uong-dang-thu-truong-thuong-truc-bo-ngoai-giao-nguyen-minh-vu-tra-loi-phong-van-nhan-dip-hiep-uoc-bien-ca-co-hieu-luc-58409-140.html</x:v>
      </x:c>
      <x:c r="J872" s="11" t="str">
        <x:v>Đối chiếu bản VI và bản EN về cùng phỏng vấn, cùng sự kiện BBNJ có hiệu lực; không dùng một nguồn EN đơn ngữ.
Nghĩa dùng để đối chiếu: Tên gọi của Hiệp định BBNJ thực thi UNCLOS về bảo tồn và sử dụng bền vững đa dạng sinh học ngoài quyền tài phán quốc gia.</x:v>
      </x:c>
      <x:c r="K872" s="11" t="str">
        <x:v>2026-10-29 (KST)</x:v>
      </x:c>
    </x:row>
    <x:row r="873" ht="75" customHeight="1">
      <x:c r="A873" s="11" t="str">
        <x:v>C182</x:v>
      </x:c>
      <x:c r="B873" s="11" t="str">
        <x:v>KO–EN</x:v>
      </x:c>
      <x:c r="C873" s="11" t="str">
        <x:v>공해조약 → High Seas Treaty</x:v>
      </x:c>
      <x:c r="D873" s="11" t="str">
        <x:v>Không kết luận mục từ từ điển từ nguồn này.</x:v>
      </x:c>
      <x:c r="E873" s="11" t="str">
        <x:v>Đối dịch tường minh trong nguồn</x:v>
      </x:c>
      <x:c r="F873" s="11" t="str">
        <x:v>ko,en</x:v>
      </x:c>
      <x:c r="G873" s="11" t="str">
        <x:v>EB229</x:v>
      </x:c>
      <x:c r="H873" s="11" t="str">
        <x:v>UN Global Compact Network Korea – giới thiệu Ocean Investment Protocol</x:v>
      </x:c>
      <x:c r="I873" s="30" t="str">
        <x:v>https://unglobalcompact.kr/events/%EA%B2%B0%EA%B3%BC-%EA%B3%B5%EC%9C%A0/?mod=document&amp;uid=3279</x:v>
      </x:c>
      <x:c r="J873" s="11" t="str">
        <x:v>Tên KO và EN được đặt cạnh nhau. Tuy nhiên 공해조약 còn dùng cho công ước 1958; cần câu gốc để xác nhận ở C182 là BBNJ.
Nghĩa dùng để đối chiếu: Tên gọi của Hiệp định BBNJ thực thi UNCLOS về bảo tồn và sử dụng bền vững đa dạng sinh học ngoài quyền tài phán quốc gia.</x:v>
      </x:c>
      <x:c r="K873" s="11" t="str">
        <x:v>2026-10-29 (KST)</x:v>
      </x:c>
    </x:row>
    <x:row r="874" ht="100.5" customHeight="1">
      <x:c r="A874" s="11" t="str">
        <x:v>C186</x:v>
      </x:c>
      <x:c r="B874" s="11" t="str">
        <x:v>VI–EN</x:v>
      </x:c>
      <x:c r="C874" s="11" t="str">
        <x:v>chạy đua vũ trang → arms race</x:v>
      </x:c>
      <x:c r="D874" s="11" t="str">
        <x:v>Không kết luận mục từ từ điển từ nguồn này.</x:v>
      </x:c>
      <x:c r="E874" s="11" t="str">
        <x:v>Đối dịch tường minh trong nguồn</x:v>
      </x:c>
      <x:c r="F874" s="11" t="str">
        <x:v>VI–EN</x:v>
      </x:c>
      <x:c r="G874" s="11" t="str">
        <x:v>EB230</x:v>
      </x:c>
      <x:c r="H874" s="11" t="str">
        <x:v>Trương Thanh Nhã — Chạy đua vũ trang (Arms race), Sổ tay Thuật ngữ Quan hệ Quốc tế (2013), đăng lại trên Nghiên cứu Quốc tế</x:v>
      </x:c>
      <x:c r="I874" s="30" t="str">
        <x:v>https://nghiencuuquocte.org/2015/01/07/chay-dua-vu-trang/</x:v>
      </x:c>
      <x:c r="J874" s="11" t="str">
        <x:v>Tiêu đề mục thuật ngữ đặt trực tiếp tên Việt cạnh Arms race; tác giả Trương Thanh Nhã; nguồn dẫn Đào Minh Hồng – Lê Hồng Hiệp chủ biên, Khoa QHQT, ĐH KHXH&amp;NV TP.HCM, 2013. Đây là bản đăng lại mục thuật ngữ học thuật, không phải trang từ điển nhà nước hay bản gốc sách được mở.
Nghĩa dùng để đối chiếu: Cạnh tranh tăng cường lực lượng vũ trang để vượt các bên khác về sức mạnh.</x:v>
      </x:c>
      <x:c r="K874" s="11" t="str">
        <x:v>2026-10-29 (KST)</x:v>
      </x:c>
    </x:row>
    <x:row r="875" ht="85.5" customHeight="1">
      <x:c r="A875" s="11" t="str">
        <x:v>C186</x:v>
      </x:c>
      <x:c r="B875" s="11" t="str">
        <x:v>KO–EN</x:v>
      </x:c>
      <x:c r="C875" s="11" t="str">
        <x:v>군비경쟁 → arms race</x:v>
      </x:c>
      <x:c r="D875" s="11" t="str">
        <x:v>Không kết luận mục từ từ điển từ nguồn này.</x:v>
      </x:c>
      <x:c r="E875" s="11" t="str">
        <x:v>Đối dịch tường minh trong nguồn</x:v>
      </x:c>
      <x:c r="F875" s="11" t="str">
        <x:v>KO–EN</x:v>
      </x:c>
      <x:c r="G875" s="11" t="str">
        <x:v>EB231</x:v>
      </x:c>
      <x:c r="H875" s="11" t="str">
        <x:v>국회예산정책처 — 국방비의 경제연관성 분석, 예산현안분석 제9호</x:v>
      </x:c>
      <x:c r="I875" s="30" t="str">
        <x:v>https://www.nabo.go.kr/board/file/bulkDown.do?bid=19&amp;idx=127</x:v>
      </x:c>
      <x:c r="J875" s="11" t="str">
        <x:v>Báo cáo gốc của cơ quan ngân sách Quốc hội Hàn Quốc ghi trực tiếp 군비경쟁(arms race), trang in 3 / trang PDF 6, dòng 90–92. Viết liền 군비경쟁 là biến thể khoảng trắng của 군비 경쟁 trong dữ liệu.
Nghĩa dùng để đối chiếu: Cạnh tranh tăng cường quân bị giữa các quốc gia, được bàn trong mô hình quyết định ngân sách quốc phòng.</x:v>
      </x:c>
      <x:c r="K875" s="11" t="str">
        <x:v>2026-10-29 (KST)</x:v>
      </x:c>
    </x:row>
    <x:row r="876" ht="75" customHeight="1">
      <x:c r="A876" s="11" t="str">
        <x:v>Dùng chung (5 mã)</x:v>
      </x:c>
      <x:c r="B876" s="11" t="str">
        <x:v>Việt</x:v>
      </x:c>
      <x:c r="C876" s="11" t="str">
        <x:v>Việt: Bí thư</x:v>
      </x:c>
      <x:c r="D876" s="11" t="str">
        <x:v>Âm/chữ hoặc thành tố Hán Việt; không tự xác nhận nghĩa chuyên ngành.</x:v>
      </x:c>
      <x:c r="E876" s="11" t="str">
        <x:v>Mục từ</x:v>
      </x:c>
      <x:c r="F876" s="11" t="str">
        <x:v>Việt</x:v>
      </x:c>
      <x:c r="G876" s="11" t="str">
        <x:v>ET001</x:v>
      </x:c>
      <x:c r="H876" s="11" t="str">
        <x:v>Từ điển Hán Nôm Thi Viện; các nguồn quan sát tại mục: Nguyễn Quốc Hùng — bí thư</x:v>
      </x:c>
      <x:c r="I876" s="30" t="str">
        <x:v>https://hvdic.thivien.net/whv/%E7%A5%95%E6%9B%B8</x:v>
      </x:c>
      <x:c r="J876" s="11" t="str">
        <x:v>Đối chiếu âm và chữ: bí thư — 祕書. Trang mục từ có đề mục từ điển của Nguyễn Quốc Hùng.
Nguồn biên soạn: Nguyễn Quốc Hùng</x:v>
      </x:c>
      <x:c r="K876" s="11" t="str">
        <x:v>2026-10-29 (KST)</x:v>
      </x:c>
    </x:row>
    <x:row r="877" ht="75" customHeight="1">
      <x:c r="A877" s="11" t="str">
        <x:v>Dùng chung (9 mã)</x:v>
      </x:c>
      <x:c r="B877" s="11" t="str">
        <x:v>Việt</x:v>
      </x:c>
      <x:c r="C877" s="11" t="str">
        <x:v>Việt: Trung ương</x:v>
      </x:c>
      <x:c r="D877" s="11" t="str">
        <x:v>Âm/chữ hoặc thành tố Hán Việt; không tự xác nhận nghĩa chuyên ngành.</x:v>
      </x:c>
      <x:c r="E877" s="11" t="str">
        <x:v>Mục từ; Thành tố</x:v>
      </x:c>
      <x:c r="F877" s="11" t="str">
        <x:v>Việt</x:v>
      </x:c>
      <x:c r="G877" s="11" t="str">
        <x:v>ET002</x:v>
      </x:c>
      <x:c r="H877" s="11" t="str">
        <x:v>Từ điển Hán Nôm Thi Viện; mục từ và nguồn từ điển ghi tại trang — trung ương</x:v>
      </x:c>
      <x:c r="I877" s="30" t="str">
        <x:v>https://hvdic.thivien.net/whv/%E4%B8%AD%E5%A4%AE</x:v>
      </x:c>
      <x:c r="J877" s="11" t="str">
        <x:v>Đối chiếu âm và chữ: trung ương — 中央.
Trang từ điển ghi âm Hán Việt và/hoặc mục từ tương ứng với 中央. Chỉ dùng cho thành tố được nêu; cấu tạo toàn cụm do người rà soát tổng hợp.
Nguồn biên soạn: Bản điện tử HVdic/Thi Viện; Nguyễn Quốc Hùng</x:v>
      </x:c>
      <x:c r="K877" s="11" t="str">
        <x:v>2026-10-29 (KST)</x:v>
      </x:c>
    </x:row>
    <x:row r="878" ht="145.5" customHeight="1">
      <x:c r="A878" s="11" t="str">
        <x:v>Dùng chung (14 mã)</x:v>
      </x:c>
      <x:c r="B878" s="11" t="str">
        <x:v>Việt</x:v>
      </x:c>
      <x:c r="C878" s="11" t="str">
        <x:v>Việt: Đảng</x:v>
      </x:c>
      <x:c r="D878" s="11" t="str">
        <x:v>Âm/chữ hoặc thành tố Hán Việt; không tự xác nhận nghĩa chuyên ngành.</x:v>
      </x:c>
      <x:c r="E878" s="11" t="str">
        <x:v>Thành tố</x:v>
      </x:c>
      <x:c r="F878" s="11" t="str">
        <x:v>Việt</x:v>
      </x:c>
      <x:c r="G878" s="11" t="str">
        <x:v>ET003</x:v>
      </x:c>
      <x:c r="H878" s="11" t="str">
        <x:v>Từ điển Hán Nôm Thi Viện; các nguồn quan sát tại mục: Thiều Chửu, Trần Văn Chánh, Nguyễn Quốc Hùng — đảng</x:v>
      </x:c>
      <x:c r="I878" s="30" t="str">
        <x:v>https://hvdic.thivien.net/whv/%E9%BB%A8</x:v>
      </x:c>
      <x:c r="J878" s="11" t="str">
        <x:v>Đối chiếu âm và chữ: đảng — 黨. Trang mục từ có đề mục từ điển của Thiều Chửu, Trần Văn Chánh, Nguyễn Quốc Hùng.
Trang từ điển ghi âm Hán Việt và/hoặc mục từ tương ứng với 黨. Chỉ dùng cho thành tố được nêu; cấu tạo toàn cụm do người rà soát tổng hợp.
Nguồn biên soạn: Thiều Chửu
Nguồn biên soạn: Trần Văn Chánh
Nguồn biên soạn: Nguyễn Quốc Hùng
Nguồn biên soạn: Bản điện tử HVdic/Thi Viện; chuyên mục phổ thông/trích dẫn, trang chưa chỉ rõ người biên soạn riêng mục này</x:v>
      </x:c>
      <x:c r="K878" s="11" t="str">
        <x:v>2026-10-29 (KST)</x:v>
      </x:c>
    </x:row>
    <x:row r="879" ht="75" customHeight="1">
      <x:c r="A879" s="11" t="str">
        <x:v>Dùng chung (4 mã)</x:v>
      </x:c>
      <x:c r="B879" s="11" t="str">
        <x:v>Việt</x:v>
      </x:c>
      <x:c r="C879" s="11" t="str">
        <x:v>Việt: Bộ trưởng</x:v>
      </x:c>
      <x:c r="D879" s="11" t="str">
        <x:v>Âm/chữ hoặc thành tố Hán Việt; không tự xác nhận nghĩa chuyên ngành.</x:v>
      </x:c>
      <x:c r="E879" s="11" t="str">
        <x:v>Mục từ</x:v>
      </x:c>
      <x:c r="F879" s="11" t="str">
        <x:v>Việt</x:v>
      </x:c>
      <x:c r="G879" s="11" t="str">
        <x:v>ET004</x:v>
      </x:c>
      <x:c r="H879" s="11" t="str">
        <x:v>Từ điển Hán Nôm Thi Viện; mục từ và nguồn từ điển ghi tại trang — bộ trưởng</x:v>
      </x:c>
      <x:c r="I879" s="30" t="str">
        <x:v>https://hvdic.thivien.net/whv/%E9%83%A8%E9%95%B7</x:v>
      </x:c>
      <x:c r="J879" s="11" t="str">
        <x:v>Đối chiếu âm và chữ: bộ trưởng — 部長.
Nguồn biên soạn: Nguyễn Quốc Hùng — Hán Việt tân từ điển</x:v>
      </x:c>
      <x:c r="K879" s="11" t="str">
        <x:v>2026-10-29 (KST)</x:v>
      </x:c>
    </x:row>
    <x:row r="880" ht="75" customHeight="1">
      <x:c r="A880" s="11" t="str">
        <x:v>Dùng chung (16 mã)</x:v>
      </x:c>
      <x:c r="B880" s="11" t="str">
        <x:v>Việt</x:v>
      </x:c>
      <x:c r="C880" s="11" t="str">
        <x:v>Việt: Bộ; Việt: bộ</x:v>
      </x:c>
      <x:c r="D880" s="11" t="str">
        <x:v>Âm/chữ hoặc thành tố Hán Việt; không tự xác nhận nghĩa chuyên ngành.</x:v>
      </x:c>
      <x:c r="E880" s="11" t="str">
        <x:v>Thành tố</x:v>
      </x:c>
      <x:c r="F880" s="11" t="str">
        <x:v>Việt</x:v>
      </x:c>
      <x:c r="G880" s="11" t="str">
        <x:v>ET005</x:v>
      </x:c>
      <x:c r="H880" s="11" t="str">
        <x:v>Từ điển Hán Nôm Thi Viện; mục từ và nguồn từ điển ghi tại trang — bộ</x:v>
      </x:c>
      <x:c r="I880" s="30" t="str">
        <x:v>https://hvdic.thivien.net/whv/%E9%83%A8</x:v>
      </x:c>
      <x:c r="J880" s="11" t="str">
        <x:v>Đối chiếu âm và chữ: bộ — 部.</x:v>
      </x:c>
      <x:c r="K880" s="11" t="str">
        <x:v>2026-10-29 (KST)</x:v>
      </x:c>
    </x:row>
    <x:row r="881" ht="75" customHeight="1">
      <x:c r="A881" s="11" t="str">
        <x:v>Dùng chung (2 mã)</x:v>
      </x:c>
      <x:c r="B881" s="11" t="str">
        <x:v>Việt</x:v>
      </x:c>
      <x:c r="C881" s="11" t="str">
        <x:v>Việt: Công an</x:v>
      </x:c>
      <x:c r="D881" s="11" t="str">
        <x:v>Âm/chữ hoặc thành tố Hán Việt; không tự xác nhận nghĩa chuyên ngành.</x:v>
      </x:c>
      <x:c r="E881" s="11" t="str">
        <x:v>Mục từ</x:v>
      </x:c>
      <x:c r="F881" s="11" t="str">
        <x:v>Việt</x:v>
      </x:c>
      <x:c r="G881" s="11" t="str">
        <x:v>ET006</x:v>
      </x:c>
      <x:c r="H881" s="11" t="str">
        <x:v>Từ điển Hán Nôm Thi Viện; các nguồn quan sát tại mục: Nguyễn Quốc Hùng — công an</x:v>
      </x:c>
      <x:c r="I881" s="30" t="str">
        <x:v>https://hvdic.thivien.net/whv/%E5%85%AC%E5%AE%89</x:v>
      </x:c>
      <x:c r="J881" s="11" t="str">
        <x:v>Đối chiếu âm và chữ: công an — 公安. Trang mục từ có đề mục từ điển của Nguyễn Quốc Hùng.
Nguồn biên soạn: Nguyễn Quốc Hùng</x:v>
      </x:c>
      <x:c r="K881" s="11" t="str">
        <x:v>2026-10-29 (KST)</x:v>
      </x:c>
    </x:row>
    <x:row r="882" ht="75" customHeight="1">
      <x:c r="A882" s="11" t="str">
        <x:v>Dùng chung (21 mã)</x:v>
      </x:c>
      <x:c r="B882" s="11" t="str">
        <x:v>Việt</x:v>
      </x:c>
      <x:c r="C882" s="11" t="str">
        <x:v>Việt: Ngoại giao; Việt: ngoại giao</x:v>
      </x:c>
      <x:c r="D882" s="11" t="str">
        <x:v>Âm/chữ hoặc thành tố Hán Việt; không tự xác nhận nghĩa chuyên ngành.</x:v>
      </x:c>
      <x:c r="E882" s="11" t="str">
        <x:v>Mục từ; Thành tố</x:v>
      </x:c>
      <x:c r="F882" s="11" t="str">
        <x:v>Việt</x:v>
      </x:c>
      <x:c r="G882" s="11" t="str">
        <x:v>ET007</x:v>
      </x:c>
      <x:c r="H882" s="11" t="str">
        <x:v>Từ điển Hán Nôm Thi Viện; mục từ và nguồn từ điển ghi tại trang — ngoại giao</x:v>
      </x:c>
      <x:c r="I882" s="30" t="str">
        <x:v>https://hvdic.thivien.net/whv/%E5%A4%96%E4%BA%A4</x:v>
      </x:c>
      <x:c r="J882" s="11" t="str">
        <x:v>Đối chiếu âm và chữ: ngoại giao — 外交.
Mục từ ghi ngoại giao và dạng chữ 外交.
Nguồn biên soạn: Bản điện tử HVdic/Thi Viện; Nguyễn Quốc Hùng</x:v>
      </x:c>
      <x:c r="K882" s="11" t="str">
        <x:v>2026-10-29 (KST)</x:v>
      </x:c>
    </x:row>
    <x:row r="883" ht="85.5" customHeight="1">
      <x:c r="A883" s="11" t="str">
        <x:v>Dùng chung (5 mã)</x:v>
      </x:c>
      <x:c r="B883" s="11" t="str">
        <x:v>Việt</x:v>
      </x:c>
      <x:c r="C883" s="11" t="str">
        <x:v>Việt: Quốc phòng; Việt: quốc phòng</x:v>
      </x:c>
      <x:c r="D883" s="11" t="str">
        <x:v>Âm/chữ hoặc thành tố Hán Việt; không tự xác nhận nghĩa chuyên ngành.</x:v>
      </x:c>
      <x:c r="E883" s="11" t="str">
        <x:v>Mục từ; Thành tố</x:v>
      </x:c>
      <x:c r="F883" s="11" t="str">
        <x:v>Việt</x:v>
      </x:c>
      <x:c r="G883" s="11" t="str">
        <x:v>ET008</x:v>
      </x:c>
      <x:c r="H883" s="11" t="str">
        <x:v>Từ điển Hán Nôm Thi Viện; các nguồn quan sát tại mục: Nguyễn Quốc Hùng — quốc phòng</x:v>
      </x:c>
      <x:c r="I883" s="30" t="str">
        <x:v>https://hvdic.thivien.net/whv/%E5%9C%8B%E9%98%B2</x:v>
      </x:c>
      <x:c r="J883" s="11" t="str">
        <x:v>Đối chiếu âm và chữ: quốc phòng — 國防. Trang mục từ có đề mục từ điển của Nguyễn Quốc Hùng.
Mục từ ghi quốc phòng và dạng chữ 國防.
Nguồn biên soạn: Nguyễn Quốc Hùng
Nguồn biên soạn: Bản điện tử HVdic/Thi Viện; Nguyễn Quốc Hùng</x:v>
      </x:c>
      <x:c r="K883" s="11" t="str">
        <x:v>2026-10-29 (KST)</x:v>
      </x:c>
    </x:row>
    <x:row r="884" ht="100.5" customHeight="1">
      <x:c r="A884" s="11" t="str">
        <x:v>Dùng chung (6 mã)</x:v>
      </x:c>
      <x:c r="B884" s="11" t="str">
        <x:v>Việt</x:v>
      </x:c>
      <x:c r="C884" s="11" t="str">
        <x:v>Việt: Chủ tịch</x:v>
      </x:c>
      <x:c r="D884" s="11" t="str">
        <x:v>Âm/chữ hoặc thành tố Hán Việt; không tự xác nhận nghĩa chuyên ngành.</x:v>
      </x:c>
      <x:c r="E884" s="11" t="str">
        <x:v>Mục từ; Thành tố</x:v>
      </x:c>
      <x:c r="F884" s="11" t="str">
        <x:v>Việt</x:v>
      </x:c>
      <x:c r="G884" s="11" t="str">
        <x:v>ET009</x:v>
      </x:c>
      <x:c r="H884" s="11" t="str">
        <x:v>Từ điển Hán Nôm Thi Viện; các nguồn quan sát tại mục: Nguyễn Quốc Hùng — chủ tịch</x:v>
      </x:c>
      <x:c r="I884" s="30" t="str">
        <x:v>https://hvdic.thivien.net/whv/%E4%B8%BB%E5%B8%AD</x:v>
      </x:c>
      <x:c r="J884" s="11" t="str">
        <x:v>Đối chiếu âm và chữ: chủ tịch — 主席. Trang mục từ có đề mục từ điển của Nguyễn Quốc Hùng.
Trang từ điển ghi âm Hán Việt và/hoặc mục từ tương ứng với 主席. Chỉ dùng cho thành tố được nêu; cấu tạo toàn cụm do người rà soát tổng hợp.
Nguồn biên soạn: Nguyễn Quốc Hùng
Nguồn biên soạn: Bản điện tử HVdic/Thi Viện; Nguyễn Quốc Hùng</x:v>
      </x:c>
      <x:c r="K884" s="11" t="str">
        <x:v>2026-10-29 (KST)</x:v>
      </x:c>
    </x:row>
    <x:row r="885" ht="75" customHeight="1">
      <x:c r="A885" s="11" t="str">
        <x:v>Dùng chung (4 mã)</x:v>
      </x:c>
      <x:c r="B885" s="11" t="str">
        <x:v>Việt</x:v>
      </x:c>
      <x:c r="C885" s="11" t="str">
        <x:v>Việt: nước</x:v>
      </x:c>
      <x:c r="D885" s="11" t="str">
        <x:v>Nguồn từ nguyên/chữ gốc hoặc thành tố được nêu; đọc giới hạn tại ghi chú.</x:v>
      </x:c>
      <x:c r="E885" s="11" t="str">
        <x:v>Mục từ</x:v>
      </x:c>
      <x:c r="F885" s="11" t="str">
        <x:v>Việt</x:v>
      </x:c>
      <x:c r="G885" s="11" t="str">
        <x:v>ET010</x:v>
      </x:c>
      <x:c r="H885" s="11" t="str">
        <x:v>Mark Alves — Vietnamese vocabulary, WOLD: nước</x:v>
      </x:c>
      <x:c r="I885" s="30" t="str">
        <x:v>https://wold.clld.org/word/721502379439364</x:v>
      </x:c>
      <x:c r="J885" s="11" t="str">
        <x:v>the water; 5. no evidence for borrowing; Proto-Austroasiatic. </x:v>
      </x:c>
      <x:c r="K885" s="11" t="str">
        <x:v>2026-10-29 (KST)</x:v>
      </x:c>
    </x:row>
    <x:row r="886" ht="75" customHeight="1">
      <x:c r="A886" s="11" t="str">
        <x:v>Dùng chung (5 mã)</x:v>
      </x:c>
      <x:c r="B886" s="11" t="str">
        <x:v>Việt</x:v>
      </x:c>
      <x:c r="C886" s="11" t="str">
        <x:v>Việt: Quốc hội</x:v>
      </x:c>
      <x:c r="D886" s="11" t="str">
        <x:v>Âm/chữ hoặc thành tố Hán Việt; không tự xác nhận nghĩa chuyên ngành.</x:v>
      </x:c>
      <x:c r="E886" s="11" t="str">
        <x:v>Mục từ</x:v>
      </x:c>
      <x:c r="F886" s="11" t="str">
        <x:v>Việt</x:v>
      </x:c>
      <x:c r="G886" s="11" t="str">
        <x:v>ET011</x:v>
      </x:c>
      <x:c r="H886" s="11" t="str">
        <x:v>Từ điển Hán Nôm Thi Viện; mục từ và nguồn từ điển ghi tại trang — quốc hội</x:v>
      </x:c>
      <x:c r="I886" s="30" t="str">
        <x:v>https://hvdic.thivien.net/whv/%E5%9C%8B%E6%9C%83</x:v>
      </x:c>
      <x:c r="J886" s="11" t="str">
        <x:v>Đối chiếu âm và chữ: quốc hội — 國會.</x:v>
      </x:c>
      <x:c r="K886" s="11" t="str">
        <x:v>2026-10-29 (KST)</x:v>
      </x:c>
    </x:row>
    <x:row r="887" ht="85.5" customHeight="1">
      <x:c r="A887" s="11" t="str">
        <x:v>Dùng chung (7 mã)</x:v>
      </x:c>
      <x:c r="B887" s="11" t="str">
        <x:v>Việt</x:v>
      </x:c>
      <x:c r="C887" s="11" t="str">
        <x:v>Việt: Ủy; Việt: ủy</x:v>
      </x:c>
      <x:c r="D887" s="11" t="str">
        <x:v>Âm/chữ hoặc thành tố Hán Việt; không tự xác nhận nghĩa chuyên ngành.</x:v>
      </x:c>
      <x:c r="E887" s="11" t="str">
        <x:v>Thành tố</x:v>
      </x:c>
      <x:c r="F887" s="11" t="str">
        <x:v>Việt</x:v>
      </x:c>
      <x:c r="G887" s="11" t="str">
        <x:v>ET012</x:v>
      </x:c>
      <x:c r="H887" s="11" t="str">
        <x:v>Từ điển Hán Nôm Thi Viện; mục từ và nguồn từ điển ghi tại trang — ủy</x:v>
      </x:c>
      <x:c r="I887" s="30" t="str">
        <x:v>https://hvdic.thivien.net/whv/%E5%A7%94</x:v>
      </x:c>
      <x:c r="J887" s="11" t="str">
        <x:v>Đối chiếu âm và chữ: ủy — 委.
Trang từ điển ghi âm Hán Việt và/hoặc mục từ tương ứng với 委. Chỉ dùng cho thành tố được nêu; cấu tạo toàn cụm do người rà soát tổng hợp.
Nguồn biên soạn: Bản điện tử HVdic/Thi Viện; chuyên mục phổ thông/trích dẫn, trang chưa chỉ rõ người biên soạn riêng mục này</x:v>
      </x:c>
      <x:c r="K887" s="11" t="str">
        <x:v>2026-10-29 (KST)</x:v>
      </x:c>
    </x:row>
    <x:row r="888" ht="85.5" customHeight="1">
      <x:c r="A888" s="11" t="str">
        <x:v>Dùng chung (14 mã)</x:v>
      </x:c>
      <x:c r="B888" s="11" t="str">
        <x:v>Việt</x:v>
      </x:c>
      <x:c r="C888" s="11" t="str">
        <x:v>Việt: ban; Việt: Ban</x:v>
      </x:c>
      <x:c r="D888" s="11" t="str">
        <x:v>Âm/chữ hoặc thành tố Hán Việt; không tự xác nhận nghĩa chuyên ngành.</x:v>
      </x:c>
      <x:c r="E888" s="11" t="str">
        <x:v>Thành tố</x:v>
      </x:c>
      <x:c r="F888" s="11" t="str">
        <x:v>Việt</x:v>
      </x:c>
      <x:c r="G888" s="11" t="str">
        <x:v>ET013</x:v>
      </x:c>
      <x:c r="H888" s="11" t="str">
        <x:v>Từ điển Hán Nôm Thi Viện; mục từ và nguồn từ điển ghi tại trang — ban</x:v>
      </x:c>
      <x:c r="I888" s="30" t="str">
        <x:v>https://hvdic.thivien.net/whv/%E7%8F%AD</x:v>
      </x:c>
      <x:c r="J888" s="11" t="str">
        <x:v>Đối chiếu âm và chữ: ban — 班.
Trang từ điển ghi âm Hán Việt và/hoặc mục từ tương ứng với 班. Chỉ dùng cho thành tố được nêu; cấu tạo toàn cụm do người rà soát tổng hợp.
Nguồn biên soạn: Bản điện tử HVdic/Thi Viện; chuyên mục phổ thông/trích dẫn, trang chưa chỉ rõ người biên soạn riêng mục này</x:v>
      </x:c>
      <x:c r="K888" s="11" t="str">
        <x:v>2026-10-29 (KST)</x:v>
      </x:c>
    </x:row>
    <x:row r="889" ht="75" customHeight="1">
      <x:c r="A889" s="11" t="str">
        <x:v>Dùng chung (8 mã)</x:v>
      </x:c>
      <x:c r="B889" s="11" t="str">
        <x:v>Việt</x:v>
      </x:c>
      <x:c r="C889" s="11" t="str">
        <x:v>Việt: nhân dân; Việt: Nhân dân</x:v>
      </x:c>
      <x:c r="D889" s="11" t="str">
        <x:v>Âm/chữ hoặc thành tố Hán Việt; không tự xác nhận nghĩa chuyên ngành.</x:v>
      </x:c>
      <x:c r="E889" s="11" t="str">
        <x:v>Mục từ</x:v>
      </x:c>
      <x:c r="F889" s="11" t="str">
        <x:v>Việt</x:v>
      </x:c>
      <x:c r="G889" s="11" t="str">
        <x:v>ET014</x:v>
      </x:c>
      <x:c r="H889" s="11" t="str">
        <x:v>Từ điển Hán Nôm Thi Viện; các nguồn quan sát tại mục: Nguyễn Quốc Hùng — nhân dân</x:v>
      </x:c>
      <x:c r="I889" s="30" t="str">
        <x:v>https://hvdic.thivien.net/whv/%E4%BA%BA%E6%B0%91</x:v>
      </x:c>
      <x:c r="J889" s="11" t="str">
        <x:v>Đối chiếu âm và chữ: nhân dân — 人民. Trang mục từ có đề mục từ điển của Nguyễn Quốc Hùng.
Nguồn biên soạn: Nguyễn Quốc Hùng</x:v>
      </x:c>
      <x:c r="K889" s="11" t="str">
        <x:v>2026-10-29 (KST)</x:v>
      </x:c>
    </x:row>
    <x:row r="890" ht="75" customHeight="1">
      <x:c r="A890" s="11" t="str">
        <x:v>Dùng chung (4 mã)</x:v>
      </x:c>
      <x:c r="B890" s="11" t="str">
        <x:v>Việt</x:v>
      </x:c>
      <x:c r="C890" s="11" t="str">
        <x:v>Việt: đại biểu</x:v>
      </x:c>
      <x:c r="D890" s="11" t="str">
        <x:v>Âm/chữ hoặc thành tố Hán Việt; không tự xác nhận nghĩa chuyên ngành.</x:v>
      </x:c>
      <x:c r="E890" s="11" t="str">
        <x:v>Mục từ</x:v>
      </x:c>
      <x:c r="F890" s="11" t="str">
        <x:v>Việt</x:v>
      </x:c>
      <x:c r="G890" s="11" t="str">
        <x:v>ET015</x:v>
      </x:c>
      <x:c r="H890" s="11" t="str">
        <x:v>Từ điển Hán Nôm Thi Viện; các nguồn quan sát tại mục: Nguyễn Quốc Hùng — đại biểu</x:v>
      </x:c>
      <x:c r="I890" s="30" t="str">
        <x:v>https://hvdic.thivien.net/whv/%E4%BB%A3%E8%A1%A8</x:v>
      </x:c>
      <x:c r="J890" s="11" t="str">
        <x:v>Đối chiếu âm và chữ: đại biểu — 代表. Trang mục từ có đề mục từ điển của Nguyễn Quốc Hùng.
Nguồn biên soạn: Nguyễn Quốc Hùng</x:v>
      </x:c>
      <x:c r="K890" s="11" t="str">
        <x:v>2026-10-29 (KST)</x:v>
      </x:c>
    </x:row>
    <x:row r="891" ht="100.5" customHeight="1">
      <x:c r="A891" s="11" t="str">
        <x:v>Dùng chung (6 mã)</x:v>
      </x:c>
      <x:c r="B891" s="11" t="str">
        <x:v>Việt</x:v>
      </x:c>
      <x:c r="C891" s="11" t="str">
        <x:v>Việt: Hội đồng; Việt: hội đồng</x:v>
      </x:c>
      <x:c r="D891" s="11" t="str">
        <x:v>Âm/chữ hoặc thành tố Hán Việt; không tự xác nhận nghĩa chuyên ngành.</x:v>
      </x:c>
      <x:c r="E891" s="11" t="str">
        <x:v>Mục từ; Thành tố</x:v>
      </x:c>
      <x:c r="F891" s="11" t="str">
        <x:v>Việt</x:v>
      </x:c>
      <x:c r="G891" s="11" t="str">
        <x:v>ET016</x:v>
      </x:c>
      <x:c r="H891" s="11" t="str">
        <x:v>Từ điển Hán Nôm Thi Viện; các nguồn quan sát tại mục: Nguyễn Quốc Hùng — hội đồng</x:v>
      </x:c>
      <x:c r="I891" s="30" t="str">
        <x:v>https://hvdic.thivien.net/whv/%E6%9C%83%E5%90%8C</x:v>
      </x:c>
      <x:c r="J891" s="11" t="str">
        <x:v>Đối chiếu âm và chữ: hội đồng — 會同. Trang mục từ có đề mục từ điển của Nguyễn Quốc Hùng.
Trang từ điển ghi âm Hán Việt và/hoặc mục từ tương ứng với 會同. Chỉ dùng cho thành tố được nêu; cấu tạo toàn cụm do người rà soát tổng hợp.
Nguồn biên soạn: Nguyễn Quốc Hùng
Nguồn biên soạn: Bản điện tử HVdic/Thi Viện; Nguyễn Quốc Hùng</x:v>
      </x:c>
      <x:c r="K891" s="11" t="str">
        <x:v>2026-10-29 (KST)</x:v>
      </x:c>
    </x:row>
    <x:row r="892" ht="75" customHeight="1">
      <x:c r="A892" s="11" t="str">
        <x:v>Dùng chung (2 mã)</x:v>
      </x:c>
      <x:c r="B892" s="11" t="str">
        <x:v>Việt</x:v>
      </x:c>
      <x:c r="C892" s="11" t="str">
        <x:v>Việt: Đại sứ; Việt: đại sứ</x:v>
      </x:c>
      <x:c r="D892" s="11" t="str">
        <x:v>Âm/chữ hoặc thành tố Hán Việt; không tự xác nhận nghĩa chuyên ngành.</x:v>
      </x:c>
      <x:c r="E892" s="11" t="str">
        <x:v>Mục từ</x:v>
      </x:c>
      <x:c r="F892" s="11" t="str">
        <x:v>Việt</x:v>
      </x:c>
      <x:c r="G892" s="11" t="str">
        <x:v>ET017</x:v>
      </x:c>
      <x:c r="H892" s="11" t="str">
        <x:v>Từ điển Hán Nôm Thi Viện; mục từ và nguồn từ điển ghi tại trang — đại sứ</x:v>
      </x:c>
      <x:c r="I892" s="30" t="str">
        <x:v>https://hvdic.thivien.net/whv/%E5%A4%A7%E4%BD%BF</x:v>
      </x:c>
      <x:c r="J892" s="11" t="str">
        <x:v>Đối chiếu âm và chữ: đại sứ — 大使.</x:v>
      </x:c>
      <x:c r="K892" s="11" t="str">
        <x:v>2026-10-29 (KST)</x:v>
      </x:c>
    </x:row>
    <x:row r="893" ht="75" customHeight="1">
      <x:c r="A893" s="11" t="str">
        <x:v>M011</x:v>
      </x:c>
      <x:c r="B893" s="11" t="str">
        <x:v>Việt</x:v>
      </x:c>
      <x:c r="C893" s="11" t="str">
        <x:v>Việt: nguyên thủ</x:v>
      </x:c>
      <x:c r="D893" s="11" t="str">
        <x:v>Âm/chữ hoặc thành tố Hán Việt; không tự xác nhận nghĩa chuyên ngành.</x:v>
      </x:c>
      <x:c r="E893" s="11" t="str">
        <x:v>Mục từ</x:v>
      </x:c>
      <x:c r="F893" s="11" t="str">
        <x:v>Việt</x:v>
      </x:c>
      <x:c r="G893" s="11" t="str">
        <x:v>ET018</x:v>
      </x:c>
      <x:c r="H893" s="11" t="str">
        <x:v>Từ điển Hán Nôm Thi Viện; các nguồn quan sát tại mục: Nguyễn Quốc Hùng — nguyên thủ</x:v>
      </x:c>
      <x:c r="I893" s="30" t="str">
        <x:v>https://hvdic.thivien.net/whv/%E5%85%83%E9%A6%96</x:v>
      </x:c>
      <x:c r="J893" s="11" t="str">
        <x:v>Đối chiếu âm và chữ: nguyên thủ — 元首. Trang mục từ có đề mục từ điển của Nguyễn Quốc Hùng.
Nguồn biên soạn: Nguyễn Quốc Hùng</x:v>
      </x:c>
      <x:c r="K893" s="11" t="str">
        <x:v>2026-10-29 (KST)</x:v>
      </x:c>
    </x:row>
    <x:row r="894" ht="85.5" customHeight="1">
      <x:c r="A894" s="11" t="str">
        <x:v>Dùng chung (6 mã)</x:v>
      </x:c>
      <x:c r="B894" s="11" t="str">
        <x:v>Việt</x:v>
      </x:c>
      <x:c r="C894" s="11" t="str">
        <x:v>Việt: quốc gia; Việt: Quốc gia</x:v>
      </x:c>
      <x:c r="D894" s="11" t="str">
        <x:v>Âm/chữ hoặc thành tố Hán Việt; không tự xác nhận nghĩa chuyên ngành.</x:v>
      </x:c>
      <x:c r="E894" s="11" t="str">
        <x:v>Mục từ; Thành tố</x:v>
      </x:c>
      <x:c r="F894" s="11" t="str">
        <x:v>Việt</x:v>
      </x:c>
      <x:c r="G894" s="11" t="str">
        <x:v>ET019</x:v>
      </x:c>
      <x:c r="H894" s="11" t="str">
        <x:v>Từ điển Hán Nôm Thi Viện; các nguồn quan sát tại mục: Nguyễn Quốc Hùng — quốc gia</x:v>
      </x:c>
      <x:c r="I894" s="30" t="str">
        <x:v>https://hvdic.thivien.net/whv/%E5%9C%8B%E5%AE%B6</x:v>
      </x:c>
      <x:c r="J894" s="11" t="str">
        <x:v>Đối chiếu âm và chữ: quốc gia — 國家. Trang mục từ có đề mục từ điển của Nguyễn Quốc Hùng.
Mục từ ghi quốc gia và dạng chữ 國家.
Nguồn biên soạn: Nguyễn Quốc Hùng
Nguồn biên soạn: Bản điện tử HVdic/Thi Viện; Nguyễn Quốc Hùng</x:v>
      </x:c>
      <x:c r="K894" s="11" t="str">
        <x:v>2026-10-29 (KST)</x:v>
      </x:c>
    </x:row>
    <x:row r="895" ht="75" customHeight="1">
      <x:c r="A895" s="11" t="str">
        <x:v>Dùng chung (3 mã)</x:v>
      </x:c>
      <x:c r="B895" s="11" t="str">
        <x:v>Việt</x:v>
      </x:c>
      <x:c r="C895" s="11" t="str">
        <x:v>Việt: người</x:v>
      </x:c>
      <x:c r="D895" s="11" t="str">
        <x:v>Nguồn từ nguyên/chữ gốc hoặc thành tố được nêu; đọc giới hạn tại ghi chú.</x:v>
      </x:c>
      <x:c r="E895" s="11" t="str">
        <x:v>Mục từ</x:v>
      </x:c>
      <x:c r="F895" s="11" t="str">
        <x:v>Việt</x:v>
      </x:c>
      <x:c r="G895" s="11" t="str">
        <x:v>ET020</x:v>
      </x:c>
      <x:c r="H895" s="11" t="str">
        <x:v>Mark Alves — Vietnamese vocabulary, WOLD: người</x:v>
      </x:c>
      <x:c r="I895" s="30" t="str">
        <x:v>https://wold.clld.org/word/7215023392509700</x:v>
      </x:c>
      <x:c r="J895" s="11" t="str">
        <x:v>the person; 5. no evidence for borrowing; Proto-Eastern-Mon-Khmer. </x:v>
      </x:c>
      <x:c r="K895" s="11" t="str">
        <x:v>2026-10-29 (KST)</x:v>
      </x:c>
    </x:row>
    <x:row r="896" ht="75" customHeight="1">
      <x:c r="A896" s="11" t="str">
        <x:v>Dùng chung (2 mã)</x:v>
      </x:c>
      <x:c r="B896" s="11" t="str">
        <x:v>Việt</x:v>
      </x:c>
      <x:c r="C896" s="11" t="str">
        <x:v>Việt: phát ngôn</x:v>
      </x:c>
      <x:c r="D896" s="11" t="str">
        <x:v>Âm/chữ hoặc thành tố Hán Việt; không tự xác nhận nghĩa chuyên ngành.</x:v>
      </x:c>
      <x:c r="E896" s="11" t="str">
        <x:v>Mục từ</x:v>
      </x:c>
      <x:c r="F896" s="11" t="str">
        <x:v>Việt</x:v>
      </x:c>
      <x:c r="G896" s="11" t="str">
        <x:v>ET021</x:v>
      </x:c>
      <x:c r="H896" s="11" t="str">
        <x:v>Từ điển Hán Nôm Thi Viện; các nguồn quan sát tại mục: Nguyễn Quốc Hùng — phát ngôn</x:v>
      </x:c>
      <x:c r="I896" s="30" t="str">
        <x:v>https://hvdic.thivien.net/whv/%E7%99%BC%E8%A8%80</x:v>
      </x:c>
      <x:c r="J896" s="11" t="str">
        <x:v>Đối chiếu âm và chữ: phát ngôn — 發言. Trang mục từ có đề mục từ điển của Nguyễn Quốc Hùng.
Nguồn biên soạn: Nguyễn Quốc Hùng</x:v>
      </x:c>
      <x:c r="K896" s="11" t="str">
        <x:v>2026-10-29 (KST)</x:v>
      </x:c>
    </x:row>
    <x:row r="897" ht="75" customHeight="1">
      <x:c r="A897" s="11" t="str">
        <x:v>Dùng chung (4 mã)</x:v>
      </x:c>
      <x:c r="B897" s="11" t="str">
        <x:v>Việt</x:v>
      </x:c>
      <x:c r="C897" s="11" t="str">
        <x:v>Việt: Phó</x:v>
      </x:c>
      <x:c r="D897" s="11" t="str">
        <x:v>Âm/chữ hoặc thành tố Hán Việt; không tự xác nhận nghĩa chuyên ngành.</x:v>
      </x:c>
      <x:c r="E897" s="11" t="str">
        <x:v>Thành tố</x:v>
      </x:c>
      <x:c r="F897" s="11" t="str">
        <x:v>Việt</x:v>
      </x:c>
      <x:c r="G897" s="11" t="str">
        <x:v>ET022</x:v>
      </x:c>
      <x:c r="H897" s="11" t="str">
        <x:v>Từ điển Hán Nôm Thi Viện; mục từ và nguồn từ điển ghi tại trang — phó</x:v>
      </x:c>
      <x:c r="I897" s="30" t="str">
        <x:v>https://hvdic.thivien.net/whv/%E5%89%AF</x:v>
      </x:c>
      <x:c r="J897" s="11" t="str">
        <x:v>Đối chiếu âm và chữ: phó — 副.</x:v>
      </x:c>
      <x:c r="K897" s="11" t="str">
        <x:v>2026-10-29 (KST)</x:v>
      </x:c>
    </x:row>
    <x:row r="898" ht="75" customHeight="1">
      <x:c r="A898" s="11" t="str">
        <x:v>Dùng chung (3 mã)</x:v>
      </x:c>
      <x:c r="B898" s="11" t="str">
        <x:v>Việt</x:v>
      </x:c>
      <x:c r="C898" s="11" t="str">
        <x:v>Việt: Thủ tướng</x:v>
      </x:c>
      <x:c r="D898" s="11" t="str">
        <x:v>Âm/chữ hoặc thành tố Hán Việt; không tự xác nhận nghĩa chuyên ngành.</x:v>
      </x:c>
      <x:c r="E898" s="11" t="str">
        <x:v>Mục từ</x:v>
      </x:c>
      <x:c r="F898" s="11" t="str">
        <x:v>Việt</x:v>
      </x:c>
      <x:c r="G898" s="11" t="str">
        <x:v>ET023</x:v>
      </x:c>
      <x:c r="H898" s="11" t="str">
        <x:v>Từ điển Hán Nôm Thi Viện; các nguồn quan sát tại mục: Nguyễn Quốc Hùng — thủ tướng</x:v>
      </x:c>
      <x:c r="I898" s="30" t="str">
        <x:v>https://hvdic.thivien.net/whv/%E9%A6%96%E7%9B%B8</x:v>
      </x:c>
      <x:c r="J898" s="11" t="str">
        <x:v>Đối chiếu âm và chữ: thủ tướng — 首相. Trang mục từ có đề mục từ điển của Nguyễn Quốc Hùng.
Nguồn biên soạn: Nguyễn Quốc Hùng</x:v>
      </x:c>
      <x:c r="K898" s="11" t="str">
        <x:v>2026-10-29 (KST)</x:v>
      </x:c>
    </x:row>
    <x:row r="899" ht="100.5" customHeight="1">
      <x:c r="A899" s="11" t="str">
        <x:v>Dùng chung (4 mã)</x:v>
      </x:c>
      <x:c r="B899" s="11" t="str">
        <x:v>Việt</x:v>
      </x:c>
      <x:c r="C899" s="11" t="str">
        <x:v>Việt: Thường trực; Việt: thường trực</x:v>
      </x:c>
      <x:c r="D899" s="11" t="str">
        <x:v>Âm/chữ hoặc thành tố Hán Việt; không tự xác nhận nghĩa chuyên ngành.</x:v>
      </x:c>
      <x:c r="E899" s="11" t="str">
        <x:v>Mục từ; Thành tố</x:v>
      </x:c>
      <x:c r="F899" s="11" t="str">
        <x:v>Việt</x:v>
      </x:c>
      <x:c r="G899" s="11" t="str">
        <x:v>ET024</x:v>
      </x:c>
      <x:c r="H899" s="11" t="str">
        <x:v>Từ điển Hán Nôm Thi Viện; các nguồn quan sát tại mục: Nguyễn Quốc Hùng — thường trực</x:v>
      </x:c>
      <x:c r="I899" s="30" t="str">
        <x:v>https://hvdic.thivien.net/whv/%E5%B8%B8%E7%9B%B4</x:v>
      </x:c>
      <x:c r="J899" s="11" t="str">
        <x:v>Đối chiếu âm và chữ: thường trực — 常直. Trang mục từ có đề mục từ điển của Nguyễn Quốc Hùng.
Trang từ điển ghi âm Hán Việt và/hoặc mục từ tương ứng với 常直. Chỉ dùng cho thành tố được nêu; cấu tạo toàn cụm do người rà soát tổng hợp.
Nguồn biên soạn: Nguyễn Quốc Hùng
Nguồn biên soạn: Bản điện tử HVdic/Thi Viện; Nguyễn Quốc Hùng</x:v>
      </x:c>
      <x:c r="K899" s="11" t="str">
        <x:v>2026-10-29 (KST)</x:v>
      </x:c>
    </x:row>
    <x:row r="900" ht="85.5" customHeight="1">
      <x:c r="A900" s="11" t="str">
        <x:v>Dùng chung (4 mã)</x:v>
      </x:c>
      <x:c r="B900" s="11" t="str">
        <x:v>Việt</x:v>
      </x:c>
      <x:c r="C900" s="11" t="str">
        <x:v>Việt: Trưởng; Việt: trưởng; Việt: Thứ trưởng</x:v>
      </x:c>
      <x:c r="D900" s="11" t="str">
        <x:v>Âm/chữ hoặc thành tố Hán Việt; không tự xác nhận nghĩa chuyên ngành.</x:v>
      </x:c>
      <x:c r="E900" s="11" t="str">
        <x:v>Thành tố</x:v>
      </x:c>
      <x:c r="F900" s="11" t="str">
        <x:v>Việt</x:v>
      </x:c>
      <x:c r="G900" s="11" t="str">
        <x:v>ET025</x:v>
      </x:c>
      <x:c r="H900" s="11" t="str">
        <x:v>Từ điển Hán Nôm Thi Viện; mục từ và nguồn từ điển ghi tại trang — trưởng</x:v>
      </x:c>
      <x:c r="I900" s="30" t="str">
        <x:v>https://hvdic.thivien.net/whv/%E9%95%B7</x:v>
      </x:c>
      <x:c r="J900" s="11" t="str">
        <x:v>Đối chiếu âm và chữ: trưởng — 長.
Trang từ điển ghi âm Hán Việt và/hoặc mục từ tương ứng với 長. Chỉ dùng cho thành tố được nêu; cấu tạo toàn cụm do người rà soát tổng hợp.
Nguồn biên soạn: Bản điện tử HVdic/Thi Viện; chuyên mục phổ thông/trích dẫn, trang chưa chỉ rõ người biên soạn riêng mục này</x:v>
      </x:c>
      <x:c r="K900" s="11" t="str">
        <x:v>2026-10-29 (KST)</x:v>
      </x:c>
    </x:row>
    <x:row r="901" ht="115.5" customHeight="1">
      <x:c r="A901" s="11" t="str">
        <x:v>Dùng chung (5 mã)</x:v>
      </x:c>
      <x:c r="B901" s="11" t="str">
        <x:v>Việt</x:v>
      </x:c>
      <x:c r="C901" s="11" t="str">
        <x:v>Việt: và</x:v>
      </x:c>
      <x:c r="D901" s="11" t="str">
        <x:v>Nguồn từ nguyên/chữ gốc hoặc thành tố được nêu; đọc giới hạn tại ghi chú.</x:v>
      </x:c>
      <x:c r="E901" s="11" t="str">
        <x:v>Mục từ; Thành tố</x:v>
      </x:c>
      <x:c r="F901" s="11" t="str">
        <x:v>Việt</x:v>
      </x:c>
      <x:c r="G901" s="11" t="str">
        <x:v>ET026</x:v>
      </x:c>
      <x:c r="H901" s="11" t="str">
        <x:v>Mark Alves — Vietnamese vocabulary, WOLD: và</x:v>
      </x:c>
      <x:c r="I901" s="30" t="str">
        <x:v>https://wold.clld.org/word/7215023205830890</x:v>
      </x:c>
      <x:c r="J901" s="11" t="str">
        <x:v>and; 2. probably borrowed; Han Dynasty. This is probably a doublet related to the synonymous Tang Dynasty literary Sino-Vietnamese reading hoà.
2. probably borrowed; This is probably a doublet related to the synonymous Tang Dynasty literary Sino-Vietnamese reading hoà.
Nguồn biên soạn: Mark Alves, WOLD; dữ liệu v4.2 do nhóm nghiên cứu phát hành, đối chiếu trường ngữ nghĩa. Không suy nguồn gốc mọi thành tố từ nhãn của cả từ ghép.</x:v>
      </x:c>
      <x:c r="K901" s="11" t="str">
        <x:v>2026-10-29 (KST)</x:v>
      </x:c>
    </x:row>
    <x:row r="902" ht="75" customHeight="1">
      <x:c r="A902" s="11" t="str">
        <x:v>NEW_G1_FL01</x:v>
      </x:c>
      <x:c r="B902" s="11" t="str">
        <x:v>Việt</x:v>
      </x:c>
      <x:c r="C902" s="11" t="str">
        <x:v>Việt: phu nhân</x:v>
      </x:c>
      <x:c r="D902" s="11" t="str">
        <x:v>Âm/chữ hoặc thành tố Hán Việt; không tự xác nhận nghĩa chuyên ngành.</x:v>
      </x:c>
      <x:c r="E902" s="11" t="str">
        <x:v>Mục từ</x:v>
      </x:c>
      <x:c r="F902" s="11" t="str">
        <x:v>Việt</x:v>
      </x:c>
      <x:c r="G902" s="11" t="str">
        <x:v>ET027</x:v>
      </x:c>
      <x:c r="H902" s="11" t="str">
        <x:v>Từ điển Hán Nôm Thi Viện; mục từ và nguồn từ điển ghi tại trang — phu nhân</x:v>
      </x:c>
      <x:c r="I902" s="30" t="str">
        <x:v>https://hvdic.thivien.net/whv/%E5%A4%AB%E4%BA%BA</x:v>
      </x:c>
      <x:c r="J902" s="11" t="str">
        <x:v>Đối chiếu âm và chữ: phu nhân — 夫人.</x:v>
      </x:c>
      <x:c r="K902" s="11" t="str">
        <x:v>2026-10-29 (KST)</x:v>
      </x:c>
    </x:row>
    <x:row r="903" ht="75" customHeight="1">
      <x:c r="A903" s="11" t="str">
        <x:v>Dùng chung (2 mã)</x:v>
      </x:c>
      <x:c r="B903" s="11" t="str">
        <x:v>Việt</x:v>
      </x:c>
      <x:c r="C903" s="11" t="str">
        <x:v>Việt: Tổng thống</x:v>
      </x:c>
      <x:c r="D903" s="11" t="str">
        <x:v>Âm/chữ hoặc thành tố Hán Việt; không tự xác nhận nghĩa chuyên ngành.</x:v>
      </x:c>
      <x:c r="E903" s="11" t="str">
        <x:v>Mục từ</x:v>
      </x:c>
      <x:c r="F903" s="11" t="str">
        <x:v>Việt</x:v>
      </x:c>
      <x:c r="G903" s="11" t="str">
        <x:v>ET028</x:v>
      </x:c>
      <x:c r="H903" s="11" t="str">
        <x:v>Từ điển Hán Nôm Thi Viện; mục từ và nguồn từ điển ghi tại trang — tổng thống</x:v>
      </x:c>
      <x:c r="I903" s="30" t="str">
        <x:v>https://hvdic.thivien.net/whv/%E7%B8%BD%E7%B5%B1</x:v>
      </x:c>
      <x:c r="J903" s="11" t="str">
        <x:v>Đối chiếu âm và chữ: tổng thống — 總統.</x:v>
      </x:c>
      <x:c r="K903" s="11" t="str">
        <x:v>2026-10-29 (KST)</x:v>
      </x:c>
    </x:row>
    <x:row r="904" ht="100.5" customHeight="1">
      <x:c r="A904" s="11" t="str">
        <x:v>Dùng chung (3 mã)</x:v>
      </x:c>
      <x:c r="B904" s="11" t="str">
        <x:v>Việt</x:v>
      </x:c>
      <x:c r="C904" s="11" t="str">
        <x:v>Việt: Hàn Quốc</x:v>
      </x:c>
      <x:c r="D904" s="11" t="str">
        <x:v>Âm/chữ hoặc thành tố Hán Việt; không tự xác nhận nghĩa chuyên ngành.</x:v>
      </x:c>
      <x:c r="E904" s="11" t="str">
        <x:v>Mục từ; Thành tố</x:v>
      </x:c>
      <x:c r="F904" s="11" t="str">
        <x:v>Việt</x:v>
      </x:c>
      <x:c r="G904" s="11" t="str">
        <x:v>ET029</x:v>
      </x:c>
      <x:c r="H904" s="11" t="str">
        <x:v>Từ điển Hán Nôm Thi Viện; các nguồn quan sát tại mục: Nguyễn Quốc Hùng — Hàn Quốc</x:v>
      </x:c>
      <x:c r="I904" s="30" t="str">
        <x:v>https://hvdic.thivien.net/whv/%E9%9F%93%E5%9C%8B</x:v>
      </x:c>
      <x:c r="J904" s="11" t="str">
        <x:v>Đối chiếu âm và chữ: Hàn Quốc — 韓國. Trang mục từ có đề mục từ điển của Nguyễn Quốc Hùng.
Trang từ điển ghi âm Hán Việt và/hoặc mục từ tương ứng với 韓國. Chỉ dùng cho thành tố được nêu; cấu tạo toàn cụm do người rà soát tổng hợp.
Nguồn biên soạn: Nguyễn Quốc Hùng
Nguồn biên soạn: Bản điện tử HVdic/Thi Viện; Nguyễn Quốc Hùng</x:v>
      </x:c>
      <x:c r="K904" s="11" t="str">
        <x:v>2026-10-29 (KST)</x:v>
      </x:c>
    </x:row>
    <x:row r="905" ht="75" customHeight="1">
      <x:c r="A905" s="11" t="str">
        <x:v>T099</x:v>
      </x:c>
      <x:c r="B905" s="11" t="str">
        <x:v>Việt</x:v>
      </x:c>
      <x:c r="C905" s="11" t="str">
        <x:v>Việt: Thị trưởng</x:v>
      </x:c>
      <x:c r="D905" s="11" t="str">
        <x:v>Âm/chữ hoặc thành tố Hán Việt; không tự xác nhận nghĩa chuyên ngành.</x:v>
      </x:c>
      <x:c r="E905" s="11" t="str">
        <x:v>Mục từ</x:v>
      </x:c>
      <x:c r="F905" s="11" t="str">
        <x:v>Việt</x:v>
      </x:c>
      <x:c r="G905" s="11" t="str">
        <x:v>ET030</x:v>
      </x:c>
      <x:c r="H905" s="11" t="str">
        <x:v>Từ điển Hán Nôm Thi Viện; các nguồn quan sát tại mục: Nguyễn Quốc Hùng — thị trưởng</x:v>
      </x:c>
      <x:c r="I905" s="30" t="str">
        <x:v>https://hvdic.thivien.net/whv/%E5%B8%82%E9%95%B7</x:v>
      </x:c>
      <x:c r="J905" s="11" t="str">
        <x:v>Đối chiếu âm và chữ: thị trưởng — 市長. Trang mục từ có đề mục từ điển của Nguyễn Quốc Hùng.
Nguồn biên soạn: Nguyễn Quốc Hùng</x:v>
      </x:c>
      <x:c r="K905" s="11" t="str">
        <x:v>2026-10-29 (KST)</x:v>
      </x:c>
    </x:row>
    <x:row r="906" ht="85.5" customHeight="1">
      <x:c r="A906" s="11" t="str">
        <x:v>Dùng chung (6 mã)</x:v>
      </x:c>
      <x:c r="B906" s="11" t="str">
        <x:v>Việt</x:v>
      </x:c>
      <x:c r="C906" s="11" t="str">
        <x:v>Việt: Tổng; Việt: tổng</x:v>
      </x:c>
      <x:c r="D906" s="11" t="str">
        <x:v>Âm/chữ hoặc thành tố Hán Việt; không tự xác nhận nghĩa chuyên ngành.</x:v>
      </x:c>
      <x:c r="E906" s="11" t="str">
        <x:v>Thành tố</x:v>
      </x:c>
      <x:c r="F906" s="11" t="str">
        <x:v>Việt</x:v>
      </x:c>
      <x:c r="G906" s="11" t="str">
        <x:v>ET031</x:v>
      </x:c>
      <x:c r="H906" s="11" t="str">
        <x:v>Từ điển Hán Nôm Thi Viện; mục từ và nguồn từ điển ghi tại trang — tổng</x:v>
      </x:c>
      <x:c r="I906" s="30" t="str">
        <x:v>https://hvdic.thivien.net/whv/%E7%B8%BD</x:v>
      </x:c>
      <x:c r="J906" s="11" t="str">
        <x:v>Đối chiếu âm và chữ: tổng — 總.
Trang từ điển ghi âm Hán Việt và/hoặc mục từ tương ứng với 總. Chỉ dùng cho thành tố được nêu; cấu tạo toàn cụm do người rà soát tổng hợp.
Nguồn biên soạn: Bản điện tử HVdic/Thi Viện; chuyên mục phổ thông/trích dẫn, trang chưa chỉ rõ người biên soạn riêng mục này</x:v>
      </x:c>
      <x:c r="K906" s="11" t="str">
        <x:v>2026-10-29 (KST)</x:v>
      </x:c>
    </x:row>
    <x:row r="907" ht="75" customHeight="1">
      <x:c r="A907" s="11" t="str">
        <x:v>T091</x:v>
      </x:c>
      <x:c r="B907" s="11" t="str">
        <x:v>Việt</x:v>
      </x:c>
      <x:c r="C907" s="11" t="str">
        <x:v>Việt: Thư ký</x:v>
      </x:c>
      <x:c r="D907" s="11" t="str">
        <x:v>Âm/chữ hoặc thành tố Hán Việt; không tự xác nhận nghĩa chuyên ngành.</x:v>
      </x:c>
      <x:c r="E907" s="11" t="str">
        <x:v>Mục từ</x:v>
      </x:c>
      <x:c r="F907" s="11" t="str">
        <x:v>Việt</x:v>
      </x:c>
      <x:c r="G907" s="11" t="str">
        <x:v>ET032</x:v>
      </x:c>
      <x:c r="H907" s="11" t="str">
        <x:v>Từ điển Hán Nôm Thi Viện; các nguồn quan sát tại mục: Nguyễn Quốc Hùng — thư ký</x:v>
      </x:c>
      <x:c r="I907" s="30" t="str">
        <x:v>https://hvdic.thivien.net/whv/%E6%9B%B8%E8%A8%98</x:v>
      </x:c>
      <x:c r="J907" s="11" t="str">
        <x:v>Đối chiếu âm và chữ: thư ký — 書記. Trang mục từ có đề mục từ điển của Nguyễn Quốc Hùng.
Nguồn biên soạn: Nguyễn Quốc Hùng</x:v>
      </x:c>
      <x:c r="K907" s="11" t="str">
        <x:v>2026-10-29 (KST)</x:v>
      </x:c>
    </x:row>
    <x:row r="908" ht="100.5" customHeight="1">
      <x:c r="A908" s="11" t="str">
        <x:v>Dùng chung (3 mã)</x:v>
      </x:c>
      <x:c r="B908" s="11" t="str">
        <x:v>Việt</x:v>
      </x:c>
      <x:c r="C908" s="11" t="str">
        <x:v>Việt: Ủy viên</x:v>
      </x:c>
      <x:c r="D908" s="11" t="str">
        <x:v>Âm/chữ hoặc thành tố Hán Việt; không tự xác nhận nghĩa chuyên ngành.</x:v>
      </x:c>
      <x:c r="E908" s="11" t="str">
        <x:v>Mục từ; Thành tố</x:v>
      </x:c>
      <x:c r="F908" s="11" t="str">
        <x:v>Việt</x:v>
      </x:c>
      <x:c r="G908" s="11" t="str">
        <x:v>ET033</x:v>
      </x:c>
      <x:c r="H908" s="11" t="str">
        <x:v>Từ điển Hán Nôm Thi Viện; các nguồn quan sát tại mục: Nguyễn Quốc Hùng — ủy viên</x:v>
      </x:c>
      <x:c r="I908" s="30" t="str">
        <x:v>https://hvdic.thivien.net/whv/%E5%A7%94%E5%93%A1</x:v>
      </x:c>
      <x:c r="J908" s="11" t="str">
        <x:v>Đối chiếu âm và chữ: ủy viên — 委員. Trang mục từ có đề mục từ điển của Nguyễn Quốc Hùng.
Trang từ điển ghi âm Hán Việt và/hoặc mục từ tương ứng với 委員. Chỉ dùng cho thành tố được nêu; cấu tạo toàn cụm do người rà soát tổng hợp.
Nguồn biên soạn: Nguyễn Quốc Hùng
Nguồn biên soạn: Bản điện tử HVdic/Thi Viện; Nguyễn Quốc Hùng</x:v>
      </x:c>
      <x:c r="K908" s="11" t="str">
        <x:v>2026-10-29 (KST)</x:v>
      </x:c>
    </x:row>
    <x:row r="909" ht="75" customHeight="1">
      <x:c r="A909" s="11" t="str">
        <x:v>Dùng chung (7 mã)</x:v>
      </x:c>
      <x:c r="B909" s="11" t="str">
        <x:v>Việt</x:v>
      </x:c>
      <x:c r="C909" s="11" t="str">
        <x:v>Việt: Chính trị; Việt: chính trị</x:v>
      </x:c>
      <x:c r="D909" s="11" t="str">
        <x:v>Âm/chữ hoặc thành tố Hán Việt; không tự xác nhận nghĩa chuyên ngành.</x:v>
      </x:c>
      <x:c r="E909" s="11" t="str">
        <x:v>Mục từ; Thành tố</x:v>
      </x:c>
      <x:c r="F909" s="11" t="str">
        <x:v>Việt</x:v>
      </x:c>
      <x:c r="G909" s="11" t="str">
        <x:v>ET034</x:v>
      </x:c>
      <x:c r="H909" s="11" t="str">
        <x:v>Từ điển Hán Nôm Thi Viện; mục từ và nguồn từ điển ghi tại trang — chính trị</x:v>
      </x:c>
      <x:c r="I909" s="30" t="str">
        <x:v>https://hvdic.thivien.net/whv/%E6%94%BF%E6%B2%BB</x:v>
      </x:c>
      <x:c r="J909" s="11" t="str">
        <x:v>Đối chiếu âm và chữ: chính trị — 政治.
Trang từ điển ghi âm Hán Việt và/hoặc mục từ tương ứng với 政治. Chỉ dùng cho thành tố được nêu; cấu tạo toàn cụm do người rà soát tổng hợp.
Nguồn biên soạn: Bản điện tử HVdic/Thi Viện; Nguyễn Quốc Hùng</x:v>
      </x:c>
      <x:c r="K909" s="11" t="str">
        <x:v>2026-10-29 (KST)</x:v>
      </x:c>
    </x:row>
    <x:row r="910" ht="100.5" customHeight="1">
      <x:c r="A910" s="11" t="str">
        <x:v>Dùng chung (2 mã)</x:v>
      </x:c>
      <x:c r="B910" s="11" t="str">
        <x:v>Việt</x:v>
      </x:c>
      <x:c r="C910" s="11" t="str">
        <x:v>Việt: Chấp hành</x:v>
      </x:c>
      <x:c r="D910" s="11" t="str">
        <x:v>Âm/chữ hoặc thành tố Hán Việt; không tự xác nhận nghĩa chuyên ngành.</x:v>
      </x:c>
      <x:c r="E910" s="11" t="str">
        <x:v>Mục từ; Thành tố</x:v>
      </x:c>
      <x:c r="F910" s="11" t="str">
        <x:v>Việt</x:v>
      </x:c>
      <x:c r="G910" s="11" t="str">
        <x:v>ET035</x:v>
      </x:c>
      <x:c r="H910" s="11" t="str">
        <x:v>Từ điển Hán Nôm Thi Viện; các nguồn quan sát tại mục: Nguyễn Quốc Hùng — chấp hành</x:v>
      </x:c>
      <x:c r="I910" s="30" t="str">
        <x:v>https://hvdic.thivien.net/whv/%E5%9F%B7%E8%A1%8C</x:v>
      </x:c>
      <x:c r="J910" s="11" t="str">
        <x:v>Đối chiếu âm và chữ: chấp hành — 執行. Trang mục từ có đề mục từ điển của Nguyễn Quốc Hùng.
Trang từ điển ghi âm Hán Việt và/hoặc mục từ tương ứng với 執行. Chỉ dùng cho thành tố được nêu; cấu tạo toàn cụm do người rà soát tổng hợp.
Nguồn biên soạn: Nguyễn Quốc Hùng
Nguồn biên soạn: Bản điện tử HVdic/Thi Viện; Nguyễn Quốc Hùng</x:v>
      </x:c>
      <x:c r="K910" s="11" t="str">
        <x:v>2026-10-29 (KST)</x:v>
      </x:c>
    </x:row>
    <x:row r="911" ht="75" customHeight="1">
      <x:c r="A911" s="11" t="str">
        <x:v>Dùng chung (8 mã)</x:v>
      </x:c>
      <x:c r="B911" s="11" t="str">
        <x:v>Việt</x:v>
      </x:c>
      <x:c r="C911" s="11" t="str">
        <x:v>Việt: Tổ chức; Việt: tổ chức</x:v>
      </x:c>
      <x:c r="D911" s="11" t="str">
        <x:v>Âm/chữ hoặc thành tố Hán Việt; không tự xác nhận nghĩa chuyên ngành.</x:v>
      </x:c>
      <x:c r="E911" s="11" t="str">
        <x:v>Mục từ; Thành tố</x:v>
      </x:c>
      <x:c r="F911" s="11" t="str">
        <x:v>Việt</x:v>
      </x:c>
      <x:c r="G911" s="11" t="str">
        <x:v>ET036</x:v>
      </x:c>
      <x:c r="H911" s="11" t="str">
        <x:v>Từ điển Hán Nôm Thi Viện; mục từ và nguồn từ điển ghi tại trang — tổ chức</x:v>
      </x:c>
      <x:c r="I911" s="30" t="str">
        <x:v>https://hvdic.thivien.net/whv/%E7%B5%84%E7%B9%94</x:v>
      </x:c>
      <x:c r="J911" s="11" t="str">
        <x:v>Đối chiếu âm và chữ: tổ chức — 組織.
Trang từ điển ghi âm Hán Việt và/hoặc mục từ tương ứng với 組織. Chỉ dùng cho thành tố được nêu; cấu tạo toàn cụm do người rà soát tổng hợp.
Nguồn biên soạn: Bản điện tử HVdic/Thi Viện; Nguyễn Quốc Hùng</x:v>
      </x:c>
      <x:c r="K911" s="11" t="str">
        <x:v>2026-10-29 (KST)</x:v>
      </x:c>
    </x:row>
    <x:row r="912" ht="75" customHeight="1">
      <x:c r="A912" s="11" t="str">
        <x:v>M025</x:v>
      </x:c>
      <x:c r="B912" s="11" t="str">
        <x:v>Việt</x:v>
      </x:c>
      <x:c r="C912" s="11" t="str">
        <x:v>Việt: Công Thương</x:v>
      </x:c>
      <x:c r="D912" s="11" t="str">
        <x:v>Âm/chữ hoặc thành tố Hán Việt; không tự xác nhận nghĩa chuyên ngành.</x:v>
      </x:c>
      <x:c r="E912" s="11" t="str">
        <x:v>Mục từ</x:v>
      </x:c>
      <x:c r="F912" s="11" t="str">
        <x:v>Việt</x:v>
      </x:c>
      <x:c r="G912" s="11" t="str">
        <x:v>ET037</x:v>
      </x:c>
      <x:c r="H912" s="11" t="str">
        <x:v>Từ điển Hán Nôm Thi Viện; các nguồn quan sát tại mục: Nguyễn Quốc Hùng — công thương</x:v>
      </x:c>
      <x:c r="I912" s="30" t="str">
        <x:v>https://hvdic.thivien.net/whv/%E5%B7%A5%E5%95%86</x:v>
      </x:c>
      <x:c r="J912" s="11" t="str">
        <x:v>Đối chiếu âm và chữ: công thương — 工商. Trang mục từ có đề mục từ điển của Nguyễn Quốc Hùng.
Nguồn biên soạn: Nguyễn Quốc Hùng</x:v>
      </x:c>
      <x:c r="K912" s="11" t="str">
        <x:v>2026-10-29 (KST)</x:v>
      </x:c>
    </x:row>
    <x:row r="913" ht="75" customHeight="1">
      <x:c r="A913" s="11" t="str">
        <x:v>Dùng chung (2 mã)</x:v>
      </x:c>
      <x:c r="B913" s="11" t="str">
        <x:v>Việt</x:v>
      </x:c>
      <x:c r="C913" s="11" t="str">
        <x:v>Việt: Khoa học</x:v>
      </x:c>
      <x:c r="D913" s="11" t="str">
        <x:v>Âm/chữ hoặc thành tố Hán Việt; không tự xác nhận nghĩa chuyên ngành.</x:v>
      </x:c>
      <x:c r="E913" s="11" t="str">
        <x:v>Mục từ</x:v>
      </x:c>
      <x:c r="F913" s="11" t="str">
        <x:v>Việt</x:v>
      </x:c>
      <x:c r="G913" s="11" t="str">
        <x:v>ET038</x:v>
      </x:c>
      <x:c r="H913" s="11" t="str">
        <x:v>Từ điển Hán Nôm Thi Viện; các nguồn quan sát tại mục: Nguyễn Quốc Hùng — khoa học</x:v>
      </x:c>
      <x:c r="I913" s="30" t="str">
        <x:v>https://hvdic.thivien.net/whv/%E7%A7%91%E5%AD%B8</x:v>
      </x:c>
      <x:c r="J913" s="11" t="str">
        <x:v>Đối chiếu âm và chữ: khoa học — 科學. Trang mục từ có đề mục từ điển của Nguyễn Quốc Hùng.
Nguồn biên soạn: Nguyễn Quốc Hùng</x:v>
      </x:c>
      <x:c r="K913" s="11" t="str">
        <x:v>2026-10-29 (KST)</x:v>
      </x:c>
    </x:row>
    <x:row r="914" ht="75" customHeight="1">
      <x:c r="A914" s="11" t="str">
        <x:v>M023</x:v>
      </x:c>
      <x:c r="B914" s="11" t="str">
        <x:v>Việt</x:v>
      </x:c>
      <x:c r="C914" s="11" t="str">
        <x:v>Việt: Công nghệ</x:v>
      </x:c>
      <x:c r="D914" s="11" t="str">
        <x:v>Âm/chữ hoặc thành tố Hán Việt; không tự xác nhận nghĩa chuyên ngành.</x:v>
      </x:c>
      <x:c r="E914" s="11" t="str">
        <x:v>Mục từ</x:v>
      </x:c>
      <x:c r="F914" s="11" t="str">
        <x:v>Việt</x:v>
      </x:c>
      <x:c r="G914" s="11" t="str">
        <x:v>ET039</x:v>
      </x:c>
      <x:c r="H914" s="11" t="str">
        <x:v>Từ điển Hán Nôm Thi Viện; các nguồn quan sát tại mục: Nguyễn Quốc Hùng — công nghệ</x:v>
      </x:c>
      <x:c r="I914" s="30" t="str">
        <x:v>https://hvdic.thivien.net/whv/%E5%B7%A5%E8%97%9D</x:v>
      </x:c>
      <x:c r="J914" s="11" t="str">
        <x:v>Đối chiếu âm và chữ: công nghệ — 工藝. Trang mục từ có đề mục từ điển của Nguyễn Quốc Hùng.
Nguồn biên soạn: Nguyễn Quốc Hùng</x:v>
      </x:c>
      <x:c r="K914" s="11" t="str">
        <x:v>2026-10-29 (KST)</x:v>
      </x:c>
    </x:row>
    <x:row r="915" ht="115.5" customHeight="1">
      <x:c r="A915" s="11" t="str">
        <x:v>Dùng chung (7 mã)</x:v>
      </x:c>
      <x:c r="B915" s="11" t="str">
        <x:v>Việt</x:v>
      </x:c>
      <x:c r="C915" s="11" t="str">
        <x:v>Việt: nhà; Việt: Nhà; Việt: nhà nước; Việt: Nhà nước</x:v>
      </x:c>
      <x:c r="D915" s="11" t="str">
        <x:v>Nguồn từ nguyên/chữ gốc hoặc thành tố được nêu; đọc giới hạn tại ghi chú.</x:v>
      </x:c>
      <x:c r="E915" s="11" t="str">
        <x:v>Mục từ; Thành tố</x:v>
      </x:c>
      <x:c r="F915" s="11" t="str">
        <x:v>Việt</x:v>
      </x:c>
      <x:c r="G915" s="11" t="str">
        <x:v>ET040</x:v>
      </x:c>
      <x:c r="H915" s="11" t="str">
        <x:v>Mark Alves — Vietnamese vocabulary, WOLD: nhà</x:v>
      </x:c>
      <x:c r="I915" s="30" t="str">
        <x:v>https://wold.clld.org/word/7215023621685505</x:v>
      </x:c>
      <x:c r="J915" s="11" t="str">
        <x:v>the house; 5. no evidence for borrowing; Proto-Vietic. 
Nhà: không có chứng cứ vay mượn, có đối chiếu Proto-Vietic. Nước với nghĩa quốc gia là cách dùng phát triển trong tiếng Việt; nguồn chỉ trực tiếp khảo sát nước nghĩa water.
Nguồn biên soạn: Mark Alves, WOLD; dữ liệu v4.2 do nhóm nghiên cứu phát hành, đối chiếu trường ngữ nghĩa. Không suy nguồn gốc mọi thành tố từ nhãn của cả từ ghép.</x:v>
      </x:c>
      <x:c r="K915" s="11" t="str">
        <x:v>2026-10-29 (KST)</x:v>
      </x:c>
    </x:row>
    <x:row r="916" ht="100.5" customHeight="1">
      <x:c r="A916" s="11" t="str">
        <x:v>Dùng chung (2 mã)</x:v>
      </x:c>
      <x:c r="B916" s="11" t="str">
        <x:v>Việt</x:v>
      </x:c>
      <x:c r="C916" s="11" t="str">
        <x:v>Việt: Y tế</x:v>
      </x:c>
      <x:c r="D916" s="11" t="str">
        <x:v>Âm/chữ hoặc thành tố Hán Việt; không tự xác nhận nghĩa chuyên ngành.</x:v>
      </x:c>
      <x:c r="E916" s="11" t="str">
        <x:v>Mục từ; Thành tố</x:v>
      </x:c>
      <x:c r="F916" s="11" t="str">
        <x:v>Việt</x:v>
      </x:c>
      <x:c r="G916" s="11" t="str">
        <x:v>ET041</x:v>
      </x:c>
      <x:c r="H916" s="11" t="str">
        <x:v>Từ điển Hán Nôm Thi Viện; các nguồn quan sát tại mục: Nguyễn Quốc Hùng — y tế</x:v>
      </x:c>
      <x:c r="I916" s="30" t="str">
        <x:v>https://hvdic.thivien.net/whv/%E9%86%AB%E6%BF%9F</x:v>
      </x:c>
      <x:c r="J916" s="11" t="str">
        <x:v>Đối chiếu âm và chữ: y tế — 醫濟. Trang mục từ có đề mục từ điển của Nguyễn Quốc Hùng.
Trang từ điển ghi âm Hán Việt và/hoặc mục từ tương ứng với 醫濟. Chỉ dùng cho thành tố được nêu; cấu tạo toàn cụm do người rà soát tổng hợp.
Nguồn biên soạn: Nguyễn Quốc Hùng
Nguồn biên soạn: Bản điện tử HVdic/Thi Viện; Nguyễn Quốc Hùng</x:v>
      </x:c>
      <x:c r="K916" s="11" t="str">
        <x:v>2026-10-29 (KST)</x:v>
      </x:c>
    </x:row>
    <x:row r="917" ht="75" customHeight="1">
      <x:c r="A917" s="11" t="str">
        <x:v>M039</x:v>
      </x:c>
      <x:c r="B917" s="11" t="str">
        <x:v>Việt</x:v>
      </x:c>
      <x:c r="C917" s="11" t="str">
        <x:v>Việt: Cảnh sát</x:v>
      </x:c>
      <x:c r="D917" s="11" t="str">
        <x:v>Âm/chữ hoặc thành tố Hán Việt; không tự xác nhận nghĩa chuyên ngành.</x:v>
      </x:c>
      <x:c r="E917" s="11" t="str">
        <x:v>Mục từ</x:v>
      </x:c>
      <x:c r="F917" s="11" t="str">
        <x:v>Việt</x:v>
      </x:c>
      <x:c r="G917" s="11" t="str">
        <x:v>ET042</x:v>
      </x:c>
      <x:c r="H917" s="11" t="str">
        <x:v>Từ điển Hán Nôm Thi Viện; các nguồn quan sát tại mục: Nguyễn Quốc Hùng — cảnh sát</x:v>
      </x:c>
      <x:c r="I917" s="30" t="str">
        <x:v>https://hvdic.thivien.net/whv/%E8%AD%A6%E5%AF%9F</x:v>
      </x:c>
      <x:c r="J917" s="11" t="str">
        <x:v>Đối chiếu âm và chữ: cảnh sát — 警察. Trang mục từ có đề mục từ điển của Nguyễn Quốc Hùng.
Nguồn biên soạn: Nguyễn Quốc Hùng</x:v>
      </x:c>
      <x:c r="K917" s="11" t="str">
        <x:v>2026-10-29 (KST)</x:v>
      </x:c>
    </x:row>
    <x:row r="918" ht="85.5" customHeight="1">
      <x:c r="A918" s="11" t="str">
        <x:v>Dùng chung (4 mã)</x:v>
      </x:c>
      <x:c r="B918" s="11" t="str">
        <x:v>Việt</x:v>
      </x:c>
      <x:c r="C918" s="11" t="str">
        <x:v>Việt: biển; Việt: Biển</x:v>
      </x:c>
      <x:c r="D918" s="11" t="str">
        <x:v>Nguồn từ nguyên/chữ gốc hoặc thành tố được nêu; đọc giới hạn tại ghi chú.</x:v>
      </x:c>
      <x:c r="E918" s="11" t="str">
        <x:v>Mục từ; Thành tố</x:v>
      </x:c>
      <x:c r="F918" s="11" t="str">
        <x:v>Việt</x:v>
      </x:c>
      <x:c r="G918" s="11" t="str">
        <x:v>ET043</x:v>
      </x:c>
      <x:c r="H918" s="11" t="str">
        <x:v>Mark Alves — Vietnamese vocabulary, WOLD: biển</x:v>
      </x:c>
      <x:c r="I918" s="30" t="str">
        <x:v>https://wold.clld.org/word/7215023298576466</x:v>
      </x:c>
      <x:c r="J918" s="11" t="str">
        <x:v>the sea; 5. no evidence for borrowing; Vietnamese. 
5. no evidence for borrowing; 
Nguồn biên soạn: Mark Alves, WOLD; dữ liệu v4.2 do nhóm nghiên cứu phát hành, đối chiếu trường ngữ nghĩa. Không suy nguồn gốc mọi thành tố từ nhãn của cả từ ghép.</x:v>
      </x:c>
      <x:c r="K918" s="11" t="str">
        <x:v>2026-10-29 (KST)</x:v>
      </x:c>
    </x:row>
    <x:row r="919" ht="100.5" customHeight="1">
      <x:c r="A919" s="11" t="str">
        <x:v>Dùng chung (5 mã)</x:v>
      </x:c>
      <x:c r="B919" s="11" t="str">
        <x:v>Việt</x:v>
      </x:c>
      <x:c r="C919" s="11" t="str">
        <x:v>Việt: Việt Nam</x:v>
      </x:c>
      <x:c r="D919" s="11" t="str">
        <x:v>Âm/chữ hoặc thành tố Hán Việt; không tự xác nhận nghĩa chuyên ngành.</x:v>
      </x:c>
      <x:c r="E919" s="11" t="str">
        <x:v>Mục từ; Thành tố</x:v>
      </x:c>
      <x:c r="F919" s="11" t="str">
        <x:v>Việt</x:v>
      </x:c>
      <x:c r="G919" s="11" t="str">
        <x:v>ET044</x:v>
      </x:c>
      <x:c r="H919" s="11" t="str">
        <x:v>Từ điển Hán Nôm Thi Viện; các nguồn quan sát tại mục: Nguyễn Quốc Hùng — Việt Nam</x:v>
      </x:c>
      <x:c r="I919" s="30" t="str">
        <x:v>https://hvdic.thivien.net/whv/%E8%B6%8A%E5%8D%97</x:v>
      </x:c>
      <x:c r="J919" s="11" t="str">
        <x:v>Đối chiếu âm và chữ: Việt Nam — 越南. Trang mục từ có đề mục từ điển của Nguyễn Quốc Hùng.
Trang từ điển ghi âm Hán Việt và/hoặc mục từ tương ứng với 越南. Chỉ dùng cho thành tố được nêu; cấu tạo toàn cụm do người rà soát tổng hợp.
Nguồn biên soạn: Nguyễn Quốc Hùng
Nguồn biên soạn: Bản điện tử HVdic/Thi Viện; Nguyễn Quốc Hùng</x:v>
      </x:c>
      <x:c r="K919" s="11" t="str">
        <x:v>2026-10-29 (KST)</x:v>
      </x:c>
    </x:row>
    <x:row r="920" ht="100.5" customHeight="1">
      <x:c r="A920" s="11" t="str">
        <x:v>Dùng chung (5 mã)</x:v>
      </x:c>
      <x:c r="B920" s="11" t="str">
        <x:v>Việt</x:v>
      </x:c>
      <x:c r="C920" s="11" t="str">
        <x:v>Việt: Chính phủ; Việt: chính phủ</x:v>
      </x:c>
      <x:c r="D920" s="11" t="str">
        <x:v>Âm/chữ hoặc thành tố Hán Việt; không tự xác nhận nghĩa chuyên ngành.</x:v>
      </x:c>
      <x:c r="E920" s="11" t="str">
        <x:v>Mục từ; Thành tố</x:v>
      </x:c>
      <x:c r="F920" s="11" t="str">
        <x:v>Việt</x:v>
      </x:c>
      <x:c r="G920" s="11" t="str">
        <x:v>ET045</x:v>
      </x:c>
      <x:c r="H920" s="11" t="str">
        <x:v>Từ điển Hán Nôm Thi Viện; các nguồn quan sát tại mục: Nguyễn Quốc Hùng — chính phủ</x:v>
      </x:c>
      <x:c r="I920" s="30" t="str">
        <x:v>https://hvdic.thivien.net/whv/%E6%94%BF%E5%BA%9C</x:v>
      </x:c>
      <x:c r="J920" s="11" t="str">
        <x:v>Đối chiếu âm và chữ: chính phủ — 政府. Trang mục từ có đề mục từ điển của Nguyễn Quốc Hùng.
Trang từ điển ghi âm Hán Việt và/hoặc mục từ tương ứng với 政府. Chỉ dùng cho thành tố được nêu; cấu tạo toàn cụm do người rà soát tổng hợp.
Nguồn biên soạn: Nguyễn Quốc Hùng
Nguồn biên soạn: Bản điện tử HVdic/Thi Viện; Nguyễn Quốc Hùng</x:v>
      </x:c>
      <x:c r="K920" s="11" t="str">
        <x:v>2026-10-29 (KST)</x:v>
      </x:c>
    </x:row>
    <x:row r="921" ht="75" customHeight="1">
      <x:c r="A921" s="11" t="str">
        <x:v>Dùng chung (4 mã)</x:v>
      </x:c>
      <x:c r="B921" s="11" t="str">
        <x:v>Việt</x:v>
      </x:c>
      <x:c r="C921" s="11" t="str">
        <x:v>Việt: cơ quan; Việt: Cơ quan</x:v>
      </x:c>
      <x:c r="D921" s="11" t="str">
        <x:v>Âm/chữ hoặc thành tố Hán Việt; không tự xác nhận nghĩa chuyên ngành.</x:v>
      </x:c>
      <x:c r="E921" s="11" t="str">
        <x:v>Mục từ; Thành tố</x:v>
      </x:c>
      <x:c r="F921" s="11" t="str">
        <x:v>Việt</x:v>
      </x:c>
      <x:c r="G921" s="11" t="str">
        <x:v>ET046</x:v>
      </x:c>
      <x:c r="H921" s="11" t="str">
        <x:v>Từ điển Hán Nôm Thi Viện; mục từ và nguồn từ điển ghi tại trang — cơ quan</x:v>
      </x:c>
      <x:c r="I921" s="30" t="str">
        <x:v>https://hvdic.thivien.net/whv/%E6%A9%9F%E9%97%9C</x:v>
      </x:c>
      <x:c r="J921" s="11" t="str">
        <x:v>Đối chiếu âm và chữ: cơ quan — 機關.
Trang từ điển ghi âm Hán Việt và/hoặc mục từ tương ứng với 機關. Chỉ dùng cho thành tố được nêu; cấu tạo toàn cụm do người rà soát tổng hợp.
Nguồn biên soạn: Bản điện tử HVdic/Thi Viện; Nguyễn Quốc Hùng</x:v>
      </x:c>
      <x:c r="K921" s="11" t="str">
        <x:v>2026-10-29 (KST)</x:v>
      </x:c>
    </x:row>
    <x:row r="922" ht="75" customHeight="1">
      <x:c r="A922" s="11" t="str">
        <x:v>M051</x:v>
      </x:c>
      <x:c r="B922" s="11" t="str">
        <x:v>Việt</x:v>
      </x:c>
      <x:c r="C922" s="11" t="str">
        <x:v>Việt: ngôn luận</x:v>
      </x:c>
      <x:c r="D922" s="11" t="str">
        <x:v>Âm/chữ hoặc thành tố Hán Việt; không tự xác nhận nghĩa chuyên ngành.</x:v>
      </x:c>
      <x:c r="E922" s="11" t="str">
        <x:v>Mục từ</x:v>
      </x:c>
      <x:c r="F922" s="11" t="str">
        <x:v>Việt</x:v>
      </x:c>
      <x:c r="G922" s="11" t="str">
        <x:v>ET047</x:v>
      </x:c>
      <x:c r="H922" s="11" t="str">
        <x:v>Từ điển Hán Nôm Thi Viện; các nguồn quan sát tại mục: Nguyễn Quốc Hùng — ngôn luận</x:v>
      </x:c>
      <x:c r="I922" s="30" t="str">
        <x:v>https://hvdic.thivien.net/whv/%E8%A8%80%E8%AB%96</x:v>
      </x:c>
      <x:c r="J922" s="11" t="str">
        <x:v>Đối chiếu âm và chữ: ngôn luận — 言論. Trang mục từ có đề mục từ điển của Nguyễn Quốc Hùng.
Nguồn biên soạn: Nguyễn Quốc Hùng</x:v>
      </x:c>
      <x:c r="K922" s="11" t="str">
        <x:v>2026-10-29 (KST)</x:v>
      </x:c>
    </x:row>
    <x:row r="923" ht="100.5" customHeight="1">
      <x:c r="A923" s="11" t="str">
        <x:v>Dùng chung (3 mã)</x:v>
      </x:c>
      <x:c r="B923" s="11" t="str">
        <x:v>Việt</x:v>
      </x:c>
      <x:c r="C923" s="11" t="str">
        <x:v>Việt: Đại; Việt: Đại hội</x:v>
      </x:c>
      <x:c r="D923" s="11" t="str">
        <x:v>Âm/chữ hoặc thành tố Hán Việt; không tự xác nhận nghĩa chuyên ngành.</x:v>
      </x:c>
      <x:c r="E923" s="11" t="str">
        <x:v>Mục từ; Thành tố</x:v>
      </x:c>
      <x:c r="F923" s="11" t="str">
        <x:v>Việt</x:v>
      </x:c>
      <x:c r="G923" s="11" t="str">
        <x:v>ET048</x:v>
      </x:c>
      <x:c r="H923" s="11" t="str">
        <x:v>Từ điển Hán Nôm Thi Viện; các nguồn quan sát tại mục: Nguyễn Quốc Hùng — đại hội</x:v>
      </x:c>
      <x:c r="I923" s="30" t="str">
        <x:v>https://hvdic.thivien.net/whv/%E5%A4%A7%E6%9C%83</x:v>
      </x:c>
      <x:c r="J923" s="11" t="str">
        <x:v>Đối chiếu âm và chữ: đại hội — 大會. Trang mục từ có đề mục từ điển của Nguyễn Quốc Hùng.
Trang từ điển ghi âm Hán Việt và/hoặc mục từ tương ứng với 大會. Chỉ dùng cho thành tố được nêu; cấu tạo toàn cụm do người rà soát tổng hợp.
Nguồn biên soạn: Nguyễn Quốc Hùng
Nguồn biên soạn: Bản điện tử HVdic/Thi Viện; Nguyễn Quốc Hùng</x:v>
      </x:c>
      <x:c r="K923" s="11" t="str">
        <x:v>2026-10-29 (KST)</x:v>
      </x:c>
    </x:row>
    <x:row r="924" ht="75" customHeight="1">
      <x:c r="A924" s="11" t="str">
        <x:v>Dùng chung (5 mã)</x:v>
      </x:c>
      <x:c r="B924" s="11" t="str">
        <x:v>Việt</x:v>
      </x:c>
      <x:c r="C924" s="11" t="str">
        <x:v>Việt: Liên hợp</x:v>
      </x:c>
      <x:c r="D924" s="11" t="str">
        <x:v>Âm/chữ hoặc thành tố Hán Việt; không tự xác nhận nghĩa chuyên ngành.</x:v>
      </x:c>
      <x:c r="E924" s="11" t="str">
        <x:v>Mục từ</x:v>
      </x:c>
      <x:c r="F924" s="11" t="str">
        <x:v>Việt</x:v>
      </x:c>
      <x:c r="G924" s="11" t="str">
        <x:v>ET049</x:v>
      </x:c>
      <x:c r="H924" s="11" t="str">
        <x:v>Từ điển Hán Nôm Thi Viện; các nguồn quan sát tại mục: Nguyễn Quốc Hùng — liên hợp</x:v>
      </x:c>
      <x:c r="I924" s="30" t="str">
        <x:v>https://hvdic.thivien.net/whv/%E8%81%AF%E5%90%88</x:v>
      </x:c>
      <x:c r="J924" s="11" t="str">
        <x:v>Đối chiếu âm và chữ: liên hợp — 聯合. Trang mục từ có đề mục từ điển của Nguyễn Quốc Hùng.
Nguồn biên soạn: Nguyễn Quốc Hùng</x:v>
      </x:c>
      <x:c r="K924" s="11" t="str">
        <x:v>2026-10-29 (KST)</x:v>
      </x:c>
    </x:row>
    <x:row r="925" ht="75" customHeight="1">
      <x:c r="A925" s="11" t="str">
        <x:v>Dùng chung (5 mã)</x:v>
      </x:c>
      <x:c r="B925" s="11" t="str">
        <x:v>Việt</x:v>
      </x:c>
      <x:c r="C925" s="11" t="str">
        <x:v>Việt: quốc</x:v>
      </x:c>
      <x:c r="D925" s="11" t="str">
        <x:v>Âm/chữ hoặc thành tố Hán Việt; không tự xác nhận nghĩa chuyên ngành.</x:v>
      </x:c>
      <x:c r="E925" s="11" t="str">
        <x:v>Thành tố</x:v>
      </x:c>
      <x:c r="F925" s="11" t="str">
        <x:v>Việt</x:v>
      </x:c>
      <x:c r="G925" s="11" t="str">
        <x:v>ET050</x:v>
      </x:c>
      <x:c r="H925" s="11" t="str">
        <x:v>Từ điển Hán Nôm Thi Viện; mục từ và nguồn từ điển ghi tại trang — quốc</x:v>
      </x:c>
      <x:c r="I925" s="30" t="str">
        <x:v>https://hvdic.thivien.net/whv/%E5%9C%8B</x:v>
      </x:c>
      <x:c r="J925" s="11" t="str">
        <x:v>Đối chiếu âm và chữ: quốc — 國.</x:v>
      </x:c>
      <x:c r="K925" s="11" t="str">
        <x:v>2026-10-29 (KST)</x:v>
      </x:c>
    </x:row>
    <x:row r="926" ht="75" customHeight="1">
      <x:c r="A926" s="11" t="str">
        <x:v>Dùng chung (2 mã)</x:v>
      </x:c>
      <x:c r="B926" s="11" t="str">
        <x:v>Việt</x:v>
      </x:c>
      <x:c r="C926" s="11" t="str">
        <x:v>Việt: quán</x:v>
      </x:c>
      <x:c r="D926" s="11" t="str">
        <x:v>Âm/chữ hoặc thành tố Hán Việt; không tự xác nhận nghĩa chuyên ngành.</x:v>
      </x:c>
      <x:c r="E926" s="11" t="str">
        <x:v>Thành tố</x:v>
      </x:c>
      <x:c r="F926" s="11" t="str">
        <x:v>Việt</x:v>
      </x:c>
      <x:c r="G926" s="11" t="str">
        <x:v>ET051</x:v>
      </x:c>
      <x:c r="H926" s="11" t="str">
        <x:v>Từ điển Hán Nôm Thi Viện; mục từ và nguồn từ điển ghi tại trang — quán</x:v>
      </x:c>
      <x:c r="I926" s="30" t="str">
        <x:v>https://hvdic.thivien.net/whv/%E9%A4%A8</x:v>
      </x:c>
      <x:c r="J926" s="11" t="str">
        <x:v>Đối chiếu âm và chữ: quán — 館.</x:v>
      </x:c>
      <x:c r="K926" s="11" t="str">
        <x:v>2026-10-29 (KST)</x:v>
      </x:c>
    </x:row>
    <x:row r="927" ht="100.5" customHeight="1">
      <x:c r="A927" s="11" t="str">
        <x:v>Dùng chung (3 mã)</x:v>
      </x:c>
      <x:c r="B927" s="11" t="str">
        <x:v>Việt</x:v>
      </x:c>
      <x:c r="C927" s="11" t="str">
        <x:v>Việt: Cộng sản</x:v>
      </x:c>
      <x:c r="D927" s="11" t="str">
        <x:v>Âm/chữ hoặc thành tố Hán Việt; không tự xác nhận nghĩa chuyên ngành.</x:v>
      </x:c>
      <x:c r="E927" s="11" t="str">
        <x:v>Mục từ; Thành tố</x:v>
      </x:c>
      <x:c r="F927" s="11" t="str">
        <x:v>Việt</x:v>
      </x:c>
      <x:c r="G927" s="11" t="str">
        <x:v>ET052</x:v>
      </x:c>
      <x:c r="H927" s="11" t="str">
        <x:v>Từ điển Hán Nôm Thi Viện; các nguồn quan sát tại mục: Nguyễn Quốc Hùng — cộng sản</x:v>
      </x:c>
      <x:c r="I927" s="30" t="str">
        <x:v>https://hvdic.thivien.net/whv/%E5%85%B1%E7%94%A2</x:v>
      </x:c>
      <x:c r="J927" s="11" t="str">
        <x:v>Đối chiếu âm và chữ: cộng sản — 共產. Trang mục từ có đề mục từ điển của Nguyễn Quốc Hùng.
Trang từ điển ghi âm Hán Việt và/hoặc mục từ tương ứng với 共產. Chỉ dùng cho thành tố được nêu; cấu tạo toàn cụm do người rà soát tổng hợp.
Nguồn biên soạn: Nguyễn Quốc Hùng
Nguồn biên soạn: Bản điện tử HVdic/Thi Viện; Nguyễn Quốc Hùng</x:v>
      </x:c>
      <x:c r="K927" s="11" t="str">
        <x:v>2026-10-29 (KST)</x:v>
      </x:c>
    </x:row>
    <x:row r="928" ht="75" customHeight="1">
      <x:c r="A928" s="11" t="str">
        <x:v>T125</x:v>
      </x:c>
      <x:c r="B928" s="11" t="str">
        <x:v>Việt</x:v>
      </x:c>
      <x:c r="C928" s="11" t="str">
        <x:v>Việt: Cách mạng</x:v>
      </x:c>
      <x:c r="D928" s="11" t="str">
        <x:v>Âm/chữ hoặc thành tố Hán Việt; không tự xác nhận nghĩa chuyên ngành.</x:v>
      </x:c>
      <x:c r="E928" s="11" t="str">
        <x:v>Mục từ</x:v>
      </x:c>
      <x:c r="F928" s="11" t="str">
        <x:v>Việt</x:v>
      </x:c>
      <x:c r="G928" s="11" t="str">
        <x:v>ET053</x:v>
      </x:c>
      <x:c r="H928" s="11" t="str">
        <x:v>Từ điển Hán Nôm Thi Viện; các nguồn quan sát tại mục: Nguyễn Quốc Hùng — cách mạng</x:v>
      </x:c>
      <x:c r="I928" s="30" t="str">
        <x:v>https://hvdic.thivien.net/whv/%E9%9D%A9%E5%91%BD</x:v>
      </x:c>
      <x:c r="J928" s="11" t="str">
        <x:v>Đối chiếu âm và chữ: cách mạng — 革命. Trang mục từ có đề mục từ điển của Nguyễn Quốc Hùng.
Nguồn biên soạn: Nguyễn Quốc Hùng</x:v>
      </x:c>
      <x:c r="K928" s="11" t="str">
        <x:v>2026-10-29 (KST)</x:v>
      </x:c>
    </x:row>
    <x:row r="929" ht="75" customHeight="1">
      <x:c r="A929" s="11" t="str">
        <x:v>M015</x:v>
      </x:c>
      <x:c r="B929" s="11" t="str">
        <x:v>Việt</x:v>
      </x:c>
      <x:c r="C929" s="11" t="str">
        <x:v>Việt: đội</x:v>
      </x:c>
      <x:c r="D929" s="11" t="str">
        <x:v>Âm/chữ hoặc thành tố Hán Việt; không tự xác nhận nghĩa chuyên ngành.</x:v>
      </x:c>
      <x:c r="E929" s="11" t="str">
        <x:v>Thành tố</x:v>
      </x:c>
      <x:c r="F929" s="11" t="str">
        <x:v>Việt</x:v>
      </x:c>
      <x:c r="G929" s="11" t="str">
        <x:v>ET054</x:v>
      </x:c>
      <x:c r="H929" s="11" t="str">
        <x:v>Từ điển Hán Nôm Thi Viện; mục từ và nguồn từ điển ghi tại trang — đội</x:v>
      </x:c>
      <x:c r="I929" s="30" t="str">
        <x:v>https://hvdic.thivien.net/whv/%E9%9A%8A</x:v>
      </x:c>
      <x:c r="J929" s="11" t="str">
        <x:v>Đối chiếu âm và chữ: đội — 隊.</x:v>
      </x:c>
      <x:c r="K929" s="11" t="str">
        <x:v>2026-10-29 (KST)</x:v>
      </x:c>
    </x:row>
    <x:row r="930" ht="100.5" customHeight="1">
      <x:c r="A930" s="11" t="str">
        <x:v>Dùng chung (2 mã)</x:v>
      </x:c>
      <x:c r="B930" s="11" t="str">
        <x:v>Việt</x:v>
      </x:c>
      <x:c r="C930" s="11" t="str">
        <x:v>Việt: danh dự</x:v>
      </x:c>
      <x:c r="D930" s="11" t="str">
        <x:v>Âm/chữ hoặc thành tố Hán Việt; không tự xác nhận nghĩa chuyên ngành.</x:v>
      </x:c>
      <x:c r="E930" s="11" t="str">
        <x:v>Mục từ; Thành tố</x:v>
      </x:c>
      <x:c r="F930" s="11" t="str">
        <x:v>Việt</x:v>
      </x:c>
      <x:c r="G930" s="11" t="str">
        <x:v>ET055</x:v>
      </x:c>
      <x:c r="H930" s="11" t="str">
        <x:v>Từ điển Hán Nôm Thi Viện; các nguồn quan sát tại mục: Nguyễn Quốc Hùng — danh dự</x:v>
      </x:c>
      <x:c r="I930" s="30" t="str">
        <x:v>https://hvdic.thivien.net/whv/%E5%90%8D%E8%AD%BD</x:v>
      </x:c>
      <x:c r="J930" s="11" t="str">
        <x:v>Đối chiếu âm và chữ: danh dự — 名譽. Trang mục từ có đề mục từ điển của Nguyễn Quốc Hùng.
Trang từ điển ghi âm Hán Việt và/hoặc mục từ tương ứng với 名譽. Chỉ dùng cho thành tố được nêu; cấu tạo toàn cụm do người rà soát tổng hợp.
Nguồn biên soạn: Nguyễn Quốc Hùng
Nguồn biên soạn: Bản điện tử HVdic/Thi Viện; Nguyễn Quốc Hùng</x:v>
      </x:c>
      <x:c r="K930" s="11" t="str">
        <x:v>2026-10-29 (KST)</x:v>
      </x:c>
    </x:row>
    <x:row r="931" ht="75" customHeight="1">
      <x:c r="A931" s="11" t="str">
        <x:v>T132</x:v>
      </x:c>
      <x:c r="B931" s="11" t="str">
        <x:v>Việt</x:v>
      </x:c>
      <x:c r="C931" s="11" t="str">
        <x:v>Việt: Hiệp hội</x:v>
      </x:c>
      <x:c r="D931" s="11" t="str">
        <x:v>Âm/chữ hoặc thành tố Hán Việt; không tự xác nhận nghĩa chuyên ngành.</x:v>
      </x:c>
      <x:c r="E931" s="11" t="str">
        <x:v>Mục từ</x:v>
      </x:c>
      <x:c r="F931" s="11" t="str">
        <x:v>Việt</x:v>
      </x:c>
      <x:c r="G931" s="11" t="str">
        <x:v>ET056</x:v>
      </x:c>
      <x:c r="H931" s="11" t="str">
        <x:v>Từ điển Hán Nôm Thi Viện; các nguồn quan sát tại mục: Nguyễn Quốc Hùng — hiệp hội</x:v>
      </x:c>
      <x:c r="I931" s="30" t="str">
        <x:v>https://hvdic.thivien.net/whv/%E5%8D%94%E6%9C%83</x:v>
      </x:c>
      <x:c r="J931" s="11" t="str">
        <x:v>Đối chiếu âm và chữ: hiệp hội — 協會. Trang mục từ có đề mục từ điển của Nguyễn Quốc Hùng.
Nguồn biên soạn: Nguyễn Quốc Hùng</x:v>
      </x:c>
      <x:c r="K931" s="11" t="str">
        <x:v>2026-10-29 (KST)</x:v>
      </x:c>
    </x:row>
    <x:row r="932" ht="75" customHeight="1">
      <x:c r="A932" s="11" t="str">
        <x:v>Dùng chung (2 mã)</x:v>
      </x:c>
      <x:c r="B932" s="11" t="str">
        <x:v>Việt</x:v>
      </x:c>
      <x:c r="C932" s="11" t="str">
        <x:v>Việt: các</x:v>
      </x:c>
      <x:c r="D932" s="11" t="str">
        <x:v>Âm/chữ hoặc thành tố Hán Việt; không tự xác nhận nghĩa chuyên ngành.</x:v>
      </x:c>
      <x:c r="E932" s="11" t="str">
        <x:v>Thành tố</x:v>
      </x:c>
      <x:c r="F932" s="11" t="str">
        <x:v>Việt</x:v>
      </x:c>
      <x:c r="G932" s="11" t="str">
        <x:v>ET057</x:v>
      </x:c>
      <x:c r="H932" s="11" t="str">
        <x:v>Từ điển Hán Nôm Thi Viện; mục từ và nguồn từ điển ghi tại trang — các</x:v>
      </x:c>
      <x:c r="I932" s="30" t="str">
        <x:v>https://hvdic.thivien.net/whv/%E5%90%84</x:v>
      </x:c>
      <x:c r="J932" s="11" t="str">
        <x:v>Đối chiếu âm và chữ: các — 各.</x:v>
      </x:c>
      <x:c r="K932" s="11" t="str">
        <x:v>2026-10-29 (KST)</x:v>
      </x:c>
    </x:row>
    <x:row r="933" ht="75" customHeight="1">
      <x:c r="A933" s="11" t="str">
        <x:v>Dùng chung (2 mã)</x:v>
      </x:c>
      <x:c r="B933" s="11" t="str">
        <x:v>Việt</x:v>
      </x:c>
      <x:c r="C933" s="11" t="str">
        <x:v>Việt: Đông</x:v>
      </x:c>
      <x:c r="D933" s="11" t="str">
        <x:v>Âm/chữ hoặc thành tố Hán Việt; không tự xác nhận nghĩa chuyên ngành.</x:v>
      </x:c>
      <x:c r="E933" s="11" t="str">
        <x:v>Thành tố</x:v>
      </x:c>
      <x:c r="F933" s="11" t="str">
        <x:v>Việt</x:v>
      </x:c>
      <x:c r="G933" s="11" t="str">
        <x:v>ET058</x:v>
      </x:c>
      <x:c r="H933" s="11" t="str">
        <x:v>Từ điển Hán Nôm Thi Viện; mục từ và nguồn từ điển ghi tại trang — Đông</x:v>
      </x:c>
      <x:c r="I933" s="30" t="str">
        <x:v>https://hvdic.thivien.net/whv/%E6%9D%B1</x:v>
      </x:c>
      <x:c r="J933" s="11" t="str">
        <x:v>Đối chiếu âm và chữ: Đông — 東.</x:v>
      </x:c>
      <x:c r="K933" s="11" t="str">
        <x:v>2026-10-29 (KST)</x:v>
      </x:c>
    </x:row>
    <x:row r="934" ht="75" customHeight="1">
      <x:c r="A934" s="11" t="str">
        <x:v>T132</x:v>
      </x:c>
      <x:c r="B934" s="11" t="str">
        <x:v>Việt</x:v>
      </x:c>
      <x:c r="C934" s="11" t="str">
        <x:v>Việt: Nam</x:v>
      </x:c>
      <x:c r="D934" s="11" t="str">
        <x:v>Âm/chữ hoặc thành tố Hán Việt; không tự xác nhận nghĩa chuyên ngành.</x:v>
      </x:c>
      <x:c r="E934" s="11" t="str">
        <x:v>Thành tố</x:v>
      </x:c>
      <x:c r="F934" s="11" t="str">
        <x:v>Việt</x:v>
      </x:c>
      <x:c r="G934" s="11" t="str">
        <x:v>ET059</x:v>
      </x:c>
      <x:c r="H934" s="11" t="str">
        <x:v>Từ điển Hán Nôm Thi Viện; mục từ và nguồn từ điển ghi tại trang — Nam</x:v>
      </x:c>
      <x:c r="I934" s="30" t="str">
        <x:v>https://hvdic.thivien.net/whv/%E5%8D%97</x:v>
      </x:c>
      <x:c r="J934" s="11" t="str">
        <x:v>Đối chiếu âm và chữ: Nam — 南.</x:v>
      </x:c>
      <x:c r="K934" s="11" t="str">
        <x:v>2026-10-29 (KST)</x:v>
      </x:c>
    </x:row>
    <x:row r="935" ht="75" customHeight="1">
      <x:c r="A935" s="11" t="str">
        <x:v>Dùng chung (2 mã)</x:v>
      </x:c>
      <x:c r="B935" s="11" t="str">
        <x:v>Việt</x:v>
      </x:c>
      <x:c r="C935" s="11" t="str">
        <x:v>Việt: Á</x:v>
      </x:c>
      <x:c r="D935" s="11" t="str">
        <x:v>Âm/chữ hoặc thành tố Hán Việt; không tự xác nhận nghĩa chuyên ngành.</x:v>
      </x:c>
      <x:c r="E935" s="11" t="str">
        <x:v>Thành tố</x:v>
      </x:c>
      <x:c r="F935" s="11" t="str">
        <x:v>Việt</x:v>
      </x:c>
      <x:c r="G935" s="11" t="str">
        <x:v>ET060</x:v>
      </x:c>
      <x:c r="H935" s="11" t="str">
        <x:v>Từ điển Hán Nôm Thi Viện; mục từ và nguồn từ điển ghi tại trang — Á</x:v>
      </x:c>
      <x:c r="I935" s="30" t="str">
        <x:v>https://hvdic.thivien.net/whv/%E4%BA%9E</x:v>
      </x:c>
      <x:c r="J935" s="11" t="str">
        <x:v>Đối chiếu âm và chữ: Á — 亞.</x:v>
      </x:c>
      <x:c r="K935" s="11" t="str">
        <x:v>2026-10-29 (KST)</x:v>
      </x:c>
    </x:row>
    <x:row r="936" ht="75" customHeight="1">
      <x:c r="A936" s="11" t="str">
        <x:v>Dùng chung (2 mã)</x:v>
      </x:c>
      <x:c r="B936" s="11" t="str">
        <x:v>Việt</x:v>
      </x:c>
      <x:c r="C936" s="11" t="str">
        <x:v>Việt: Bảo an</x:v>
      </x:c>
      <x:c r="D936" s="11" t="str">
        <x:v>Âm/chữ hoặc thành tố Hán Việt; không tự xác nhận nghĩa chuyên ngành.</x:v>
      </x:c>
      <x:c r="E936" s="11" t="str">
        <x:v>Mục từ</x:v>
      </x:c>
      <x:c r="F936" s="11" t="str">
        <x:v>Việt</x:v>
      </x:c>
      <x:c r="G936" s="11" t="str">
        <x:v>ET061</x:v>
      </x:c>
      <x:c r="H936" s="11" t="str">
        <x:v>Từ điển Hán Nôm Thi Viện; các nguồn quan sát tại mục: Nguyễn Quốc Hùng — bảo an</x:v>
      </x:c>
      <x:c r="I936" s="30" t="str">
        <x:v>https://hvdic.thivien.net/whv/%E4%BF%9D%E5%AE%89</x:v>
      </x:c>
      <x:c r="J936" s="11" t="str">
        <x:v>Đối chiếu âm và chữ: bảo an — 保安. Trang mục từ có đề mục từ điển của Nguyễn Quốc Hùng.
Nguồn biên soạn: Nguyễn Quốc Hùng</x:v>
      </x:c>
      <x:c r="K936" s="11" t="str">
        <x:v>2026-10-29 (KST)</x:v>
      </x:c>
    </x:row>
    <x:row r="937" ht="75" customHeight="1">
      <x:c r="A937" s="11" t="str">
        <x:v>Dùng chung (2 mã)</x:v>
      </x:c>
      <x:c r="B937" s="11" t="str">
        <x:v>Việt</x:v>
      </x:c>
      <x:c r="C937" s="11" t="str">
        <x:v>Việt: Liên minh</x:v>
      </x:c>
      <x:c r="D937" s="11" t="str">
        <x:v>Âm/chữ hoặc thành tố Hán Việt; không tự xác nhận nghĩa chuyên ngành.</x:v>
      </x:c>
      <x:c r="E937" s="11" t="str">
        <x:v>Mục từ</x:v>
      </x:c>
      <x:c r="F937" s="11" t="str">
        <x:v>Việt</x:v>
      </x:c>
      <x:c r="G937" s="11" t="str">
        <x:v>ET062</x:v>
      </x:c>
      <x:c r="H937" s="11" t="str">
        <x:v>Từ điển Hán Nôm Thi Viện; các nguồn quan sát tại mục: Nguyễn Quốc Hùng — liên minh</x:v>
      </x:c>
      <x:c r="I937" s="30" t="str">
        <x:v>https://hvdic.thivien.net/whv/%E8%81%AF%E7%9B%9F</x:v>
      </x:c>
      <x:c r="J937" s="11" t="str">
        <x:v>Đối chiếu âm và chữ: liên minh — 聯盟. Trang mục từ có đề mục từ điển của Nguyễn Quốc Hùng.
Nguồn biên soạn: Nguyễn Quốc Hùng</x:v>
      </x:c>
      <x:c r="K937" s="11" t="str">
        <x:v>2026-10-29 (KST)</x:v>
      </x:c>
    </x:row>
    <x:row r="938" ht="75" customHeight="1">
      <x:c r="A938" s="11" t="str">
        <x:v>Dùng chung (2 mã)</x:v>
      </x:c>
      <x:c r="B938" s="11" t="str">
        <x:v>Việt</x:v>
      </x:c>
      <x:c r="C938" s="11" t="str">
        <x:v>Việt: châu</x:v>
      </x:c>
      <x:c r="D938" s="11" t="str">
        <x:v>Âm/chữ hoặc thành tố Hán Việt; không tự xác nhận nghĩa chuyên ngành.</x:v>
      </x:c>
      <x:c r="E938" s="11" t="str">
        <x:v>Thành tố</x:v>
      </x:c>
      <x:c r="F938" s="11" t="str">
        <x:v>Việt</x:v>
      </x:c>
      <x:c r="G938" s="11" t="str">
        <x:v>ET063</x:v>
      </x:c>
      <x:c r="H938" s="11" t="str">
        <x:v>Từ điển Hán Nôm Thi Viện; mục từ và nguồn từ điển ghi tại trang — châu</x:v>
      </x:c>
      <x:c r="I938" s="30" t="str">
        <x:v>https://hvdic.thivien.net/whv/%E6%B4%B2</x:v>
      </x:c>
      <x:c r="J938" s="11" t="str">
        <x:v>Đối chiếu âm và chữ: châu — 洲.</x:v>
      </x:c>
      <x:c r="K938" s="11" t="str">
        <x:v>2026-10-29 (KST)</x:v>
      </x:c>
    </x:row>
    <x:row r="939" ht="75" customHeight="1">
      <x:c r="A939" s="11" t="str">
        <x:v>Dùng chung (2 mã)</x:v>
      </x:c>
      <x:c r="B939" s="11" t="str">
        <x:v>Việt</x:v>
      </x:c>
      <x:c r="C939" s="11" t="str">
        <x:v>Việt: Âu</x:v>
      </x:c>
      <x:c r="D939" s="11" t="str">
        <x:v>Âm/chữ hoặc thành tố Hán Việt; không tự xác nhận nghĩa chuyên ngành.</x:v>
      </x:c>
      <x:c r="E939" s="11" t="str">
        <x:v>Thành tố</x:v>
      </x:c>
      <x:c r="F939" s="11" t="str">
        <x:v>Việt</x:v>
      </x:c>
      <x:c r="G939" s="11" t="str">
        <x:v>ET064</x:v>
      </x:c>
      <x:c r="H939" s="11" t="str">
        <x:v>Từ điển Hán Nôm Thi Viện; mục từ và nguồn từ điển ghi tại trang — Âu</x:v>
      </x:c>
      <x:c r="I939" s="30" t="str">
        <x:v>https://hvdic.thivien.net/whv/%E6%AD%90</x:v>
      </x:c>
      <x:c r="J939" s="11" t="str">
        <x:v>Đối chiếu âm và chữ: Âu — 歐.</x:v>
      </x:c>
      <x:c r="K939" s="11" t="str">
        <x:v>2026-10-29 (KST)</x:v>
      </x:c>
    </x:row>
    <x:row r="940" ht="100.5" customHeight="1">
      <x:c r="A940" s="11" t="str">
        <x:v>Dùng chung (4 mã)</x:v>
      </x:c>
      <x:c r="B940" s="11" t="str">
        <x:v>Việt</x:v>
      </x:c>
      <x:c r="C940" s="11" t="str">
        <x:v>Việt: Nghị viện; Việt: nghị viện</x:v>
      </x:c>
      <x:c r="D940" s="11" t="str">
        <x:v>Âm/chữ hoặc thành tố Hán Việt; không tự xác nhận nghĩa chuyên ngành.</x:v>
      </x:c>
      <x:c r="E940" s="11" t="str">
        <x:v>Mục từ; Thành tố</x:v>
      </x:c>
      <x:c r="F940" s="11" t="str">
        <x:v>Việt</x:v>
      </x:c>
      <x:c r="G940" s="11" t="str">
        <x:v>ET065</x:v>
      </x:c>
      <x:c r="H940" s="11" t="str">
        <x:v>Từ điển Hán Nôm Thi Viện; các nguồn quan sát tại mục: Nguyễn Quốc Hùng — nghị viện</x:v>
      </x:c>
      <x:c r="I940" s="30" t="str">
        <x:v>https://hvdic.thivien.net/whv/%E8%AD%B0%E9%99%A2</x:v>
      </x:c>
      <x:c r="J940" s="11" t="str">
        <x:v>Đối chiếu âm và chữ: nghị viện — 議院. Trang mục từ có đề mục từ điển của Nguyễn Quốc Hùng.
Trang từ điển ghi âm Hán Việt và/hoặc mục từ tương ứng với 議院. Chỉ dùng cho thành tố được nêu; cấu tạo toàn cụm do người rà soát tổng hợp.
Nguồn biên soạn: Nguyễn Quốc Hùng
Nguồn biên soạn: Bản điện tử HVdic/Thi Viện; Nguyễn Quốc Hùng</x:v>
      </x:c>
      <x:c r="K940" s="11" t="str">
        <x:v>2026-10-29 (KST)</x:v>
      </x:c>
    </x:row>
    <x:row r="941" ht="85.5" customHeight="1">
      <x:c r="A941" s="11" t="str">
        <x:v>Dùng chung (3 mã)</x:v>
      </x:c>
      <x:c r="B941" s="11" t="str">
        <x:v>Việt</x:v>
      </x:c>
      <x:c r="C941" s="11" t="str">
        <x:v>Việt: thế giới</x:v>
      </x:c>
      <x:c r="D941" s="11" t="str">
        <x:v>Âm/chữ hoặc thành tố Hán Việt; không tự xác nhận nghĩa chuyên ngành.</x:v>
      </x:c>
      <x:c r="E941" s="11" t="str">
        <x:v>Mục từ; Thành tố</x:v>
      </x:c>
      <x:c r="F941" s="11" t="str">
        <x:v>Việt</x:v>
      </x:c>
      <x:c r="G941" s="11" t="str">
        <x:v>ET066</x:v>
      </x:c>
      <x:c r="H941" s="11" t="str">
        <x:v>Từ điển Hán Nôm Thi Viện; mục từ và nguồn từ điển ghi tại trang — thế giới</x:v>
      </x:c>
      <x:c r="I941" s="30" t="str">
        <x:v>https://hvdic.thivien.net/whv/%E4%B8%96%E7%95%8C</x:v>
      </x:c>
      <x:c r="J941" s="11" t="str">
        <x:v>Đối chiếu âm và chữ: thế giới — 世界.
Trang từ điển ghi âm Hán Việt và/hoặc mục từ tương ứng với 世界. Chỉ dùng cho thành tố được nêu; cấu tạo toàn cụm do người rà soát tổng hợp.
Nguồn biên soạn: Bản điện tử HVdic/Thi Viện; chuyên mục phổ thông/trích dẫn, trang chưa chỉ rõ người biên soạn riêng mục này</x:v>
      </x:c>
      <x:c r="K941" s="11" t="str">
        <x:v>2026-10-29 (KST)</x:v>
      </x:c>
    </x:row>
    <x:row r="942" ht="75" customHeight="1">
      <x:c r="A942" s="11" t="str">
        <x:v>Dùng chung (2 mã)</x:v>
      </x:c>
      <x:c r="B942" s="11" t="str">
        <x:v>Việt</x:v>
      </x:c>
      <x:c r="C942" s="11" t="str">
        <x:v>Việt: Mặt</x:v>
      </x:c>
      <x:c r="D942" s="11" t="str">
        <x:v>Nguồn từ nguyên/chữ gốc hoặc thành tố được nêu; đọc giới hạn tại ghi chú.</x:v>
      </x:c>
      <x:c r="E942" s="11" t="str">
        <x:v>Mục từ</x:v>
      </x:c>
      <x:c r="F942" s="11" t="str">
        <x:v>Việt</x:v>
      </x:c>
      <x:c r="G942" s="11" t="str">
        <x:v>ET067</x:v>
      </x:c>
      <x:c r="H942" s="11" t="str">
        <x:v>Mark Alves — Vietnamese vocabulary, WOLD: mặt</x:v>
      </x:c>
      <x:c r="I942" s="30" t="str">
        <x:v>https://wold.clld.org/word/7215023139809758</x:v>
      </x:c>
      <x:c r="J942" s="11" t="str">
        <x:v>the face; 5. no evidence for borrowing; Vietnamese. </x:v>
      </x:c>
      <x:c r="K942" s="11" t="str">
        <x:v>2026-10-29 (KST)</x:v>
      </x:c>
    </x:row>
    <x:row r="943" ht="75" customHeight="1">
      <x:c r="A943" s="11" t="str">
        <x:v>Dùng chung (2 mã)</x:v>
      </x:c>
      <x:c r="B943" s="11" t="str">
        <x:v>Việt</x:v>
      </x:c>
      <x:c r="C943" s="11" t="str">
        <x:v>Việt: trận</x:v>
      </x:c>
      <x:c r="D943" s="11" t="str">
        <x:v>Âm/chữ hoặc thành tố Hán Việt; không tự xác nhận nghĩa chuyên ngành.</x:v>
      </x:c>
      <x:c r="E943" s="11" t="str">
        <x:v>Thành tố</x:v>
      </x:c>
      <x:c r="F943" s="11" t="str">
        <x:v>Việt</x:v>
      </x:c>
      <x:c r="G943" s="11" t="str">
        <x:v>ET068</x:v>
      </x:c>
      <x:c r="H943" s="11" t="str">
        <x:v>Từ điển Hán Nôm Thi Viện; mục từ và nguồn từ điển ghi tại trang — trận</x:v>
      </x:c>
      <x:c r="I943" s="30" t="str">
        <x:v>https://hvdic.thivien.net/whv/%E9%99%A3</x:v>
      </x:c>
      <x:c r="J943" s="11" t="str">
        <x:v>Đối chiếu âm và chữ: trận — 陣.</x:v>
      </x:c>
      <x:c r="K943" s="11" t="str">
        <x:v>2026-10-29 (KST)</x:v>
      </x:c>
    </x:row>
    <x:row r="944" ht="75" customHeight="1">
      <x:c r="A944" s="11" t="str">
        <x:v>Dùng chung (2 mã)</x:v>
      </x:c>
      <x:c r="B944" s="11" t="str">
        <x:v>Việt</x:v>
      </x:c>
      <x:c r="C944" s="11" t="str">
        <x:v>Việt: Tổ quốc</x:v>
      </x:c>
      <x:c r="D944" s="11" t="str">
        <x:v>Âm/chữ hoặc thành tố Hán Việt; không tự xác nhận nghĩa chuyên ngành.</x:v>
      </x:c>
      <x:c r="E944" s="11" t="str">
        <x:v>Mục từ</x:v>
      </x:c>
      <x:c r="F944" s="11" t="str">
        <x:v>Việt</x:v>
      </x:c>
      <x:c r="G944" s="11" t="str">
        <x:v>ET069</x:v>
      </x:c>
      <x:c r="H944" s="11" t="str">
        <x:v>Từ điển Hán Nôm Thi Viện; các nguồn quan sát tại mục: Nguyễn Quốc Hùng — tổ quốc</x:v>
      </x:c>
      <x:c r="I944" s="30" t="str">
        <x:v>https://hvdic.thivien.net/whv/%E7%A5%96%E5%9C%8B</x:v>
      </x:c>
      <x:c r="J944" s="11" t="str">
        <x:v>Đối chiếu âm và chữ: tổ quốc — 祖國. Trang mục từ có đề mục từ điển của Nguyễn Quốc Hùng.
Nguồn biên soạn: Nguyễn Quốc Hùng</x:v>
      </x:c>
      <x:c r="K944" s="11" t="str">
        <x:v>2026-10-29 (KST)</x:v>
      </x:c>
    </x:row>
    <x:row r="945" ht="75" customHeight="1">
      <x:c r="A945" s="11" t="str">
        <x:v>M033</x:v>
      </x:c>
      <x:c r="B945" s="11" t="str">
        <x:v>Việt</x:v>
      </x:c>
      <x:c r="C945" s="11" t="str">
        <x:v>Việt: hữu nghị</x:v>
      </x:c>
      <x:c r="D945" s="11" t="str">
        <x:v>Âm/chữ hoặc thành tố Hán Việt; không tự xác nhận nghĩa chuyên ngành.</x:v>
      </x:c>
      <x:c r="E945" s="11" t="str">
        <x:v>Mục từ</x:v>
      </x:c>
      <x:c r="F945" s="11" t="str">
        <x:v>Việt</x:v>
      </x:c>
      <x:c r="G945" s="11" t="str">
        <x:v>ET070</x:v>
      </x:c>
      <x:c r="H945" s="11" t="str">
        <x:v>Từ điển Hán Nôm Thi Viện; các nguồn quan sát tại mục: Nguyễn Quốc Hùng — hữu nghị</x:v>
      </x:c>
      <x:c r="I945" s="30" t="str">
        <x:v>https://hvdic.thivien.net/whv/%E5%8F%8B%E8%AA%BC</x:v>
      </x:c>
      <x:c r="J945" s="11" t="str">
        <x:v>Đối chiếu âm và chữ: hữu nghị — 友誼. Trang mục từ có đề mục từ điển của Nguyễn Quốc Hùng.
Nguồn biên soạn: Nguyễn Quốc Hùng</x:v>
      </x:c>
      <x:c r="K945" s="11" t="str">
        <x:v>2026-10-29 (KST)</x:v>
      </x:c>
    </x:row>
    <x:row r="946" ht="75" customHeight="1">
      <x:c r="A946" s="11" t="str">
        <x:v>M016</x:v>
      </x:c>
      <x:c r="B946" s="11" t="str">
        <x:v>Việt</x:v>
      </x:c>
      <x:c r="C946" s="11" t="str">
        <x:v>Việt: Quân đội</x:v>
      </x:c>
      <x:c r="D946" s="11" t="str">
        <x:v>Âm/chữ hoặc thành tố Hán Việt; không tự xác nhận nghĩa chuyên ngành.</x:v>
      </x:c>
      <x:c r="E946" s="11" t="str">
        <x:v>Mục từ</x:v>
      </x:c>
      <x:c r="F946" s="11" t="str">
        <x:v>Việt</x:v>
      </x:c>
      <x:c r="G946" s="11" t="str">
        <x:v>ET071</x:v>
      </x:c>
      <x:c r="H946" s="11" t="str">
        <x:v>Từ điển Hán Nôm Thi Viện; các nguồn quan sát tại mục: Nguyễn Quốc Hùng — quân đội</x:v>
      </x:c>
      <x:c r="I946" s="30" t="str">
        <x:v>https://hvdic.thivien.net/whv/%E8%BB%8D%E9%9A%8A</x:v>
      </x:c>
      <x:c r="J946" s="11" t="str">
        <x:v>Đối chiếu âm và chữ: quân đội — 軍隊. Trang mục từ có đề mục từ điển của Nguyễn Quốc Hùng.
Nguồn biên soạn: Nguyễn Quốc Hùng</x:v>
      </x:c>
      <x:c r="K946" s="11" t="str">
        <x:v>2026-10-29 (KST)</x:v>
      </x:c>
    </x:row>
    <x:row r="947" ht="130.5" customHeight="1">
      <x:c r="A947" s="11" t="str">
        <x:v>Dùng chung (5 mã)</x:v>
      </x:c>
      <x:c r="B947" s="11" t="str">
        <x:v>Việt</x:v>
      </x:c>
      <x:c r="C947" s="11" t="str">
        <x:v>Việt: Tòa; Việt: vẹn; Việt: ghi; Việt: sức; Việt: bên</x:v>
      </x:c>
      <x:c r="D947" s="11" t="str">
        <x:v>Nguồn từ nguyên/chữ gốc hoặc thành tố được nêu; đọc giới hạn tại ghi chú.</x:v>
      </x:c>
      <x:c r="E947" s="11" t="str">
        <x:v>Thành tố; Phương pháp</x:v>
      </x:c>
      <x:c r="F947" s="11" t="str">
        <x:v>Việt</x:v>
      </x:c>
      <x:c r="G947" s="11" t="str">
        <x:v>ET072</x:v>
      </x:c>
      <x:c r="H947" s="11" t="str">
        <x:v>Mark Alves &amp; Vũ Đức Nghiệu (2025), Ngôn ngữ số1 — Cần xem xét lại nguồn gốc…</x:v>
      </x:c>
      <x:c r="I947" s="30" t="str">
        <x:v>https://www.researchgate.net/publication/403818286_CAN_XEM_XET_LAI_NGUON_GOC_SU_HINH_THANH_VA_QUAN_NIEM_VE_NHUNG_TU_DUOC_GOI_LA_TU_HAN_VIET_VIET_HOA</x:v>
      </x:c>
      <x:c r="J947" s="11" t="str">
        <x:v>Phụ lục C, mục32: tòa — 座; tách khỏi lớp Hán Việt chuẩn.
Phụ lục D, mục32: vẹn — 完; tách khỏi lớp Hán Việt chuẩn.
Bảng đối chiếu lịch sử có ghi–記–ký, sức–力–lực; phần phân tích có bên–邊–biên. Dùng nhãn trung tính gốc Hán ngoài lớp Hán Việt chuẩn, không coi là từ thuần Việt chỉ vì không theo âm Hán Việt hiện nay.
Bản toàn văn do tác giả đăng. Đề xuất phân tích lại lớp vay mượn sớm; các phụ lục có đối ứng tòa–tọa, vẹn–hoàn, ghi–ký, sức–lực. Không áp nhãn gốc Hán cho từ chỉ giống âm.</x:v>
      </x:c>
      <x:c r="K947" s="11" t="str">
        <x:v>2026-10-29 (KST)</x:v>
      </x:c>
    </x:row>
    <x:row r="948" ht="75" customHeight="1">
      <x:c r="A948" s="11" t="str">
        <x:v>T126</x:v>
      </x:c>
      <x:c r="B948" s="11" t="str">
        <x:v>Việt</x:v>
      </x:c>
      <x:c r="C948" s="11" t="str">
        <x:v>Việt: án</x:v>
      </x:c>
      <x:c r="D948" s="11" t="str">
        <x:v>Âm/chữ hoặc thành tố Hán Việt; không tự xác nhận nghĩa chuyên ngành.</x:v>
      </x:c>
      <x:c r="E948" s="11" t="str">
        <x:v>Thành tố</x:v>
      </x:c>
      <x:c r="F948" s="11" t="str">
        <x:v>Việt</x:v>
      </x:c>
      <x:c r="G948" s="11" t="str">
        <x:v>ET073</x:v>
      </x:c>
      <x:c r="H948" s="11" t="str">
        <x:v>Từ điển Hán Nôm Thi Viện; mục từ và nguồn từ điển ghi tại trang — án</x:v>
      </x:c>
      <x:c r="I948" s="30" t="str">
        <x:v>https://hvdic.thivien.net/whv/%E6%A1%88</x:v>
      </x:c>
      <x:c r="J948" s="11" t="str">
        <x:v>Đối chiếu âm và chữ: án — 案.</x:v>
      </x:c>
      <x:c r="K948" s="11" t="str">
        <x:v>2026-10-29 (KST)</x:v>
      </x:c>
    </x:row>
    <x:row r="949" ht="75" customHeight="1">
      <x:c r="A949" s="11" t="str">
        <x:v>Dùng chung (2 mã)</x:v>
      </x:c>
      <x:c r="B949" s="11" t="str">
        <x:v>Việt</x:v>
      </x:c>
      <x:c r="C949" s="11" t="str">
        <x:v>Việt: tối cao</x:v>
      </x:c>
      <x:c r="D949" s="11" t="str">
        <x:v>Âm/chữ hoặc thành tố Hán Việt; không tự xác nhận nghĩa chuyên ngành.</x:v>
      </x:c>
      <x:c r="E949" s="11" t="str">
        <x:v>Mục từ</x:v>
      </x:c>
      <x:c r="F949" s="11" t="str">
        <x:v>Việt</x:v>
      </x:c>
      <x:c r="G949" s="11" t="str">
        <x:v>ET074</x:v>
      </x:c>
      <x:c r="H949" s="11" t="str">
        <x:v>Từ điển Hán Nôm Thi Viện; các nguồn quan sát tại mục: Nguyễn Quốc Hùng — tối cao</x:v>
      </x:c>
      <x:c r="I949" s="30" t="str">
        <x:v>https://hvdic.thivien.net/whv/%E6%9C%80%E9%AB%98</x:v>
      </x:c>
      <x:c r="J949" s="11" t="str">
        <x:v>Đối chiếu âm và chữ: tối cao — 最高. Trang mục từ có đề mục từ điển của Nguyễn Quốc Hùng.
Nguồn biên soạn: Nguyễn Quốc Hùng</x:v>
      </x:c>
      <x:c r="K949" s="11" t="str">
        <x:v>2026-10-29 (KST)</x:v>
      </x:c>
    </x:row>
    <x:row r="950" ht="75" customHeight="1">
      <x:c r="A950" s="11" t="str">
        <x:v>M031</x:v>
      </x:c>
      <x:c r="B950" s="11" t="str">
        <x:v>Việt</x:v>
      </x:c>
      <x:c r="C950" s="11" t="str">
        <x:v>Việt: Giáo dục</x:v>
      </x:c>
      <x:c r="D950" s="11" t="str">
        <x:v>Âm/chữ hoặc thành tố Hán Việt; không tự xác nhận nghĩa chuyên ngành.</x:v>
      </x:c>
      <x:c r="E950" s="11" t="str">
        <x:v>Mục từ</x:v>
      </x:c>
      <x:c r="F950" s="11" t="str">
        <x:v>Việt</x:v>
      </x:c>
      <x:c r="G950" s="11" t="str">
        <x:v>ET075</x:v>
      </x:c>
      <x:c r="H950" s="11" t="str">
        <x:v>Từ điển Hán Nôm Thi Viện; các nguồn quan sát tại mục: Nguyễn Quốc Hùng — giáo dục</x:v>
      </x:c>
      <x:c r="I950" s="30" t="str">
        <x:v>https://hvdic.thivien.net/whv/%E6%95%99%E8%82%B2</x:v>
      </x:c>
      <x:c r="J950" s="11" t="str">
        <x:v>Đối chiếu âm và chữ: giáo dục — 教育. Trang mục từ có đề mục từ điển của Nguyễn Quốc Hùng.
Nguồn biên soạn: Nguyễn Quốc Hùng</x:v>
      </x:c>
      <x:c r="K950" s="11" t="str">
        <x:v>2026-10-29 (KST)</x:v>
      </x:c>
    </x:row>
    <x:row r="951" ht="100.5" customHeight="1">
      <x:c r="A951" s="11" t="str">
        <x:v>Dùng chung (2 mã)</x:v>
      </x:c>
      <x:c r="B951" s="11" t="str">
        <x:v>Việt</x:v>
      </x:c>
      <x:c r="C951" s="11" t="str">
        <x:v>Việt: Văn hóa; Việt: văn hóa</x:v>
      </x:c>
      <x:c r="D951" s="11" t="str">
        <x:v>Âm/chữ hoặc thành tố Hán Việt; không tự xác nhận nghĩa chuyên ngành.</x:v>
      </x:c>
      <x:c r="E951" s="11" t="str">
        <x:v>Mục từ; Thành tố</x:v>
      </x:c>
      <x:c r="F951" s="11" t="str">
        <x:v>Việt</x:v>
      </x:c>
      <x:c r="G951" s="11" t="str">
        <x:v>ET076</x:v>
      </x:c>
      <x:c r="H951" s="11" t="str">
        <x:v>Từ điển Hán Nôm Thi Viện; các nguồn quan sát tại mục: Nguyễn Quốc Hùng — văn hóa</x:v>
      </x:c>
      <x:c r="I951" s="30" t="str">
        <x:v>https://hvdic.thivien.net/whv/%E6%96%87%E5%8C%96</x:v>
      </x:c>
      <x:c r="J951" s="11" t="str">
        <x:v>Đối chiếu âm và chữ: văn hóa — 文化. Trang mục từ có đề mục từ điển của Nguyễn Quốc Hùng.
Trang từ điển ghi âm Hán Việt và/hoặc mục từ tương ứng với 文化. Chỉ dùng cho thành tố được nêu; cấu tạo toàn cụm do người rà soát tổng hợp.
Nguồn biên soạn: Nguyễn Quốc Hùng
Nguồn biên soạn: Bản điện tử HVdic/Thi Viện; Nguyễn Quốc Hùng</x:v>
      </x:c>
      <x:c r="K951" s="11" t="str">
        <x:v>2026-10-29 (KST)</x:v>
      </x:c>
    </x:row>
    <x:row r="952" ht="75" customHeight="1">
      <x:c r="A952" s="11" t="str">
        <x:v>M034</x:v>
      </x:c>
      <x:c r="B952" s="11" t="str">
        <x:v>Việt</x:v>
      </x:c>
      <x:c r="C952" s="11" t="str">
        <x:v>Việt: chuyên môn</x:v>
      </x:c>
      <x:c r="D952" s="11" t="str">
        <x:v>Âm/chữ hoặc thành tố Hán Việt; không tự xác nhận nghĩa chuyên ngành.</x:v>
      </x:c>
      <x:c r="E952" s="11" t="str">
        <x:v>Mục từ</x:v>
      </x:c>
      <x:c r="F952" s="11" t="str">
        <x:v>Việt</x:v>
      </x:c>
      <x:c r="G952" s="11" t="str">
        <x:v>ET077</x:v>
      </x:c>
      <x:c r="H952" s="11" t="str">
        <x:v>Từ điển Hán Nôm Thi Viện; mục từ và nguồn từ điển ghi tại trang — chuyên môn</x:v>
      </x:c>
      <x:c r="I952" s="30" t="str">
        <x:v>https://hvdic.thivien.net/whv/%E5%B0%88%E9%96%80</x:v>
      </x:c>
      <x:c r="J952" s="11" t="str">
        <x:v>Đối chiếu âm và chữ: chuyên môn — 專門.</x:v>
      </x:c>
      <x:c r="K952" s="11" t="str">
        <x:v>2026-10-29 (KST)</x:v>
      </x:c>
    </x:row>
    <x:row r="953" ht="75" customHeight="1">
      <x:c r="A953" s="11" t="str">
        <x:v>T127</x:v>
      </x:c>
      <x:c r="B953" s="11" t="str">
        <x:v>Việt</x:v>
      </x:c>
      <x:c r="C953" s="11" t="str">
        <x:v>Việt: Văn phòng</x:v>
      </x:c>
      <x:c r="D953" s="11" t="str">
        <x:v>Âm/chữ hoặc thành tố Hán Việt; không tự xác nhận nghĩa chuyên ngành.</x:v>
      </x:c>
      <x:c r="E953" s="11" t="str">
        <x:v>Mục từ</x:v>
      </x:c>
      <x:c r="F953" s="11" t="str">
        <x:v>Việt</x:v>
      </x:c>
      <x:c r="G953" s="11" t="str">
        <x:v>ET078</x:v>
      </x:c>
      <x:c r="H953" s="11" t="str">
        <x:v>Từ điển Hán Nôm Thi Viện; các nguồn quan sát tại mục: Nguyễn Quốc Hùng — văn phòng</x:v>
      </x:c>
      <x:c r="I953" s="30" t="str">
        <x:v>https://hvdic.thivien.net/whv/%E6%96%87%E6%88%BF</x:v>
      </x:c>
      <x:c r="J953" s="11" t="str">
        <x:v>Đối chiếu âm và chữ: văn phòng — 文房. Trang mục từ có đề mục từ điển của Nguyễn Quốc Hùng.
Nguồn biên soạn: Nguyễn Quốc Hùng</x:v>
      </x:c>
      <x:c r="K953" s="11" t="str">
        <x:v>2026-10-29 (KST)</x:v>
      </x:c>
    </x:row>
    <x:row r="954" ht="75" customHeight="1">
      <x:c r="A954" s="11" t="str">
        <x:v>T073</x:v>
      </x:c>
      <x:c r="B954" s="11" t="str">
        <x:v>Việt</x:v>
      </x:c>
      <x:c r="C954" s="11" t="str">
        <x:v>Việt: chế độ</x:v>
      </x:c>
      <x:c r="D954" s="11" t="str">
        <x:v>Âm/chữ hoặc thành tố Hán Việt; không tự xác nhận nghĩa chuyên ngành.</x:v>
      </x:c>
      <x:c r="E954" s="11" t="str">
        <x:v>Mục từ</x:v>
      </x:c>
      <x:c r="F954" s="11" t="str">
        <x:v>Việt</x:v>
      </x:c>
      <x:c r="G954" s="11" t="str">
        <x:v>ET079</x:v>
      </x:c>
      <x:c r="H954" s="11" t="str">
        <x:v>Từ điển Hán Nôm Thi Viện; mục từ và nguồn từ điển ghi tại trang — chế độ</x:v>
      </x:c>
      <x:c r="I954" s="30" t="str">
        <x:v>https://hvdic.thivien.net/whv/%E5%88%B6%E5%BA%A6</x:v>
      </x:c>
      <x:c r="J954" s="11" t="str">
        <x:v>Đối chiếu âm và chữ: chế độ — 制度.</x:v>
      </x:c>
      <x:c r="K954" s="11" t="str">
        <x:v>2026-10-29 (KST)</x:v>
      </x:c>
    </x:row>
    <x:row r="955" ht="75" customHeight="1">
      <x:c r="A955" s="11" t="str">
        <x:v>T129</x:v>
      </x:c>
      <x:c r="B955" s="11" t="str">
        <x:v>Việt</x:v>
      </x:c>
      <x:c r="C955" s="11" t="str">
        <x:v>Việt: chính quyền</x:v>
      </x:c>
      <x:c r="D955" s="11" t="str">
        <x:v>Âm/chữ hoặc thành tố Hán Việt; không tự xác nhận nghĩa chuyên ngành.</x:v>
      </x:c>
      <x:c r="E955" s="11" t="str">
        <x:v>Mục từ</x:v>
      </x:c>
      <x:c r="F955" s="11" t="str">
        <x:v>Việt</x:v>
      </x:c>
      <x:c r="G955" s="11" t="str">
        <x:v>ET080</x:v>
      </x:c>
      <x:c r="H955" s="11" t="str">
        <x:v>Từ điển Hán Nôm Thi Viện; các nguồn quan sát tại mục: Nguyễn Quốc Hùng — chính quyền</x:v>
      </x:c>
      <x:c r="I955" s="30" t="str">
        <x:v>https://hvdic.thivien.net/whv/%E6%94%BF%E6%AC%8A</x:v>
      </x:c>
      <x:c r="J955" s="11" t="str">
        <x:v>Đối chiếu âm và chữ: chính quyền — 政權. Trang mục từ có đề mục từ điển của Nguyễn Quốc Hùng.
Nguồn biên soạn: Nguyễn Quốc Hùng</x:v>
      </x:c>
      <x:c r="K955" s="11" t="str">
        <x:v>2026-10-29 (KST)</x:v>
      </x:c>
    </x:row>
    <x:row r="956" ht="100.5" customHeight="1">
      <x:c r="A956" s="11" t="str">
        <x:v>Dùng chung (2 mã)</x:v>
      </x:c>
      <x:c r="B956" s="11" t="str">
        <x:v>Việt</x:v>
      </x:c>
      <x:c r="C956" s="11" t="str">
        <x:v>Việt: địa phương</x:v>
      </x:c>
      <x:c r="D956" s="11" t="str">
        <x:v>Âm/chữ hoặc thành tố Hán Việt; không tự xác nhận nghĩa chuyên ngành.</x:v>
      </x:c>
      <x:c r="E956" s="11" t="str">
        <x:v>Mục từ; Thành tố</x:v>
      </x:c>
      <x:c r="F956" s="11" t="str">
        <x:v>Việt</x:v>
      </x:c>
      <x:c r="G956" s="11" t="str">
        <x:v>ET081</x:v>
      </x:c>
      <x:c r="H956" s="11" t="str">
        <x:v>Từ điển Hán Nôm Thi Viện; các nguồn quan sát tại mục: Nguyễn Quốc Hùng — địa phương</x:v>
      </x:c>
      <x:c r="I956" s="30" t="str">
        <x:v>https://hvdic.thivien.net/whv/%E5%9C%B0%E6%96%B9</x:v>
      </x:c>
      <x:c r="J956" s="11" t="str">
        <x:v>Đối chiếu âm và chữ: địa phương — 地方. Trang mục từ có đề mục từ điển của Nguyễn Quốc Hùng.
Trang từ điển ghi âm Hán Việt và/hoặc mục từ tương ứng với 地方. Chỉ dùng cho thành tố được nêu; cấu tạo toàn cụm do người rà soát tổng hợp.
Nguồn biên soạn: Nguyễn Quốc Hùng
Nguồn biên soạn: Bản điện tử HVdic/Thi Viện; Nguyễn Quốc Hùng</x:v>
      </x:c>
      <x:c r="K956" s="11" t="str">
        <x:v>2026-10-29 (KST)</x:v>
      </x:c>
    </x:row>
    <x:row r="957" ht="100.5" customHeight="1">
      <x:c r="A957" s="11" t="str">
        <x:v>Dùng chung (2 mã)</x:v>
      </x:c>
      <x:c r="B957" s="11" t="str">
        <x:v>Việt</x:v>
      </x:c>
      <x:c r="C957" s="11" t="str">
        <x:v>Việt: hai</x:v>
      </x:c>
      <x:c r="D957" s="11" t="str">
        <x:v>Nguồn từ nguyên/chữ gốc hoặc thành tố được nêu; đọc giới hạn tại ghi chú.</x:v>
      </x:c>
      <x:c r="E957" s="11" t="str">
        <x:v>Mục từ; Thành tố</x:v>
      </x:c>
      <x:c r="F957" s="11" t="str">
        <x:v>Việt</x:v>
      </x:c>
      <x:c r="G957" s="11" t="str">
        <x:v>ET082</x:v>
      </x:c>
      <x:c r="H957" s="11" t="str">
        <x:v>Mark Alves — Vietnamese vocabulary, WOLD: hai</x:v>
      </x:c>
      <x:c r="I957" s="30" t="str">
        <x:v>https://wold.clld.org/word/7215023477874590</x:v>
      </x:c>
      <x:c r="J957" s="11" t="str">
        <x:v>two; 5. no evidence for borrowing; Proto-Austroasiatic. 
5. no evidence for borrowing; The proto-form is listed in Shorto 2006, entry 1562 pre-proto-Mon-Khmer *bi?aar &gt; *Baar ‘two’.
Nguồn biên soạn: Mark Alves, WOLD; dữ liệu v4.2 do nhóm nghiên cứu phát hành, đối chiếu trường ngữ nghĩa. Không suy nguồn gốc mọi thành tố từ nhãn của cả từ ghép.</x:v>
      </x:c>
      <x:c r="K957" s="11" t="str">
        <x:v>2026-10-29 (KST)</x:v>
      </x:c>
    </x:row>
    <x:row r="958" ht="75" customHeight="1">
      <x:c r="A958" s="11" t="str">
        <x:v>Dùng chung (9 mã)</x:v>
      </x:c>
      <x:c r="B958" s="11" t="str">
        <x:v>Việt</x:v>
      </x:c>
      <x:c r="C958" s="11" t="str">
        <x:v>Việt: cấp</x:v>
      </x:c>
      <x:c r="D958" s="11" t="str">
        <x:v>Âm/chữ hoặc thành tố Hán Việt; không tự xác nhận nghĩa chuyên ngành.</x:v>
      </x:c>
      <x:c r="E958" s="11" t="str">
        <x:v>Thành tố</x:v>
      </x:c>
      <x:c r="F958" s="11" t="str">
        <x:v>Việt</x:v>
      </x:c>
      <x:c r="G958" s="11" t="str">
        <x:v>ET083</x:v>
      </x:c>
      <x:c r="H958" s="11" t="str">
        <x:v>Từ điển Hán Nôm Thi Viện; mục từ và nguồn từ điển ghi tại trang — cấp</x:v>
      </x:c>
      <x:c r="I958" s="30" t="str">
        <x:v>https://hvdic.thivien.net/whv/%E7%B4%9A</x:v>
      </x:c>
      <x:c r="J958" s="11" t="str">
        <x:v>Đối chiếu âm và chữ: cấp — 級.</x:v>
      </x:c>
      <x:c r="K958" s="11" t="str">
        <x:v>2026-10-29 (KST)</x:v>
      </x:c>
    </x:row>
    <x:row r="959" ht="75" customHeight="1">
      <x:c r="A959" s="11" t="str">
        <x:v>Dùng chung (4 mã)</x:v>
      </x:c>
      <x:c r="B959" s="11" t="str">
        <x:v>Việt</x:v>
      </x:c>
      <x:c r="C959" s="11" t="str">
        <x:v>Việt: chính sách</x:v>
      </x:c>
      <x:c r="D959" s="11" t="str">
        <x:v>Âm/chữ hoặc thành tố Hán Việt; không tự xác nhận nghĩa chuyên ngành.</x:v>
      </x:c>
      <x:c r="E959" s="11" t="str">
        <x:v>Mục từ</x:v>
      </x:c>
      <x:c r="F959" s="11" t="str">
        <x:v>Việt</x:v>
      </x:c>
      <x:c r="G959" s="11" t="str">
        <x:v>ET084</x:v>
      </x:c>
      <x:c r="H959" s="11" t="str">
        <x:v>Từ điển Hán Nôm Thi Viện; các nguồn quan sát tại mục: Nguyễn Quốc Hùng — chính sách</x:v>
      </x:c>
      <x:c r="I959" s="30" t="str">
        <x:v>https://hvdic.thivien.net/whv/%E6%94%BF%E7%AD%96</x:v>
      </x:c>
      <x:c r="J959" s="11" t="str">
        <x:v>Đối chiếu âm và chữ: chính sách — 政策. Trang mục từ có đề mục từ điển của Nguyễn Quốc Hùng.
Nguồn biên soạn: Nguyễn Quốc Hùng</x:v>
      </x:c>
      <x:c r="K959" s="11" t="str">
        <x:v>2026-10-29 (KST)</x:v>
      </x:c>
    </x:row>
    <x:row r="960" ht="75" customHeight="1">
      <x:c r="A960" s="11" t="str">
        <x:v>Dùng chung (3 mã)</x:v>
      </x:c>
      <x:c r="B960" s="11" t="str">
        <x:v>Việt</x:v>
      </x:c>
      <x:c r="C960" s="11" t="str">
        <x:v>Việt: đối ngoại</x:v>
      </x:c>
      <x:c r="D960" s="11" t="str">
        <x:v>Âm/chữ hoặc thành tố Hán Việt; không tự xác nhận nghĩa chuyên ngành.</x:v>
      </x:c>
      <x:c r="E960" s="11" t="str">
        <x:v>Mục từ</x:v>
      </x:c>
      <x:c r="F960" s="11" t="str">
        <x:v>Việt</x:v>
      </x:c>
      <x:c r="G960" s="11" t="str">
        <x:v>ET085</x:v>
      </x:c>
      <x:c r="H960" s="11" t="str">
        <x:v>Từ điển Hán Nôm Thi Viện; các nguồn quan sát tại mục: Nguyễn Quốc Hùng — đối ngoại</x:v>
      </x:c>
      <x:c r="I960" s="30" t="str">
        <x:v>https://hvdic.thivien.net/whv/%E5%B0%8D%E5%A4%96</x:v>
      </x:c>
      <x:c r="J960" s="11" t="str">
        <x:v>Đối chiếu âm và chữ: đối ngoại — 對外. Trang mục từ có đề mục từ điển của Nguyễn Quốc Hùng.
Nguồn biên soạn: Nguyễn Quốc Hùng</x:v>
      </x:c>
      <x:c r="K960" s="11" t="str">
        <x:v>2026-10-29 (KST)</x:v>
      </x:c>
    </x:row>
    <x:row r="961" ht="75" customHeight="1">
      <x:c r="A961" s="11" t="str">
        <x:v>T072</x:v>
      </x:c>
      <x:c r="B961" s="11" t="str">
        <x:v>Việt</x:v>
      </x:c>
      <x:c r="C961" s="11" t="str">
        <x:v>Việt: tôn giáo</x:v>
      </x:c>
      <x:c r="D961" s="11" t="str">
        <x:v>Âm/chữ hoặc thành tố Hán Việt; không tự xác nhận nghĩa chuyên ngành.</x:v>
      </x:c>
      <x:c r="E961" s="11" t="str">
        <x:v>Mục từ</x:v>
      </x:c>
      <x:c r="F961" s="11" t="str">
        <x:v>Việt</x:v>
      </x:c>
      <x:c r="G961" s="11" t="str">
        <x:v>ET086</x:v>
      </x:c>
      <x:c r="H961" s="11" t="str">
        <x:v>Từ điển Hán Nôm Thi Viện; các nguồn quan sát tại mục: Nguyễn Quốc Hùng — tôn giáo</x:v>
      </x:c>
      <x:c r="I961" s="30" t="str">
        <x:v>https://hvdic.thivien.net/whv/%E5%AE%97%E6%95%99</x:v>
      </x:c>
      <x:c r="J961" s="11" t="str">
        <x:v>Đối chiếu âm và chữ: tôn giáo — 宗教. Trang mục từ có đề mục từ điển của Nguyễn Quốc Hùng.
Nguồn biên soạn: Nguyễn Quốc Hùng</x:v>
      </x:c>
      <x:c r="K961" s="11" t="str">
        <x:v>2026-10-29 (KST)</x:v>
      </x:c>
    </x:row>
    <x:row r="962" ht="75" customHeight="1">
      <x:c r="A962" s="11" t="str">
        <x:v>Dùng chung (5 mã)</x:v>
      </x:c>
      <x:c r="B962" s="11" t="str">
        <x:v>Việt</x:v>
      </x:c>
      <x:c r="C962" s="11" t="str">
        <x:v>Việt: chủ nghĩa</x:v>
      </x:c>
      <x:c r="D962" s="11" t="str">
        <x:v>Âm/chữ hoặc thành tố Hán Việt; không tự xác nhận nghĩa chuyên ngành.</x:v>
      </x:c>
      <x:c r="E962" s="11" t="str">
        <x:v>Mục từ</x:v>
      </x:c>
      <x:c r="F962" s="11" t="str">
        <x:v>Việt</x:v>
      </x:c>
      <x:c r="G962" s="11" t="str">
        <x:v>ET087</x:v>
      </x:c>
      <x:c r="H962" s="11" t="str">
        <x:v>Từ điển Hán Nôm Thi Viện; các nguồn quan sát tại mục: Nguyễn Quốc Hùng — chủ nghĩa</x:v>
      </x:c>
      <x:c r="I962" s="30" t="str">
        <x:v>https://hvdic.thivien.net/whv/%E4%B8%BB%E7%BE%A9</x:v>
      </x:c>
      <x:c r="J962" s="11" t="str">
        <x:v>Đối chiếu âm và chữ: chủ nghĩa — 主義. Trang mục từ có đề mục từ điển của Nguyễn Quốc Hùng.
Nguồn biên soạn: Nguyễn Quốc Hùng</x:v>
      </x:c>
      <x:c r="K962" s="11" t="str">
        <x:v>2026-10-29 (KST)</x:v>
      </x:c>
    </x:row>
    <x:row r="963" ht="75" customHeight="1">
      <x:c r="A963" s="11" t="str">
        <x:v>Dùng chung (3 mã)</x:v>
      </x:c>
      <x:c r="B963" s="11" t="str">
        <x:v>Việt</x:v>
      </x:c>
      <x:c r="C963" s="11" t="str">
        <x:v>Việt: đa phương</x:v>
      </x:c>
      <x:c r="D963" s="11" t="str">
        <x:v>Âm/chữ hoặc thành tố Hán Việt; không tự xác nhận nghĩa chuyên ngành.</x:v>
      </x:c>
      <x:c r="E963" s="11" t="str">
        <x:v>Mục từ</x:v>
      </x:c>
      <x:c r="F963" s="11" t="str">
        <x:v>Việt</x:v>
      </x:c>
      <x:c r="G963" s="11" t="str">
        <x:v>ET088</x:v>
      </x:c>
      <x:c r="H963" s="11" t="str">
        <x:v>Từ điển Hán Nôm Thi Viện; các nguồn quan sát tại mục: Nguyễn Quốc Hùng — đa phương</x:v>
      </x:c>
      <x:c r="I963" s="30" t="str">
        <x:v>https://hvdic.thivien.net/whv/%E5%A4%9A%E6%96%B9</x:v>
      </x:c>
      <x:c r="J963" s="11" t="str">
        <x:v>Đối chiếu âm và chữ: đa phương — 多方. Trang mục từ có đề mục từ điển của Nguyễn Quốc Hùng.
Nguồn biên soạn: Nguyễn Quốc Hùng</x:v>
      </x:c>
      <x:c r="K963" s="11" t="str">
        <x:v>2026-10-29 (KST)</x:v>
      </x:c>
    </x:row>
    <x:row r="964" ht="100.5" customHeight="1">
      <x:c r="A964" s="11" t="str">
        <x:v>Dùng chung (8 mã)</x:v>
      </x:c>
      <x:c r="B964" s="11" t="str">
        <x:v>Việt</x:v>
      </x:c>
      <x:c r="C964" s="11" t="str">
        <x:v>Việt: quốc tế</x:v>
      </x:c>
      <x:c r="D964" s="11" t="str">
        <x:v>Âm/chữ hoặc thành tố Hán Việt; không tự xác nhận nghĩa chuyên ngành.</x:v>
      </x:c>
      <x:c r="E964" s="11" t="str">
        <x:v>Mục từ; Thành tố</x:v>
      </x:c>
      <x:c r="F964" s="11" t="str">
        <x:v>Việt</x:v>
      </x:c>
      <x:c r="G964" s="11" t="str">
        <x:v>ET089</x:v>
      </x:c>
      <x:c r="H964" s="11" t="str">
        <x:v>Từ điển Hán Nôm Thi Viện; các nguồn quan sát tại mục: Nguyễn Quốc Hùng — quốc tế</x:v>
      </x:c>
      <x:c r="I964" s="30" t="str">
        <x:v>https://hvdic.thivien.net/whv/%E5%9C%8B%E9%9A%9B</x:v>
      </x:c>
      <x:c r="J964" s="11" t="str">
        <x:v>Đối chiếu âm và chữ: quốc tế — 國際. Trang mục từ có đề mục từ điển của Nguyễn Quốc Hùng.
Trang từ điển ghi âm Hán Việt và/hoặc mục từ tương ứng với 國際. Chỉ dùng cho thành tố được nêu; cấu tạo toàn cụm do người rà soát tổng hợp.
Nguồn biên soạn: Nguyễn Quốc Hùng
Nguồn biên soạn: Bản điện tử HVdic/Thi Viện; Nguyễn Quốc Hùng</x:v>
      </x:c>
      <x:c r="K964" s="11" t="str">
        <x:v>2026-10-29 (KST)</x:v>
      </x:c>
    </x:row>
    <x:row r="965" ht="75" customHeight="1">
      <x:c r="A965" s="11" t="str">
        <x:v>Dùng chung (2 mã)</x:v>
      </x:c>
      <x:c r="B965" s="11" t="str">
        <x:v>Việt</x:v>
      </x:c>
      <x:c r="C965" s="11" t="str">
        <x:v>Việt: xã hội</x:v>
      </x:c>
      <x:c r="D965" s="11" t="str">
        <x:v>Âm/chữ hoặc thành tố Hán Việt; không tự xác nhận nghĩa chuyên ngành.</x:v>
      </x:c>
      <x:c r="E965" s="11" t="str">
        <x:v>Mục từ</x:v>
      </x:c>
      <x:c r="F965" s="11" t="str">
        <x:v>Việt</x:v>
      </x:c>
      <x:c r="G965" s="11" t="str">
        <x:v>ET090</x:v>
      </x:c>
      <x:c r="H965" s="11" t="str">
        <x:v>Từ điển Hán Nôm Thi Viện; mục từ và nguồn từ điển ghi tại trang — xã hội</x:v>
      </x:c>
      <x:c r="I965" s="30" t="str">
        <x:v>https://hvdic.thivien.net/whv/%E7%A4%BE%E6%9C%83</x:v>
      </x:c>
      <x:c r="J965" s="11" t="str">
        <x:v>Đối chiếu âm và chữ: xã hội — 社會.</x:v>
      </x:c>
      <x:c r="K965" s="11" t="str">
        <x:v>2026-10-29 (KST)</x:v>
      </x:c>
    </x:row>
    <x:row r="966" ht="100.5" customHeight="1">
      <x:c r="A966" s="11" t="str">
        <x:v>Dùng chung (2 mã)</x:v>
      </x:c>
      <x:c r="B966" s="11" t="str">
        <x:v>Việt</x:v>
      </x:c>
      <x:c r="C966" s="11" t="str">
        <x:v>Việt: chủ quyền</x:v>
      </x:c>
      <x:c r="D966" s="11" t="str">
        <x:v>Âm/chữ hoặc thành tố Hán Việt; không tự xác nhận nghĩa chuyên ngành.</x:v>
      </x:c>
      <x:c r="E966" s="11" t="str">
        <x:v>Mục từ; Thành tố</x:v>
      </x:c>
      <x:c r="F966" s="11" t="str">
        <x:v>Việt</x:v>
      </x:c>
      <x:c r="G966" s="11" t="str">
        <x:v>ET091</x:v>
      </x:c>
      <x:c r="H966" s="11" t="str">
        <x:v>Từ điển Hán Nôm Thi Viện; các nguồn quan sát tại mục: Nguyễn Quốc Hùng — chủ quyền</x:v>
      </x:c>
      <x:c r="I966" s="30" t="str">
        <x:v>https://hvdic.thivien.net/whv/%E4%B8%BB%E6%AC%8A</x:v>
      </x:c>
      <x:c r="J966" s="11" t="str">
        <x:v>Đối chiếu âm và chữ: chủ quyền — 主權. Trang mục từ có đề mục từ điển của Nguyễn Quốc Hùng.
Trang từ điển ghi âm Hán Việt và/hoặc mục từ tương ứng với 主權. Chỉ dùng cho thành tố được nêu; cấu tạo toàn cụm do người rà soát tổng hợp.
Nguồn biên soạn: Nguyễn Quốc Hùng
Nguồn biên soạn: Bản điện tử HVdic/Thi Viện; Nguyễn Quốc Hùng</x:v>
      </x:c>
      <x:c r="K966" s="11" t="str">
        <x:v>2026-10-29 (KST)</x:v>
      </x:c>
    </x:row>
    <x:row r="967" ht="75" customHeight="1">
      <x:c r="A967" s="11" t="str">
        <x:v>T023</x:v>
      </x:c>
      <x:c r="B967" s="11" t="str">
        <x:v>Việt</x:v>
      </x:c>
      <x:c r="C967" s="11" t="str">
        <x:v>Việt: dân chủ</x:v>
      </x:c>
      <x:c r="D967" s="11" t="str">
        <x:v>Âm/chữ hoặc thành tố Hán Việt; không tự xác nhận nghĩa chuyên ngành.</x:v>
      </x:c>
      <x:c r="E967" s="11" t="str">
        <x:v>Mục từ</x:v>
      </x:c>
      <x:c r="F967" s="11" t="str">
        <x:v>Việt</x:v>
      </x:c>
      <x:c r="G967" s="11" t="str">
        <x:v>ET092</x:v>
      </x:c>
      <x:c r="H967" s="11" t="str">
        <x:v>Từ điển Hán Nôm Thi Viện; các nguồn quan sát tại mục: Nguyễn Quốc Hùng — dân chủ</x:v>
      </x:c>
      <x:c r="I967" s="30" t="str">
        <x:v>https://hvdic.thivien.net/whv/%E6%B0%91%E4%B8%BB</x:v>
      </x:c>
      <x:c r="J967" s="11" t="str">
        <x:v>Đối chiếu âm và chữ: dân chủ — 民主. Trang mục từ có đề mục từ điển của Nguyễn Quốc Hùng.
Nguồn biên soạn: Nguyễn Quốc Hùng</x:v>
      </x:c>
      <x:c r="K967" s="11" t="str">
        <x:v>2026-10-29 (KST)</x:v>
      </x:c>
    </x:row>
    <x:row r="968" ht="75" customHeight="1">
      <x:c r="A968" s="11" t="str">
        <x:v>Dùng chung (2 mã)</x:v>
      </x:c>
      <x:c r="B968" s="11" t="str">
        <x:v>Việt</x:v>
      </x:c>
      <x:c r="C968" s="11" t="str">
        <x:v>Việt: độc lập</x:v>
      </x:c>
      <x:c r="D968" s="11" t="str">
        <x:v>Âm/chữ hoặc thành tố Hán Việt; không tự xác nhận nghĩa chuyên ngành.</x:v>
      </x:c>
      <x:c r="E968" s="11" t="str">
        <x:v>Mục từ</x:v>
      </x:c>
      <x:c r="F968" s="11" t="str">
        <x:v>Việt</x:v>
      </x:c>
      <x:c r="G968" s="11" t="str">
        <x:v>ET093</x:v>
      </x:c>
      <x:c r="H968" s="11" t="str">
        <x:v>Từ điển Hán Nôm Thi Viện; mục từ và nguồn từ điển ghi tại trang — độc lập</x:v>
      </x:c>
      <x:c r="I968" s="30" t="str">
        <x:v>https://hvdic.thivien.net/whv/%E7%8D%A8%E7%AB%8B</x:v>
      </x:c>
      <x:c r="J968" s="11" t="str">
        <x:v>Đối chiếu âm và chữ: độc lập — 獨立.</x:v>
      </x:c>
      <x:c r="K968" s="11" t="str">
        <x:v>2026-10-29 (KST)</x:v>
      </x:c>
    </x:row>
    <x:row r="969" ht="75" customHeight="1">
      <x:c r="A969" s="11" t="str">
        <x:v>Dùng chung (2 mã)</x:v>
      </x:c>
      <x:c r="B969" s="11" t="str">
        <x:v>Việt</x:v>
      </x:c>
      <x:c r="C969" s="11" t="str">
        <x:v>Việt: dân tộc</x:v>
      </x:c>
      <x:c r="D969" s="11" t="str">
        <x:v>Âm/chữ hoặc thành tố Hán Việt; không tự xác nhận nghĩa chuyên ngành.</x:v>
      </x:c>
      <x:c r="E969" s="11" t="str">
        <x:v>Mục từ</x:v>
      </x:c>
      <x:c r="F969" s="11" t="str">
        <x:v>Việt</x:v>
      </x:c>
      <x:c r="G969" s="11" t="str">
        <x:v>ET094</x:v>
      </x:c>
      <x:c r="H969" s="11" t="str">
        <x:v>Từ điển Hán Nôm Thi Viện; các nguồn quan sát tại mục: Nguyễn Quốc Hùng — dân tộc</x:v>
      </x:c>
      <x:c r="I969" s="30" t="str">
        <x:v>https://hvdic.thivien.net/whv/%E6%B0%91%E6%97%8F</x:v>
      </x:c>
      <x:c r="J969" s="11" t="str">
        <x:v>Đối chiếu âm và chữ: dân tộc — 民族. Trang mục từ có đề mục từ điển của Nguyễn Quốc Hùng.
Nguồn biên soạn: Nguyễn Quốc Hùng</x:v>
      </x:c>
      <x:c r="K969" s="11" t="str">
        <x:v>2026-10-29 (KST)</x:v>
      </x:c>
    </x:row>
    <x:row r="970" ht="75" customHeight="1">
      <x:c r="A970" s="11" t="str">
        <x:v>Dùng chung (2 mã)</x:v>
      </x:c>
      <x:c r="B970" s="11" t="str">
        <x:v>Việt</x:v>
      </x:c>
      <x:c r="C970" s="11" t="str">
        <x:v>Việt: tự chủ</x:v>
      </x:c>
      <x:c r="D970" s="11" t="str">
        <x:v>Âm/chữ hoặc thành tố Hán Việt; không tự xác nhận nghĩa chuyên ngành.</x:v>
      </x:c>
      <x:c r="E970" s="11" t="str">
        <x:v>Mục từ</x:v>
      </x:c>
      <x:c r="F970" s="11" t="str">
        <x:v>Việt</x:v>
      </x:c>
      <x:c r="G970" s="11" t="str">
        <x:v>ET095</x:v>
      </x:c>
      <x:c r="H970" s="11" t="str">
        <x:v>Từ điển Hán Nôm Thi Viện; các nguồn quan sát tại mục: Nguyễn Quốc Hùng — tự chủ</x:v>
      </x:c>
      <x:c r="I970" s="30" t="str">
        <x:v>https://hvdic.thivien.net/whv/%E8%87%AA%E4%B8%BB</x:v>
      </x:c>
      <x:c r="J970" s="11" t="str">
        <x:v>Đối chiếu âm và chữ: tự chủ — 自主. Trang mục từ có đề mục từ điển của Nguyễn Quốc Hùng.
Nguồn biên soạn: Nguyễn Quốc Hùng</x:v>
      </x:c>
      <x:c r="K970" s="11" t="str">
        <x:v>2026-10-29 (KST)</x:v>
      </x:c>
    </x:row>
    <x:row r="971" ht="75" customHeight="1">
      <x:c r="A971" s="11" t="str">
        <x:v>Dùng chung (2 mã)</x:v>
      </x:c>
      <x:c r="B971" s="11" t="str">
        <x:v>Việt</x:v>
      </x:c>
      <x:c r="C971" s="11" t="str">
        <x:v>Việt: đường</x:v>
      </x:c>
      <x:c r="D971" s="11" t="str">
        <x:v>Nguồn từ nguyên/chữ gốc hoặc thành tố được nêu; đọc giới hạn tại ghi chú.</x:v>
      </x:c>
      <x:c r="E971" s="11" t="str">
        <x:v>Mục từ</x:v>
      </x:c>
      <x:c r="F971" s="11" t="str">
        <x:v>Việt</x:v>
      </x:c>
      <x:c r="G971" s="11" t="str">
        <x:v>ET096</x:v>
      </x:c>
      <x:c r="H971" s="11" t="str">
        <x:v>Mark Alves — Vietnamese vocabulary, WOLD: đường (2)</x:v>
      </x:c>
      <x:c r="I971" s="30" t="str">
        <x:v>https://wold.clld.org/word/7215023817581073</x:v>
      </x:c>
      <x:c r="J971" s="11" t="str">
        <x:v>the road; 5. no evidence for borrowing; Vietnamese. </x:v>
      </x:c>
      <x:c r="K971" s="11" t="str">
        <x:v>2026-10-29 (KST)</x:v>
      </x:c>
    </x:row>
    <x:row r="972" ht="75" customHeight="1">
      <x:c r="A972" s="11" t="str">
        <x:v>T021</x:v>
      </x:c>
      <x:c r="B972" s="11" t="str">
        <x:v>Việt</x:v>
      </x:c>
      <x:c r="C972" s="11" t="str">
        <x:v>Việt: hệ thống</x:v>
      </x:c>
      <x:c r="D972" s="11" t="str">
        <x:v>Âm/chữ hoặc thành tố Hán Việt; không tự xác nhận nghĩa chuyên ngành.</x:v>
      </x:c>
      <x:c r="E972" s="11" t="str">
        <x:v>Mục từ</x:v>
      </x:c>
      <x:c r="F972" s="11" t="str">
        <x:v>Việt</x:v>
      </x:c>
      <x:c r="G972" s="11" t="str">
        <x:v>ET097</x:v>
      </x:c>
      <x:c r="H972" s="11" t="str">
        <x:v>Từ điển Hán Nôm Thi Viện; các nguồn quan sát tại mục: Nguyễn Quốc Hùng — hệ thống</x:v>
      </x:c>
      <x:c r="I972" s="30" t="str">
        <x:v>https://hvdic.thivien.net/whv/%E7%B3%BB%E7%B5%B1</x:v>
      </x:c>
      <x:c r="J972" s="11" t="str">
        <x:v>Đối chiếu âm và chữ: hệ thống — 系統. Trang mục từ có đề mục từ điển của Nguyễn Quốc Hùng.
Nguồn biên soạn: Nguyễn Quốc Hùng</x:v>
      </x:c>
      <x:c r="K972" s="11" t="str">
        <x:v>2026-10-29 (KST)</x:v>
      </x:c>
    </x:row>
    <x:row r="973" ht="75" customHeight="1">
      <x:c r="A973" s="11" t="str">
        <x:v>T062</x:v>
      </x:c>
      <x:c r="B973" s="11" t="str">
        <x:v>Việt</x:v>
      </x:c>
      <x:c r="C973" s="11" t="str">
        <x:v>Việt: kinh tế</x:v>
      </x:c>
      <x:c r="D973" s="11" t="str">
        <x:v>Âm/chữ hoặc thành tố Hán Việt; không tự xác nhận nghĩa chuyên ngành.</x:v>
      </x:c>
      <x:c r="E973" s="11" t="str">
        <x:v>Mục từ</x:v>
      </x:c>
      <x:c r="F973" s="11" t="str">
        <x:v>Việt</x:v>
      </x:c>
      <x:c r="G973" s="11" t="str">
        <x:v>ET098</x:v>
      </x:c>
      <x:c r="H973" s="11" t="str">
        <x:v>Từ điển Hán Nôm Thi Viện; mục từ và nguồn từ điển ghi tại trang — kinh tế</x:v>
      </x:c>
      <x:c r="I973" s="30" t="str">
        <x:v>https://hvdic.thivien.net/whv/%E7%B6%93%E6%BF%9F</x:v>
      </x:c>
      <x:c r="J973" s="11" t="str">
        <x:v>Đối chiếu âm và chữ: kinh tế — 經濟.</x:v>
      </x:c>
      <x:c r="K973" s="11" t="str">
        <x:v>2026-10-29 (KST)</x:v>
      </x:c>
    </x:row>
    <x:row r="974" ht="75" customHeight="1">
      <x:c r="A974" s="11" t="str">
        <x:v>T062</x:v>
      </x:c>
      <x:c r="B974" s="11" t="str">
        <x:v>Việt</x:v>
      </x:c>
      <x:c r="C974" s="11" t="str">
        <x:v>Việt: thị trường</x:v>
      </x:c>
      <x:c r="D974" s="11" t="str">
        <x:v>Âm/chữ hoặc thành tố Hán Việt; không tự xác nhận nghĩa chuyên ngành.</x:v>
      </x:c>
      <x:c r="E974" s="11" t="str">
        <x:v>Mục từ</x:v>
      </x:c>
      <x:c r="F974" s="11" t="str">
        <x:v>Việt</x:v>
      </x:c>
      <x:c r="G974" s="11" t="str">
        <x:v>ET099</x:v>
      </x:c>
      <x:c r="H974" s="11" t="str">
        <x:v>Từ điển Hán Nôm Thi Viện; các nguồn quan sát tại mục: Nguyễn Quốc Hùng — thị trường</x:v>
      </x:c>
      <x:c r="I974" s="30" t="str">
        <x:v>https://hvdic.thivien.net/whv/%E5%B8%82%E5%A0%B4</x:v>
      </x:c>
      <x:c r="J974" s="11" t="str">
        <x:v>Đối chiếu âm và chữ: thị trường — 市場. Trang mục từ có đề mục từ điển của Nguyễn Quốc Hùng.
Nguồn biên soạn: Nguyễn Quốc Hùng</x:v>
      </x:c>
      <x:c r="K974" s="11" t="str">
        <x:v>2026-10-29 (KST)</x:v>
      </x:c>
    </x:row>
    <x:row r="975" ht="75" customHeight="1">
      <x:c r="A975" s="11" t="str">
        <x:v>M030</x:v>
      </x:c>
      <x:c r="B975" s="11" t="str">
        <x:v>Việt</x:v>
      </x:c>
      <x:c r="C975" s="11" t="str">
        <x:v>Việt: miễn</x:v>
      </x:c>
      <x:c r="D975" s="11" t="str">
        <x:v>Âm/chữ hoặc thành tố Hán Việt; không tự xác nhận nghĩa chuyên ngành.</x:v>
      </x:c>
      <x:c r="E975" s="11" t="str">
        <x:v>Thành tố</x:v>
      </x:c>
      <x:c r="F975" s="11" t="str">
        <x:v>Việt</x:v>
      </x:c>
      <x:c r="G975" s="11" t="str">
        <x:v>ET100</x:v>
      </x:c>
      <x:c r="H975" s="11" t="str">
        <x:v>Từ điển Hán Nôm Thi Viện; mục từ và nguồn từ điển ghi tại trang — miễn</x:v>
      </x:c>
      <x:c r="I975" s="30" t="str">
        <x:v>https://hvdic.thivien.net/whv/%E5%85%8D</x:v>
      </x:c>
      <x:c r="J975" s="11" t="str">
        <x:v>Đối chiếu âm và chữ: miễn — 免.</x:v>
      </x:c>
      <x:c r="K975" s="11" t="str">
        <x:v>2026-10-29 (KST)</x:v>
      </x:c>
    </x:row>
    <x:row r="976" ht="75" customHeight="1">
      <x:c r="A976" s="11" t="str">
        <x:v>Dùng chung (2 mã)</x:v>
      </x:c>
      <x:c r="B976" s="11" t="str">
        <x:v>Việt</x:v>
      </x:c>
      <x:c r="C976" s="11" t="str">
        <x:v>Việt: lãnh đạo</x:v>
      </x:c>
      <x:c r="D976" s="11" t="str">
        <x:v>Âm/chữ hoặc thành tố Hán Việt; không tự xác nhận nghĩa chuyên ngành.</x:v>
      </x:c>
      <x:c r="E976" s="11" t="str">
        <x:v>Mục từ</x:v>
      </x:c>
      <x:c r="F976" s="11" t="str">
        <x:v>Việt</x:v>
      </x:c>
      <x:c r="G976" s="11" t="str">
        <x:v>ET101</x:v>
      </x:c>
      <x:c r="H976" s="11" t="str">
        <x:v>Từ điển Hán Nôm Thi Viện; mục từ và nguồn từ điển ghi tại trang — lãnh đạo</x:v>
      </x:c>
      <x:c r="I976" s="30" t="str">
        <x:v>https://hvdic.thivien.net/whv/%E9%A0%98%E5%B0%8E</x:v>
      </x:c>
      <x:c r="J976" s="11" t="str">
        <x:v>Đối chiếu âm và chữ: lãnh đạo — 領導.</x:v>
      </x:c>
      <x:c r="K976" s="11" t="str">
        <x:v>2026-10-29 (KST)</x:v>
      </x:c>
    </x:row>
    <x:row r="977" ht="75" customHeight="1">
      <x:c r="A977" s="11" t="str">
        <x:v>M050</x:v>
      </x:c>
      <x:c r="B977" s="11" t="str">
        <x:v>Việt</x:v>
      </x:c>
      <x:c r="C977" s="11" t="str">
        <x:v>Việt: nhiệm kỳ</x:v>
      </x:c>
      <x:c r="D977" s="11" t="str">
        <x:v>Âm/chữ hoặc thành tố Hán Việt; không tự xác nhận nghĩa chuyên ngành.</x:v>
      </x:c>
      <x:c r="E977" s="11" t="str">
        <x:v>Mục từ</x:v>
      </x:c>
      <x:c r="F977" s="11" t="str">
        <x:v>Việt</x:v>
      </x:c>
      <x:c r="G977" s="11" t="str">
        <x:v>ET102</x:v>
      </x:c>
      <x:c r="H977" s="11" t="str">
        <x:v>Từ điển Hán Nôm Thi Viện; mục từ và nguồn từ điển ghi tại trang — nhiệm kỳ</x:v>
      </x:c>
      <x:c r="I977" s="30" t="str">
        <x:v>https://hvdic.thivien.net/whv/%E4%BB%BB%E6%9C%9F</x:v>
      </x:c>
      <x:c r="J977" s="11" t="str">
        <x:v>Đối chiếu âm và chữ: nhiệm kỳ — 任期.</x:v>
      </x:c>
      <x:c r="K977" s="11" t="str">
        <x:v>2026-10-29 (KST)</x:v>
      </x:c>
    </x:row>
    <x:row r="978" ht="85.5" customHeight="1">
      <x:c r="A978" s="11" t="str">
        <x:v>Dùng chung (6 mã)</x:v>
      </x:c>
      <x:c r="B978" s="11" t="str">
        <x:v>Việt</x:v>
      </x:c>
      <x:c r="C978" s="11" t="str">
        <x:v>Việt: quyền; Việt: quyền lực</x:v>
      </x:c>
      <x:c r="D978" s="11" t="str">
        <x:v>Âm/chữ hoặc thành tố Hán Việt; không tự xác nhận nghĩa chuyên ngành.</x:v>
      </x:c>
      <x:c r="E978" s="11" t="str">
        <x:v>Thành tố</x:v>
      </x:c>
      <x:c r="F978" s="11" t="str">
        <x:v>Việt</x:v>
      </x:c>
      <x:c r="G978" s="11" t="str">
        <x:v>ET103</x:v>
      </x:c>
      <x:c r="H978" s="11" t="str">
        <x:v>Từ điển Hán Nôm Thi Viện; mục từ và nguồn từ điển ghi tại trang — quyền</x:v>
      </x:c>
      <x:c r="I978" s="30" t="str">
        <x:v>https://hvdic.thivien.net/whv/%E6%AC%8A</x:v>
      </x:c>
      <x:c r="J978" s="11" t="str">
        <x:v>Đối chiếu âm và chữ: quyền — 權.
Trang từ điển ghi âm Hán Việt và/hoặc mục từ tương ứng với 權. Chỉ dùng cho thành tố được nêu; cấu tạo toàn cụm do người rà soát tổng hợp.
Nguồn biên soạn: Bản điện tử HVdic/Thi Viện; chuyên mục phổ thông/trích dẫn, trang chưa chỉ rõ người biên soạn riêng mục này</x:v>
      </x:c>
      <x:c r="K978" s="11" t="str">
        <x:v>2026-10-29 (KST)</x:v>
      </x:c>
    </x:row>
    <x:row r="979" ht="75" customHeight="1">
      <x:c r="A979" s="11" t="str">
        <x:v>T006</x:v>
      </x:c>
      <x:c r="B979" s="11" t="str">
        <x:v>Việt</x:v>
      </x:c>
      <x:c r="C979" s="11" t="str">
        <x:v>Việt: con</x:v>
      </x:c>
      <x:c r="D979" s="11" t="str">
        <x:v>Nguồn từ nguyên/chữ gốc hoặc thành tố được nêu; đọc giới hạn tại ghi chú.</x:v>
      </x:c>
      <x:c r="E979" s="11" t="str">
        <x:v>Mục từ</x:v>
      </x:c>
      <x:c r="F979" s="11" t="str">
        <x:v>Việt</x:v>
      </x:c>
      <x:c r="G979" s="11" t="str">
        <x:v>ET104</x:v>
      </x:c>
      <x:c r="H979" s="11" t="str">
        <x:v>Mark Alves — Vietnamese vocabulary, WOLD: con (1)</x:v>
      </x:c>
      <x:c r="I979" s="30" t="str">
        <x:v>https://wold.clld.org/word/7215023979862639</x:v>
      </x:c>
      <x:c r="J979" s="11" t="str">
        <x:v>the child(1); 5. no evidence for borrowing; Proto-Austroasiatic. </x:v>
      </x:c>
      <x:c r="K979" s="11" t="str">
        <x:v>2026-10-29 (KST)</x:v>
      </x:c>
    </x:row>
    <x:row r="980" ht="100.5" customHeight="1">
      <x:c r="A980" s="11" t="str">
        <x:v>Dùng chung (2 mã)</x:v>
      </x:c>
      <x:c r="B980" s="11" t="str">
        <x:v>Việt</x:v>
      </x:c>
      <x:c r="C980" s="11" t="str">
        <x:v>Việt: công dân</x:v>
      </x:c>
      <x:c r="D980" s="11" t="str">
        <x:v>Âm/chữ hoặc thành tố Hán Việt; không tự xác nhận nghĩa chuyên ngành.</x:v>
      </x:c>
      <x:c r="E980" s="11" t="str">
        <x:v>Mục từ; Thành tố</x:v>
      </x:c>
      <x:c r="F980" s="11" t="str">
        <x:v>Việt</x:v>
      </x:c>
      <x:c r="G980" s="11" t="str">
        <x:v>ET105</x:v>
      </x:c>
      <x:c r="H980" s="11" t="str">
        <x:v>Từ điển Hán Nôm Thi Viện; các nguồn quan sát tại mục: Nguyễn Quốc Hùng — công dân</x:v>
      </x:c>
      <x:c r="I980" s="30" t="str">
        <x:v>https://hvdic.thivien.net/whv/%E5%85%AC%E6%B0%91</x:v>
      </x:c>
      <x:c r="J980" s="11" t="str">
        <x:v>Đối chiếu âm và chữ: công dân — 公民. Trang mục từ có đề mục từ điển của Nguyễn Quốc Hùng.
Trang từ điển ghi âm Hán Việt và/hoặc mục từ tương ứng với 公民. Chỉ dùng cho thành tố được nêu; cấu tạo toàn cụm do người rà soát tổng hợp.
Nguồn biên soạn: Nguyễn Quốc Hùng
Nguồn biên soạn: Bản điện tử HVdic/Thi Viện; Nguyễn Quốc Hùng</x:v>
      </x:c>
      <x:c r="K980" s="11" t="str">
        <x:v>2026-10-29 (KST)</x:v>
      </x:c>
    </x:row>
    <x:row r="981" ht="75" customHeight="1">
      <x:c r="A981" s="11" t="str">
        <x:v>T013</x:v>
      </x:c>
      <x:c r="B981" s="11" t="str">
        <x:v>Việt</x:v>
      </x:c>
      <x:c r="C981" s="11" t="str">
        <x:v>Việt: tự quyết</x:v>
      </x:c>
      <x:c r="D981" s="11" t="str">
        <x:v>Âm/chữ hoặc thành tố Hán Việt; không tự xác nhận nghĩa chuyên ngành.</x:v>
      </x:c>
      <x:c r="E981" s="11" t="str">
        <x:v>Mục từ</x:v>
      </x:c>
      <x:c r="F981" s="11" t="str">
        <x:v>Việt</x:v>
      </x:c>
      <x:c r="G981" s="11" t="str">
        <x:v>ET106</x:v>
      </x:c>
      <x:c r="H981" s="11" t="str">
        <x:v>Từ điển Hán Nôm Thi Viện; các nguồn quan sát tại mục: Nguyễn Quốc Hùng — tự quyết</x:v>
      </x:c>
      <x:c r="I981" s="30" t="str">
        <x:v>https://hvdic.thivien.net/whv/%E8%87%AA%E6%B1%BA</x:v>
      </x:c>
      <x:c r="J981" s="11" t="str">
        <x:v>Đối chiếu âm và chữ: tự quyết — 自決. Trang mục từ có đề mục từ điển của Nguyễn Quốc Hùng.
Nguồn biên soạn: Nguyễn Quốc Hùng</x:v>
      </x:c>
      <x:c r="K981" s="11" t="str">
        <x:v>2026-10-29 (KST)</x:v>
      </x:c>
    </x:row>
    <x:row r="982" ht="75" customHeight="1">
      <x:c r="A982" s="11" t="str">
        <x:v>T056</x:v>
      </x:c>
      <x:c r="B982" s="11" t="str">
        <x:v>Việt</x:v>
      </x:c>
      <x:c r="C982" s="11" t="str">
        <x:v>Việt: toàn</x:v>
      </x:c>
      <x:c r="D982" s="11" t="str">
        <x:v>Âm/chữ hoặc thành tố Hán Việt; không tự xác nhận nghĩa chuyên ngành.</x:v>
      </x:c>
      <x:c r="E982" s="11" t="str">
        <x:v>Thành tố</x:v>
      </x:c>
      <x:c r="F982" s="11" t="str">
        <x:v>Việt</x:v>
      </x:c>
      <x:c r="G982" s="11" t="str">
        <x:v>ET107</x:v>
      </x:c>
      <x:c r="H982" s="11" t="str">
        <x:v>Từ điển Hán Nôm Thi Viện; mục từ và nguồn từ điển ghi tại trang — toàn</x:v>
      </x:c>
      <x:c r="I982" s="30" t="str">
        <x:v>https://hvdic.thivien.net/whv/%E5%85%A8</x:v>
      </x:c>
      <x:c r="J982" s="11" t="str">
        <x:v>Đối chiếu âm và chữ: toàn — 全.</x:v>
      </x:c>
      <x:c r="K982" s="11" t="str">
        <x:v>2026-10-29 (KST)</x:v>
      </x:c>
    </x:row>
    <x:row r="983" ht="75" customHeight="1">
      <x:c r="A983" s="11" t="str">
        <x:v>T056</x:v>
      </x:c>
      <x:c r="B983" s="11" t="str">
        <x:v>Việt</x:v>
      </x:c>
      <x:c r="C983" s="11" t="str">
        <x:v>Việt: lãnh thổ</x:v>
      </x:c>
      <x:c r="D983" s="11" t="str">
        <x:v>Âm/chữ hoặc thành tố Hán Việt; không tự xác nhận nghĩa chuyên ngành.</x:v>
      </x:c>
      <x:c r="E983" s="11" t="str">
        <x:v>Mục từ</x:v>
      </x:c>
      <x:c r="F983" s="11" t="str">
        <x:v>Việt</x:v>
      </x:c>
      <x:c r="G983" s="11" t="str">
        <x:v>ET108</x:v>
      </x:c>
      <x:c r="H983" s="11" t="str">
        <x:v>Từ điển Hán Nôm Thi Viện; các nguồn quan sát tại mục: Nguyễn Quốc Hùng — lãnh thổ</x:v>
      </x:c>
      <x:c r="I983" s="30" t="str">
        <x:v>https://hvdic.thivien.net/whv/%E9%A0%98%E5%9C%9F</x:v>
      </x:c>
      <x:c r="J983" s="11" t="str">
        <x:v>Đối chiếu âm và chữ: lãnh thổ — 領土. Trang mục từ có đề mục từ điển của Nguyễn Quốc Hùng.
Nguồn biên soạn: Nguyễn Quốc Hùng</x:v>
      </x:c>
      <x:c r="K983" s="11" t="str">
        <x:v>2026-10-29 (KST)</x:v>
      </x:c>
    </x:row>
    <x:row r="984" ht="100.5" customHeight="1">
      <x:c r="A984" s="11" t="str">
        <x:v>Dùng chung (6 mã)</x:v>
      </x:c>
      <x:c r="B984" s="11" t="str">
        <x:v>Việt</x:v>
      </x:c>
      <x:c r="C984" s="11" t="str">
        <x:v>Việt: chiến lược</x:v>
      </x:c>
      <x:c r="D984" s="11" t="str">
        <x:v>Âm/chữ hoặc thành tố Hán Việt; không tự xác nhận nghĩa chuyên ngành.</x:v>
      </x:c>
      <x:c r="E984" s="11" t="str">
        <x:v>Mục từ; Thành tố</x:v>
      </x:c>
      <x:c r="F984" s="11" t="str">
        <x:v>Việt</x:v>
      </x:c>
      <x:c r="G984" s="11" t="str">
        <x:v>ET109</x:v>
      </x:c>
      <x:c r="H984" s="11" t="str">
        <x:v>Từ điển Hán Nôm Thi Viện; các nguồn quan sát tại mục: Nguyễn Quốc Hùng — chiến lược</x:v>
      </x:c>
      <x:c r="I984" s="30" t="str">
        <x:v>https://hvdic.thivien.net/whv/%E6%88%B0%E7%95%A5</x:v>
      </x:c>
      <x:c r="J984" s="11" t="str">
        <x:v>Đối chiếu âm và chữ: chiến lược — 戰略. Trang mục từ có đề mục từ điển của Nguyễn Quốc Hùng.
Trang từ điển ghi âm Hán Việt và/hoặc mục từ tương ứng với 戰略. Chỉ dùng cho thành tố được nêu; cấu tạo toàn cụm do người rà soát tổng hợp.
Nguồn biên soạn: Nguyễn Quốc Hùng
Nguồn biên soạn: Bản điện tử HVdic/Thi Viện; Nguyễn Quốc Hùng</x:v>
      </x:c>
      <x:c r="K984" s="11" t="str">
        <x:v>2026-10-29 (KST)</x:v>
      </x:c>
    </x:row>
    <x:row r="985" ht="100.5" customHeight="1">
      <x:c r="A985" s="11" t="str">
        <x:v>Dùng chung (4 mã)</x:v>
      </x:c>
      <x:c r="B985" s="11" t="str">
        <x:v>Việt</x:v>
      </x:c>
      <x:c r="C985" s="11" t="str">
        <x:v>Việt: tư pháp</x:v>
      </x:c>
      <x:c r="D985" s="11" t="str">
        <x:v>Âm/chữ hoặc thành tố Hán Việt; không tự xác nhận nghĩa chuyên ngành.</x:v>
      </x:c>
      <x:c r="E985" s="11" t="str">
        <x:v>Mục từ; Thành tố</x:v>
      </x:c>
      <x:c r="F985" s="11" t="str">
        <x:v>Việt</x:v>
      </x:c>
      <x:c r="G985" s="11" t="str">
        <x:v>ET110</x:v>
      </x:c>
      <x:c r="H985" s="11" t="str">
        <x:v>Từ điển Hán Nôm Thi Viện; các nguồn quan sát tại mục: Nguyễn Quốc Hùng — tư pháp</x:v>
      </x:c>
      <x:c r="I985" s="30" t="str">
        <x:v>https://hvdic.thivien.net/whv/%E5%8F%B8%E6%B3%95</x:v>
      </x:c>
      <x:c r="J985" s="11" t="str">
        <x:v>Đối chiếu âm và chữ: tư pháp — 司法. Trang mục từ có đề mục từ điển của Nguyễn Quốc Hùng.
Trang từ điển ghi âm Hán Việt và/hoặc mục từ tương ứng với 司法. Chỉ dùng cho thành tố được nêu; cấu tạo toàn cụm do người rà soát tổng hợp.
Nguồn biên soạn: Nguyễn Quốc Hùng
Nguồn biên soạn: Bản điện tử HVdic/Thi Viện; Nguyễn Quốc Hùng</x:v>
      </x:c>
      <x:c r="K985" s="11" t="str">
        <x:v>2026-10-29 (KST)</x:v>
      </x:c>
    </x:row>
    <x:row r="986" ht="75" customHeight="1">
      <x:c r="A986" s="11" t="str">
        <x:v>T050</x:v>
      </x:c>
      <x:c r="B986" s="11" t="str">
        <x:v>Việt</x:v>
      </x:c>
      <x:c r="C986" s="11" t="str">
        <x:v>Việt: tư tưởng</x:v>
      </x:c>
      <x:c r="D986" s="11" t="str">
        <x:v>Âm/chữ hoặc thành tố Hán Việt; không tự xác nhận nghĩa chuyên ngành.</x:v>
      </x:c>
      <x:c r="E986" s="11" t="str">
        <x:v>Mục từ</x:v>
      </x:c>
      <x:c r="F986" s="11" t="str">
        <x:v>Việt</x:v>
      </x:c>
      <x:c r="G986" s="11" t="str">
        <x:v>ET111</x:v>
      </x:c>
      <x:c r="H986" s="11" t="str">
        <x:v>Từ điển Hán Nôm Thi Viện; mục từ và nguồn từ điển ghi tại trang — tư tưởng</x:v>
      </x:c>
      <x:c r="I986" s="30" t="str">
        <x:v>https://hvdic.thivien.net/whv/%E6%80%9D%E6%83%B3</x:v>
      </x:c>
      <x:c r="J986" s="11" t="str">
        <x:v>Đối chiếu âm và chữ: tư tưởng — 思想.</x:v>
      </x:c>
      <x:c r="K986" s="11" t="str">
        <x:v>2026-10-29 (KST)</x:v>
      </x:c>
    </x:row>
    <x:row r="987" ht="75" customHeight="1">
      <x:c r="A987" s="11" t="str">
        <x:v>M006</x:v>
      </x:c>
      <x:c r="B987" s="11" t="str">
        <x:v>Việt</x:v>
      </x:c>
      <x:c r="C987" s="11" t="str">
        <x:v>Việt: vai</x:v>
      </x:c>
      <x:c r="D987" s="11" t="str">
        <x:v>Nguồn từ nguyên/chữ gốc hoặc thành tố được nêu; đọc giới hạn tại ghi chú.</x:v>
      </x:c>
      <x:c r="E987" s="11" t="str">
        <x:v>Mục từ</x:v>
      </x:c>
      <x:c r="F987" s="11" t="str">
        <x:v>Việt</x:v>
      </x:c>
      <x:c r="G987" s="11" t="str">
        <x:v>ET112</x:v>
      </x:c>
      <x:c r="H987" s="11" t="str">
        <x:v>Mark Alves — Vietnamese vocabulary, WOLD: vai</x:v>
      </x:c>
      <x:c r="I987" s="30" t="str">
        <x:v>https://wold.clld.org/word/7215023360021959</x:v>
      </x:c>
      <x:c r="J987" s="11" t="str">
        <x:v>the shoulder; 5. no evidence for borrowing; Proto-Viet-Muong. </x:v>
      </x:c>
      <x:c r="K987" s="11" t="str">
        <x:v>2026-10-29 (KST)</x:v>
      </x:c>
    </x:row>
    <x:row r="988" ht="75" customHeight="1">
      <x:c r="A988" s="11" t="str">
        <x:v>M006</x:v>
      </x:c>
      <x:c r="B988" s="11" t="str">
        <x:v>Việt</x:v>
      </x:c>
      <x:c r="C988" s="11" t="str">
        <x:v>Việt: trung tâm</x:v>
      </x:c>
      <x:c r="D988" s="11" t="str">
        <x:v>Âm/chữ hoặc thành tố Hán Việt; không tự xác nhận nghĩa chuyên ngành.</x:v>
      </x:c>
      <x:c r="E988" s="11" t="str">
        <x:v>Mục từ</x:v>
      </x:c>
      <x:c r="F988" s="11" t="str">
        <x:v>Việt</x:v>
      </x:c>
      <x:c r="G988" s="11" t="str">
        <x:v>ET113</x:v>
      </x:c>
      <x:c r="H988" s="11" t="str">
        <x:v>Từ điển Hán Nôm Thi Viện; mục từ và nguồn từ điển ghi tại trang — trung tâm</x:v>
      </x:c>
      <x:c r="I988" s="30" t="str">
        <x:v>https://hvdic.thivien.net/whv/%E4%B8%AD%E5%BF%83</x:v>
      </x:c>
      <x:c r="J988" s="11" t="str">
        <x:v>Đối chiếu âm và chữ: trung tâm — 中心.</x:v>
      </x:c>
      <x:c r="K988" s="11" t="str">
        <x:v>2026-10-29 (KST)</x:v>
      </x:c>
    </x:row>
    <x:row r="989" ht="75" customHeight="1">
      <x:c r="A989" s="11" t="str">
        <x:v>M010</x:v>
      </x:c>
      <x:c r="B989" s="11" t="str">
        <x:v>Việt</x:v>
      </x:c>
      <x:c r="C989" s="11" t="str">
        <x:v>Việt: Diễn đàn</x:v>
      </x:c>
      <x:c r="D989" s="11" t="str">
        <x:v>Âm/chữ hoặc thành tố Hán Việt; không tự xác nhận nghĩa chuyên ngành.</x:v>
      </x:c>
      <x:c r="E989" s="11" t="str">
        <x:v>Mục từ</x:v>
      </x:c>
      <x:c r="F989" s="11" t="str">
        <x:v>Việt</x:v>
      </x:c>
      <x:c r="G989" s="11" t="str">
        <x:v>ET114</x:v>
      </x:c>
      <x:c r="H989" s="11" t="str">
        <x:v>Từ điển Hán Nôm Thi Viện; các nguồn quan sát tại mục: Nguyễn Quốc Hùng — diễn đàn</x:v>
      </x:c>
      <x:c r="I989" s="30" t="str">
        <x:v>https://hvdic.thivien.net/whv/%E6%BC%94%E5%A3%87</x:v>
      </x:c>
      <x:c r="J989" s="11" t="str">
        <x:v>Đối chiếu âm và chữ: diễn đàn — 演壇. Trang mục từ có đề mục từ điển của Nguyễn Quốc Hùng.
Nguồn biên soạn: Nguyễn Quốc Hùng</x:v>
      </x:c>
      <x:c r="K989" s="11" t="str">
        <x:v>2026-10-29 (KST)</x:v>
      </x:c>
    </x:row>
    <x:row r="990" ht="75" customHeight="1">
      <x:c r="A990" s="11" t="str">
        <x:v>Dùng chung (2 mã)</x:v>
      </x:c>
      <x:c r="B990" s="11" t="str">
        <x:v>Việt</x:v>
      </x:c>
      <x:c r="C990" s="11" t="str">
        <x:v>Việt: khu vực</x:v>
      </x:c>
      <x:c r="D990" s="11" t="str">
        <x:v>Âm/chữ hoặc thành tố Hán Việt; không tự xác nhận nghĩa chuyên ngành.</x:v>
      </x:c>
      <x:c r="E990" s="11" t="str">
        <x:v>Mục từ</x:v>
      </x:c>
      <x:c r="F990" s="11" t="str">
        <x:v>Việt</x:v>
      </x:c>
      <x:c r="G990" s="11" t="str">
        <x:v>ET115</x:v>
      </x:c>
      <x:c r="H990" s="11" t="str">
        <x:v>Từ điển Hán Nôm Thi Viện; các nguồn quan sát tại mục: Nguyễn Quốc Hùng — khu vực</x:v>
      </x:c>
      <x:c r="I990" s="30" t="str">
        <x:v>https://hvdic.thivien.net/whv/%E5%8D%80%E5%9F%9F</x:v>
      </x:c>
      <x:c r="J990" s="11" t="str">
        <x:v>Đối chiếu âm và chữ: khu vực — 區域. Trang mục từ có đề mục từ điển của Nguyễn Quốc Hùng.
Nguồn biên soạn: Nguyễn Quốc Hùng</x:v>
      </x:c>
      <x:c r="K990" s="11" t="str">
        <x:v>2026-10-29 (KST)</x:v>
      </x:c>
    </x:row>
    <x:row r="991" ht="75" customHeight="1">
      <x:c r="A991" s="11" t="str">
        <x:v>Dùng chung (4 mã)</x:v>
      </x:c>
      <x:c r="B991" s="11" t="str">
        <x:v>Việt</x:v>
      </x:c>
      <x:c r="C991" s="11" t="str">
        <x:v>Việt: toàn diện; Việt: Toàn diện</x:v>
      </x:c>
      <x:c r="D991" s="11" t="str">
        <x:v>Âm/chữ hoặc thành tố Hán Việt; không tự xác nhận nghĩa chuyên ngành.</x:v>
      </x:c>
      <x:c r="E991" s="11" t="str">
        <x:v>Mục từ</x:v>
      </x:c>
      <x:c r="F991" s="11" t="str">
        <x:v>Việt</x:v>
      </x:c>
      <x:c r="G991" s="11" t="str">
        <x:v>ET116</x:v>
      </x:c>
      <x:c r="H991" s="11" t="str">
        <x:v>Từ điển Hán Nôm Thi Viện; các nguồn quan sát tại mục: Nguyễn Quốc Hùng — toàn diện</x:v>
      </x:c>
      <x:c r="I991" s="30" t="str">
        <x:v>https://hvdic.thivien.net/whv/%E5%85%A8%E9%9D%A2</x:v>
      </x:c>
      <x:c r="J991" s="11" t="str">
        <x:v>Đối chiếu âm và chữ: toàn diện — 全面. Trang mục từ có đề mục từ điển của Nguyễn Quốc Hùng.
Nguồn biên soạn: Nguyễn Quốc Hùng</x:v>
      </x:c>
      <x:c r="K991" s="11" t="str">
        <x:v>2026-10-29 (KST)</x:v>
      </x:c>
    </x:row>
    <x:row r="992" ht="75" customHeight="1">
      <x:c r="A992" s="11" t="str">
        <x:v>Dùng chung (13 mã)</x:v>
      </x:c>
      <x:c r="B992" s="11" t="str">
        <x:v>Việt</x:v>
      </x:c>
      <x:c r="C992" s="11" t="str">
        <x:v>Việt: hợp tác; Việt: Hợp tác</x:v>
      </x:c>
      <x:c r="D992" s="11" t="str">
        <x:v>Âm/chữ hoặc thành tố Hán Việt; không tự xác nhận nghĩa chuyên ngành.</x:v>
      </x:c>
      <x:c r="E992" s="11" t="str">
        <x:v>Mục từ; Thành tố</x:v>
      </x:c>
      <x:c r="F992" s="11" t="str">
        <x:v>Việt</x:v>
      </x:c>
      <x:c r="G992" s="11" t="str">
        <x:v>ET117</x:v>
      </x:c>
      <x:c r="H992" s="11" t="str">
        <x:v>Từ điển Hán Nôm Thi Viện; mục từ và nguồn từ điển ghi tại trang — hợp tác</x:v>
      </x:c>
      <x:c r="I992" s="30" t="str">
        <x:v>https://hvdic.thivien.net/whv/%E5%90%88%E4%BD%9C</x:v>
      </x:c>
      <x:c r="J992" s="11" t="str">
        <x:v>Đối chiếu âm và chữ: hợp tác — 合作.
Mục từ ghi hợp tác và dạng chữ 合作.
Nguồn biên soạn: Bản điện tử HVdic/Thi Viện; Nguyễn Quốc Hùng</x:v>
      </x:c>
      <x:c r="K992" s="11" t="str">
        <x:v>2026-10-29 (KST)</x:v>
      </x:c>
    </x:row>
    <x:row r="993" ht="100.5" customHeight="1">
      <x:c r="A993" s="11" t="str">
        <x:v>Dùng chung (4 mã)</x:v>
      </x:c>
      <x:c r="B993" s="11" t="str">
        <x:v>Việt</x:v>
      </x:c>
      <x:c r="C993" s="11" t="str">
        <x:v>Việt: đối thoại; Việt: Đối thoại</x:v>
      </x:c>
      <x:c r="D993" s="11" t="str">
        <x:v>Âm/chữ hoặc thành tố Hán Việt; không tự xác nhận nghĩa chuyên ngành.</x:v>
      </x:c>
      <x:c r="E993" s="11" t="str">
        <x:v>Mục từ; Thành tố</x:v>
      </x:c>
      <x:c r="F993" s="11" t="str">
        <x:v>Việt</x:v>
      </x:c>
      <x:c r="G993" s="11" t="str">
        <x:v>ET118</x:v>
      </x:c>
      <x:c r="H993" s="11" t="str">
        <x:v>Từ điển Hán Nôm Thi Viện; các nguồn quan sát tại mục: Nguyễn Quốc Hùng — đối thoại</x:v>
      </x:c>
      <x:c r="I993" s="30" t="str">
        <x:v>https://hvdic.thivien.net/whv/%E5%B0%8D%E8%A9%B1</x:v>
      </x:c>
      <x:c r="J993" s="11" t="str">
        <x:v>Đối chiếu âm và chữ: đối thoại — 對話. Trang mục từ có đề mục từ điển của Nguyễn Quốc Hùng.
Trang từ điển ghi âm Hán Việt và/hoặc mục từ tương ứng với 對話. Chỉ dùng cho thành tố được nêu; cấu tạo toàn cụm do người rà soát tổng hợp.
Nguồn biên soạn: Nguyễn Quốc Hùng
Nguồn biên soạn: Bản điện tử HVdic/Thi Viện; Nguyễn Quốc Hùng</x:v>
      </x:c>
      <x:c r="K993" s="11" t="str">
        <x:v>2026-10-29 (KST)</x:v>
      </x:c>
    </x:row>
    <x:row r="994" ht="75" customHeight="1">
      <x:c r="A994" s="11" t="str">
        <x:v>Dùng chung (4 mã)</x:v>
      </x:c>
      <x:c r="B994" s="11" t="str">
        <x:v>Việt</x:v>
      </x:c>
      <x:c r="C994" s="11" t="str">
        <x:v>Việt: Hội nghị; Việt: hội nghị</x:v>
      </x:c>
      <x:c r="D994" s="11" t="str">
        <x:v>Âm/chữ hoặc thành tố Hán Việt; không tự xác nhận nghĩa chuyên ngành.</x:v>
      </x:c>
      <x:c r="E994" s="11" t="str">
        <x:v>Mục từ</x:v>
      </x:c>
      <x:c r="F994" s="11" t="str">
        <x:v>Việt</x:v>
      </x:c>
      <x:c r="G994" s="11" t="str">
        <x:v>ET119</x:v>
      </x:c>
      <x:c r="H994" s="11" t="str">
        <x:v>Từ điển Hán Nôm Thi Viện; các nguồn quan sát tại mục: Nguyễn Quốc Hùng — hội nghị</x:v>
      </x:c>
      <x:c r="I994" s="30" t="str">
        <x:v>https://hvdic.thivien.net/whv/%E6%9C%83%E8%AD%B0</x:v>
      </x:c>
      <x:c r="J994" s="11" t="str">
        <x:v>Đối chiếu âm và chữ: hội nghị — 會議. Trang mục từ có đề mục từ điển của Nguyễn Quốc Hùng.
Nguồn biên soạn: Nguyễn Quốc Hùng</x:v>
      </x:c>
      <x:c r="K994" s="11" t="str">
        <x:v>2026-10-29 (KST)</x:v>
      </x:c>
    </x:row>
    <x:row r="995" ht="75" customHeight="1">
      <x:c r="A995" s="11" t="str">
        <x:v>Dùng chung (6 mã)</x:v>
      </x:c>
      <x:c r="B995" s="11" t="str">
        <x:v>Việt</x:v>
      </x:c>
      <x:c r="C995" s="11" t="str">
        <x:v>Việt: cao</x:v>
      </x:c>
      <x:c r="D995" s="11" t="str">
        <x:v>Âm/chữ hoặc thành tố Hán Việt; không tự xác nhận nghĩa chuyên ngành.</x:v>
      </x:c>
      <x:c r="E995" s="11" t="str">
        <x:v>Thành tố</x:v>
      </x:c>
      <x:c r="F995" s="11" t="str">
        <x:v>Việt</x:v>
      </x:c>
      <x:c r="G995" s="11" t="str">
        <x:v>ET120</x:v>
      </x:c>
      <x:c r="H995" s="11" t="str">
        <x:v>Từ điển Hán Nôm Thi Viện; mục từ và nguồn từ điển ghi tại trang — cao</x:v>
      </x:c>
      <x:c r="I995" s="30" t="str">
        <x:v>https://hvdic.thivien.net/whv/%E9%AB%98</x:v>
      </x:c>
      <x:c r="J995" s="11" t="str">
        <x:v>Đối chiếu âm và chữ: cao — 高.</x:v>
      </x:c>
      <x:c r="K995" s="11" t="str">
        <x:v>2026-10-29 (KST)</x:v>
      </x:c>
    </x:row>
    <x:row r="996" ht="100.5" customHeight="1">
      <x:c r="A996" s="11" t="str">
        <x:v>Dùng chung (4 mã)</x:v>
      </x:c>
      <x:c r="B996" s="11" t="str">
        <x:v>Việt</x:v>
      </x:c>
      <x:c r="C996" s="11" t="str">
        <x:v>Việt: quan hệ</x:v>
      </x:c>
      <x:c r="D996" s="11" t="str">
        <x:v>Âm/chữ hoặc thành tố Hán Việt; không tự xác nhận nghĩa chuyên ngành.</x:v>
      </x:c>
      <x:c r="E996" s="11" t="str">
        <x:v>Mục từ; Thành tố</x:v>
      </x:c>
      <x:c r="F996" s="11" t="str">
        <x:v>Việt</x:v>
      </x:c>
      <x:c r="G996" s="11" t="str">
        <x:v>ET121</x:v>
      </x:c>
      <x:c r="H996" s="11" t="str">
        <x:v>Từ điển Hán Nôm Thi Viện; các nguồn quan sát tại mục: Nguyễn Quốc Hùng — quan hệ</x:v>
      </x:c>
      <x:c r="I996" s="30" t="str">
        <x:v>https://hvdic.thivien.net/whv/%E9%97%9C%E4%BF%82</x:v>
      </x:c>
      <x:c r="J996" s="11" t="str">
        <x:v>Đối chiếu âm và chữ: quan hệ — 關係. Trang mục từ có đề mục từ điển của Nguyễn Quốc Hùng.
Trang từ điển ghi âm Hán Việt và/hoặc mục từ tương ứng với 關係. Chỉ dùng cho thành tố được nêu; cấu tạo toàn cụm do người rà soát tổng hợp.
Nguồn biên soạn: Nguyễn Quốc Hùng
Nguồn biên soạn: Bản điện tử HVdic/Thi Viện; Nguyễn Quốc Hùng</x:v>
      </x:c>
      <x:c r="K996" s="11" t="str">
        <x:v>2026-10-29 (KST)</x:v>
      </x:c>
    </x:row>
    <x:row r="997" ht="145.5" customHeight="1">
      <x:c r="A997" s="11" t="str">
        <x:v>Dùng chung (4 mã)</x:v>
      </x:c>
      <x:c r="B997" s="11" t="str">
        <x:v>Việt</x:v>
      </x:c>
      <x:c r="C997" s="11" t="str">
        <x:v>Việt: cử; Việt: tuyển cử</x:v>
      </x:c>
      <x:c r="D997" s="11" t="str">
        <x:v>Âm/chữ hoặc thành tố Hán Việt; không tự xác nhận nghĩa chuyên ngành.</x:v>
      </x:c>
      <x:c r="E997" s="11" t="str">
        <x:v>Thành tố</x:v>
      </x:c>
      <x:c r="F997" s="11" t="str">
        <x:v>Việt</x:v>
      </x:c>
      <x:c r="G997" s="11" t="str">
        <x:v>ET122</x:v>
      </x:c>
      <x:c r="H997" s="11" t="str">
        <x:v>Từ điển Hán Nôm Thi Viện; các nguồn quan sát tại mục: Thiều Chửu, Trần Văn Chánh, Nguyễn Quốc Hùng — cử</x:v>
      </x:c>
      <x:c r="I997" s="30" t="str">
        <x:v>https://hvdic.thivien.net/whv/%E8%88%89</x:v>
      </x:c>
      <x:c r="J997" s="11" t="str">
        <x:v>Đối chiếu âm và chữ: cử — 舉. Trang mục từ có đề mục từ điển của Thiều Chửu, Trần Văn Chánh, Nguyễn Quốc Hùng.
Trang từ điển ghi âm Hán Việt và/hoặc mục từ tương ứng với 舉. Chỉ dùng cho thành tố được nêu; cấu tạo toàn cụm do người rà soát tổng hợp.
Nguồn biên soạn: Thiều Chửu
Nguồn biên soạn: Trần Văn Chánh
Nguồn biên soạn: Nguyễn Quốc Hùng
Nguồn biên soạn: Bản điện tử HVdic/Thi Viện; chuyên mục phổ thông/trích dẫn, trang chưa chỉ rõ người biên soạn riêng mục này</x:v>
      </x:c>
      <x:c r="K997" s="11" t="str">
        <x:v>2026-10-29 (KST)</x:v>
      </x:c>
    </x:row>
    <x:row r="998" ht="75" customHeight="1">
      <x:c r="A998" s="11" t="str">
        <x:v>Dùng chung (2 mã)</x:v>
      </x:c>
      <x:c r="B998" s="11" t="str">
        <x:v>Việt</x:v>
      </x:c>
      <x:c r="C998" s="11" t="str">
        <x:v>Việt: cải cách</x:v>
      </x:c>
      <x:c r="D998" s="11" t="str">
        <x:v>Âm/chữ hoặc thành tố Hán Việt; không tự xác nhận nghĩa chuyên ngành.</x:v>
      </x:c>
      <x:c r="E998" s="11" t="str">
        <x:v>Mục từ</x:v>
      </x:c>
      <x:c r="F998" s="11" t="str">
        <x:v>Việt</x:v>
      </x:c>
      <x:c r="G998" s="11" t="str">
        <x:v>ET123</x:v>
      </x:c>
      <x:c r="H998" s="11" t="str">
        <x:v>Từ điển Hán Nôm Thi Viện; các nguồn quan sát tại mục: Nguyễn Quốc Hùng — cải cách</x:v>
      </x:c>
      <x:c r="I998" s="30" t="str">
        <x:v>https://hvdic.thivien.net/whv/%E6%94%B9%E9%9D%A9</x:v>
      </x:c>
      <x:c r="J998" s="11" t="str">
        <x:v>Đối chiếu âm và chữ: cải cách — 改革. Trang mục từ có đề mục từ điển của Nguyễn Quốc Hùng.
Nguồn biên soạn: Nguyễn Quốc Hùng</x:v>
      </x:c>
      <x:c r="K998" s="11" t="str">
        <x:v>2026-10-29 (KST)</x:v>
      </x:c>
    </x:row>
    <x:row r="999" ht="75" customHeight="1">
      <x:c r="A999" s="11" t="str">
        <x:v>T041</x:v>
      </x:c>
      <x:c r="B999" s="11" t="str">
        <x:v>Việt</x:v>
      </x:c>
      <x:c r="C999" s="11" t="str">
        <x:v>Việt: hành chính</x:v>
      </x:c>
      <x:c r="D999" s="11" t="str">
        <x:v>Âm/chữ hoặc thành tố Hán Việt; không tự xác nhận nghĩa chuyên ngành.</x:v>
      </x:c>
      <x:c r="E999" s="11" t="str">
        <x:v>Mục từ</x:v>
      </x:c>
      <x:c r="F999" s="11" t="str">
        <x:v>Việt</x:v>
      </x:c>
      <x:c r="G999" s="11" t="str">
        <x:v>ET124</x:v>
      </x:c>
      <x:c r="H999" s="11" t="str">
        <x:v>Từ điển Hán Nôm Thi Viện; các nguồn quan sát tại mục: Nguyễn Quốc Hùng — hành chính</x:v>
      </x:c>
      <x:c r="I999" s="30" t="str">
        <x:v>https://hvdic.thivien.net/whv/%E8%A1%8C%E6%94%BF</x:v>
      </x:c>
      <x:c r="J999" s="11" t="str">
        <x:v>Đối chiếu âm và chữ: hành chính — 行政. Trang mục từ có đề mục từ điển của Nguyễn Quốc Hùng.
Nguồn biên soạn: Nguyễn Quốc Hùng</x:v>
      </x:c>
      <x:c r="K999" s="11" t="str">
        <x:v>2026-10-29 (KST)</x:v>
      </x:c>
    </x:row>
    <x:row r="1000" ht="75" customHeight="1">
      <x:c r="A1000" s="11" t="str">
        <x:v>T060</x:v>
      </x:c>
      <x:c r="B1000" s="11" t="str">
        <x:v>Việt</x:v>
      </x:c>
      <x:c r="C1000" s="11" t="str">
        <x:v>Việt: thể chế</x:v>
      </x:c>
      <x:c r="D1000" s="11" t="str">
        <x:v>Âm/chữ hoặc thành tố Hán Việt; không tự xác nhận nghĩa chuyên ngành.</x:v>
      </x:c>
      <x:c r="E1000" s="11" t="str">
        <x:v>Mục từ</x:v>
      </x:c>
      <x:c r="F1000" s="11" t="str">
        <x:v>Việt</x:v>
      </x:c>
      <x:c r="G1000" s="11" t="str">
        <x:v>ET125</x:v>
      </x:c>
      <x:c r="H1000" s="11" t="str">
        <x:v>Từ điển Hán Nôm Thi Viện; các nguồn quan sát tại mục: Nguyễn Quốc Hùng — thể chế</x:v>
      </x:c>
      <x:c r="I1000" s="30" t="str">
        <x:v>https://hvdic.thivien.net/whv/%E9%AB%94%E5%88%B6</x:v>
      </x:c>
      <x:c r="J1000" s="11" t="str">
        <x:v>Đối chiếu âm và chữ: thể chế — 體制. Trang mục từ có đề mục từ điển của Nguyễn Quốc Hùng.
Nguồn biên soạn: Nguyễn Quốc Hùng</x:v>
      </x:c>
      <x:c r="K1000" s="11" t="str">
        <x:v>2026-10-29 (KST)</x:v>
      </x:c>
    </x:row>
    <x:row r="1001" ht="75" customHeight="1">
      <x:c r="A1001" s="11" t="str">
        <x:v>M047</x:v>
      </x:c>
      <x:c r="B1001" s="11" t="str">
        <x:v>Việt</x:v>
      </x:c>
      <x:c r="C1001" s="11" t="str">
        <x:v>Việt: xã giao</x:v>
      </x:c>
      <x:c r="D1001" s="11" t="str">
        <x:v>Âm/chữ hoặc thành tố Hán Việt; không tự xác nhận nghĩa chuyên ngành.</x:v>
      </x:c>
      <x:c r="E1001" s="11" t="str">
        <x:v>Mục từ</x:v>
      </x:c>
      <x:c r="F1001" s="11" t="str">
        <x:v>Việt</x:v>
      </x:c>
      <x:c r="G1001" s="11" t="str">
        <x:v>ET126</x:v>
      </x:c>
      <x:c r="H1001" s="11" t="str">
        <x:v>Từ điển Hán Nôm Thi Viện; các nguồn quan sát tại mục: Nguyễn Quốc Hùng — xã giao</x:v>
      </x:c>
      <x:c r="I1001" s="30" t="str">
        <x:v>https://hvdic.thivien.net/whv/%E7%A4%BE%E4%BA%A4</x:v>
      </x:c>
      <x:c r="J1001" s="11" t="str">
        <x:v>Đối chiếu âm và chữ: xã giao — 社交. Trang mục từ có đề mục từ điển của Nguyễn Quốc Hùng.
Nguồn biên soạn: Nguyễn Quốc Hùng</x:v>
      </x:c>
      <x:c r="K1001" s="11" t="str">
        <x:v>2026-10-29 (KST)</x:v>
      </x:c>
    </x:row>
    <x:row r="1002" ht="75" customHeight="1">
      <x:c r="A1002" s="11" t="str">
        <x:v>T025</x:v>
      </x:c>
      <x:c r="B1002" s="11" t="str">
        <x:v>Việt</x:v>
      </x:c>
      <x:c r="C1002" s="11" t="str">
        <x:v>Việt: toàn quốc</x:v>
      </x:c>
      <x:c r="D1002" s="11" t="str">
        <x:v>Âm/chữ hoặc thành tố Hán Việt; không tự xác nhận nghĩa chuyên ngành.</x:v>
      </x:c>
      <x:c r="E1002" s="11" t="str">
        <x:v>Mục từ</x:v>
      </x:c>
      <x:c r="F1002" s="11" t="str">
        <x:v>Việt</x:v>
      </x:c>
      <x:c r="G1002" s="11" t="str">
        <x:v>ET127</x:v>
      </x:c>
      <x:c r="H1002" s="11" t="str">
        <x:v>Từ điển Hán Nôm Thi Viện; các nguồn quan sát tại mục: Nguyễn Quốc Hùng — toàn quốc</x:v>
      </x:c>
      <x:c r="I1002" s="30" t="str">
        <x:v>https://hvdic.thivien.net/whv/%E5%85%A8%E5%9C%8B</x:v>
      </x:c>
      <x:c r="J1002" s="11" t="str">
        <x:v>Đối chiếu âm và chữ: toàn quốc — 全國. Trang mục từ có đề mục từ điển của Nguyễn Quốc Hùng.
Nguồn biên soạn: Nguyễn Quốc Hùng</x:v>
      </x:c>
      <x:c r="K1002" s="11" t="str">
        <x:v>2026-10-29 (KST)</x:v>
      </x:c>
    </x:row>
    <x:row r="1003" ht="75" customHeight="1">
      <x:c r="A1003" s="11" t="str">
        <x:v>T012</x:v>
      </x:c>
      <x:c r="B1003" s="11" t="str">
        <x:v>Việt</x:v>
      </x:c>
      <x:c r="C1003" s="11" t="str">
        <x:v>Việt: đề cử</x:v>
      </x:c>
      <x:c r="D1003" s="11" t="str">
        <x:v>Âm/chữ hoặc thành tố Hán Việt; không tự xác nhận nghĩa chuyên ngành.</x:v>
      </x:c>
      <x:c r="E1003" s="11" t="str">
        <x:v>Mục từ</x:v>
      </x:c>
      <x:c r="F1003" s="11" t="str">
        <x:v>Việt</x:v>
      </x:c>
      <x:c r="G1003" s="11" t="str">
        <x:v>ET128</x:v>
      </x:c>
      <x:c r="H1003" s="11" t="str">
        <x:v>Từ điển Hán Nôm Thi Viện; các nguồn quan sát tại mục: Nguyễn Quốc Hùng — đề cử</x:v>
      </x:c>
      <x:c r="I1003" s="30" t="str">
        <x:v>https://hvdic.thivien.net/whv/%E6%8F%90%E8%88%89</x:v>
      </x:c>
      <x:c r="J1003" s="11" t="str">
        <x:v>Đối chiếu âm và chữ: đề cử — 提舉. Trang mục từ có đề mục từ điển của Nguyễn Quốc Hùng.
Nguồn biên soạn: Nguyễn Quốc Hùng</x:v>
      </x:c>
      <x:c r="K1003" s="11" t="str">
        <x:v>2026-10-29 (KST)</x:v>
      </x:c>
    </x:row>
    <x:row r="1004" ht="100.5" customHeight="1">
      <x:c r="A1004" s="11" t="str">
        <x:v>Dùng chung (3 mã)</x:v>
      </x:c>
      <x:c r="B1004" s="11" t="str">
        <x:v>Việt</x:v>
      </x:c>
      <x:c r="C1004" s="11" t="str">
        <x:v>Việt: Đổi; Việt: đổi</x:v>
      </x:c>
      <x:c r="D1004" s="11" t="str">
        <x:v>Nguồn từ nguyên/chữ gốc hoặc thành tố được nêu; đọc giới hạn tại ghi chú.</x:v>
      </x:c>
      <x:c r="E1004" s="11" t="str">
        <x:v>Mục từ; Thành tố</x:v>
      </x:c>
      <x:c r="F1004" s="11" t="str">
        <x:v>Việt</x:v>
      </x:c>
      <x:c r="G1004" s="11" t="str">
        <x:v>ET129</x:v>
      </x:c>
      <x:c r="H1004" s="11" t="str">
        <x:v>Mark Alves — Vietnamese vocabulary, WOLD: đổi</x:v>
      </x:c>
      <x:c r="I1004" s="30" t="str">
        <x:v>https://wold.clld.org/word/7215023122729490</x:v>
      </x:c>
      <x:c r="J1004" s="11" t="str">
        <x:v>to change; 5. no evidence for borrowing; Proto-Mon-Khmer. 
5. no evidence for borrowing; The proto-form is listed in Shorto 2006, entry 615 *turh ‘to change, exchange’.
Nguồn biên soạn: Mark Alves, WOLD; dữ liệu v4.2 do nhóm nghiên cứu phát hành, đối chiếu trường ngữ nghĩa. Không suy nguồn gốc mọi thành tố từ nhãn của cả từ ghép.</x:v>
      </x:c>
      <x:c r="K1004" s="11" t="str">
        <x:v>2026-10-29 (KST)</x:v>
      </x:c>
    </x:row>
    <x:row r="1005" ht="75" customHeight="1">
      <x:c r="A1005" s="11" t="str">
        <x:v>T016</x:v>
      </x:c>
      <x:c r="B1005" s="11" t="str">
        <x:v>Việt</x:v>
      </x:c>
      <x:c r="C1005" s="11" t="str">
        <x:v>Việt: mới</x:v>
      </x:c>
      <x:c r="D1005" s="11" t="str">
        <x:v>Nguồn từ nguyên/chữ gốc hoặc thành tố được nêu; đọc giới hạn tại ghi chú.</x:v>
      </x:c>
      <x:c r="E1005" s="11" t="str">
        <x:v>Mục từ</x:v>
      </x:c>
      <x:c r="F1005" s="11" t="str">
        <x:v>Việt</x:v>
      </x:c>
      <x:c r="G1005" s="11" t="str">
        <x:v>ET130</x:v>
      </x:c>
      <x:c r="H1005" s="11" t="str">
        <x:v>Mark Alves — Vietnamese vocabulary, WOLD: mới</x:v>
      </x:c>
      <x:c r="I1005" s="30" t="str">
        <x:v>https://wold.clld.org/word/7215023854510378</x:v>
      </x:c>
      <x:c r="J1005" s="11" t="str">
        <x:v>new; 5. no evidence for borrowing; Proto-Austroasiatic. </x:v>
      </x:c>
      <x:c r="K1005" s="11" t="str">
        <x:v>2026-10-29 (KST)</x:v>
      </x:c>
    </x:row>
    <x:row r="1006" ht="75" customHeight="1">
      <x:c r="A1006" s="11" t="str">
        <x:v>T040</x:v>
      </x:c>
      <x:c r="B1006" s="11" t="str">
        <x:v>Việt</x:v>
      </x:c>
      <x:c r="C1006" s="11" t="str">
        <x:v>Việt: giải phóng</x:v>
      </x:c>
      <x:c r="D1006" s="11" t="str">
        <x:v>Âm/chữ hoặc thành tố Hán Việt; không tự xác nhận nghĩa chuyên ngành.</x:v>
      </x:c>
      <x:c r="E1006" s="11" t="str">
        <x:v>Mục từ</x:v>
      </x:c>
      <x:c r="F1006" s="11" t="str">
        <x:v>Việt</x:v>
      </x:c>
      <x:c r="G1006" s="11" t="str">
        <x:v>ET131</x:v>
      </x:c>
      <x:c r="H1006" s="11" t="str">
        <x:v>Từ điển Hán Nôm Thi Viện; các nguồn quan sát tại mục: Nguyễn Quốc Hùng — giải phóng</x:v>
      </x:c>
      <x:c r="I1006" s="30" t="str">
        <x:v>https://hvdic.thivien.net/whv/%E8%A7%A3%E6%94%BE</x:v>
      </x:c>
      <x:c r="J1006" s="11" t="str">
        <x:v>Đối chiếu âm và chữ: giải phóng — 解放. Trang mục từ có đề mục từ điển của Nguyễn Quốc Hùng.
Nguồn biên soạn: Nguyễn Quốc Hùng</x:v>
      </x:c>
      <x:c r="K1006" s="11" t="str">
        <x:v>2026-10-29 (KST)</x:v>
      </x:c>
    </x:row>
    <x:row r="1007" ht="75" customHeight="1">
      <x:c r="A1007" s="11" t="str">
        <x:v>T010</x:v>
      </x:c>
      <x:c r="B1007" s="11" t="str">
        <x:v>Việt</x:v>
      </x:c>
      <x:c r="C1007" s="11" t="str">
        <x:v>Việt: giám sát</x:v>
      </x:c>
      <x:c r="D1007" s="11" t="str">
        <x:v>Âm/chữ hoặc thành tố Hán Việt; không tự xác nhận nghĩa chuyên ngành.</x:v>
      </x:c>
      <x:c r="E1007" s="11" t="str">
        <x:v>Mục từ</x:v>
      </x:c>
      <x:c r="F1007" s="11" t="str">
        <x:v>Việt</x:v>
      </x:c>
      <x:c r="G1007" s="11" t="str">
        <x:v>ET132</x:v>
      </x:c>
      <x:c r="H1007" s="11" t="str">
        <x:v>Từ điển Hán Nôm Thi Viện; các nguồn quan sát tại mục: Nguyễn Quốc Hùng — giám sát</x:v>
      </x:c>
      <x:c r="I1007" s="30" t="str">
        <x:v>https://hvdic.thivien.net/whv/%E7%9B%A3%E5%AF%9F</x:v>
      </x:c>
      <x:c r="J1007" s="11" t="str">
        <x:v>Đối chiếu âm và chữ: giám sát — 監察. Trang mục từ có đề mục từ điển của Nguyễn Quốc Hùng.
Nguồn biên soạn: Nguyễn Quốc Hùng</x:v>
      </x:c>
      <x:c r="K1007" s="11" t="str">
        <x:v>2026-10-29 (KST)</x:v>
      </x:c>
    </x:row>
    <x:row r="1008" ht="75" customHeight="1">
      <x:c r="A1008" s="11" t="str">
        <x:v>T141</x:v>
      </x:c>
      <x:c r="B1008" s="11" t="str">
        <x:v>Việt</x:v>
      </x:c>
      <x:c r="C1008" s="11" t="str">
        <x:v>Việt: hội đàm</x:v>
      </x:c>
      <x:c r="D1008" s="11" t="str">
        <x:v>Âm/chữ hoặc thành tố Hán Việt; không tự xác nhận nghĩa chuyên ngành.</x:v>
      </x:c>
      <x:c r="E1008" s="11" t="str">
        <x:v>Mục từ</x:v>
      </x:c>
      <x:c r="F1008" s="11" t="str">
        <x:v>Việt</x:v>
      </x:c>
      <x:c r="G1008" s="11" t="str">
        <x:v>ET133</x:v>
      </x:c>
      <x:c r="H1008" s="11" t="str">
        <x:v>Từ điển Hán Nôm Thi Viện; mục từ và nguồn từ điển ghi tại trang — hội đàm</x:v>
      </x:c>
      <x:c r="I1008" s="30" t="str">
        <x:v>https://hvdic.thivien.net/whv/%E6%9C%83%E8%AB%87</x:v>
      </x:c>
      <x:c r="J1008" s="11" t="str">
        <x:v>Đối chiếu âm và chữ: hội đàm — 會談.</x:v>
      </x:c>
      <x:c r="K1008" s="11" t="str">
        <x:v>2026-10-29 (KST)</x:v>
      </x:c>
    </x:row>
    <x:row r="1009" ht="75" customHeight="1">
      <x:c r="A1009" s="11" t="str">
        <x:v>Dùng chung (2 mã)</x:v>
      </x:c>
      <x:c r="B1009" s="11" t="str">
        <x:v>Việt</x:v>
      </x:c>
      <x:c r="C1009" s="11" t="str">
        <x:v>Việt: lập pháp</x:v>
      </x:c>
      <x:c r="D1009" s="11" t="str">
        <x:v>Âm/chữ hoặc thành tố Hán Việt; không tự xác nhận nghĩa chuyên ngành.</x:v>
      </x:c>
      <x:c r="E1009" s="11" t="str">
        <x:v>Thành tố</x:v>
      </x:c>
      <x:c r="F1009" s="11" t="str">
        <x:v>Việt</x:v>
      </x:c>
      <x:c r="G1009" s="11" t="str">
        <x:v>ET134</x:v>
      </x:c>
      <x:c r="H1009" s="11" t="str">
        <x:v>Từ điển Hán Nôm, mục 立法</x:v>
      </x:c>
      <x:c r="I1009" s="30" t="str">
        <x:v>https://hvdic.thivien.net/whv/%E7%AB%8B%E6%B3%95</x:v>
      </x:c>
      <x:c r="J1009" s="11" t="str">
        <x:v>Trang từ điển ghi âm Hán Việt và/hoặc mục từ tương ứng với 立法. Chỉ dùng cho thành tố được nêu; cấu tạo toàn cụm do người rà soát tổng hợp.
Nguồn biên soạn: Bản điện tử HVdic/Thi Viện; Nguyễn Quốc Hùng</x:v>
      </x:c>
      <x:c r="K1009" s="11" t="str">
        <x:v>2026-10-29 (KST)</x:v>
      </x:c>
    </x:row>
    <x:row r="1010" ht="75" customHeight="1">
      <x:c r="A1010" s="11" t="str">
        <x:v>Dùng chung (2 mã)</x:v>
      </x:c>
      <x:c r="B1010" s="11" t="str">
        <x:v>Việt</x:v>
      </x:c>
      <x:c r="C1010" s="11" t="str">
        <x:v>Việt: lễ</x:v>
      </x:c>
      <x:c r="D1010" s="11" t="str">
        <x:v>Âm/chữ hoặc thành tố Hán Việt; không tự xác nhận nghĩa chuyên ngành.</x:v>
      </x:c>
      <x:c r="E1010" s="11" t="str">
        <x:v>Thành tố</x:v>
      </x:c>
      <x:c r="F1010" s="11" t="str">
        <x:v>Việt</x:v>
      </x:c>
      <x:c r="G1010" s="11" t="str">
        <x:v>ET135</x:v>
      </x:c>
      <x:c r="H1010" s="11" t="str">
        <x:v>Từ điển Hán Nôm, mục 禮</x:v>
      </x:c>
      <x:c r="I1010" s="30" t="str">
        <x:v>https://hvdic.thivien.net/whv/%E7%A6%AE</x:v>
      </x:c>
      <x:c r="J1010" s="11" t="str">
        <x:v>Trang từ điển ghi âm Hán Việt và/hoặc mục từ tương ứng với 禮. Chỉ dùng cho thành tố được nêu; cấu tạo toàn cụm do người rà soát tổng hợp.
Nguồn biên soạn: Bản điện tử HVdic/Thi Viện; Nguyễn Quốc Hùng, Trần Văn Chánh, Thiều Chửu</x:v>
      </x:c>
      <x:c r="K1010" s="11" t="str">
        <x:v>2026-10-29 (KST)</x:v>
      </x:c>
    </x:row>
    <x:row r="1011" ht="75" customHeight="1">
      <x:c r="A1011" s="11" t="str">
        <x:v>Dùng chung (2 mã)</x:v>
      </x:c>
      <x:c r="B1011" s="11" t="str">
        <x:v>Việt</x:v>
      </x:c>
      <x:c r="C1011" s="11" t="str">
        <x:v>Việt: chính thức</x:v>
      </x:c>
      <x:c r="D1011" s="11" t="str">
        <x:v>Âm/chữ hoặc thành tố Hán Việt; không tự xác nhận nghĩa chuyên ngành.</x:v>
      </x:c>
      <x:c r="E1011" s="11" t="str">
        <x:v>Thành tố</x:v>
      </x:c>
      <x:c r="F1011" s="11" t="str">
        <x:v>Việt</x:v>
      </x:c>
      <x:c r="G1011" s="11" t="str">
        <x:v>ET136</x:v>
      </x:c>
      <x:c r="H1011" s="11" t="str">
        <x:v>Từ điển Hán Nôm, mục 正式</x:v>
      </x:c>
      <x:c r="I1011" s="30" t="str">
        <x:v>https://hvdic.thivien.net/whv/%E6%AD%A3%E5%BC%8F</x:v>
      </x:c>
      <x:c r="J1011" s="11" t="str">
        <x:v>Trang từ điển ghi âm Hán Việt và/hoặc mục từ tương ứng với 正式. Chỉ dùng cho thành tố được nêu; cấu tạo toàn cụm do người rà soát tổng hợp.
Nguồn biên soạn: Bản điện tử HVdic/Thi Viện; Nguyễn Quốc Hùng</x:v>
      </x:c>
      <x:c r="K1011" s="11" t="str">
        <x:v>2026-10-29 (KST)</x:v>
      </x:c>
    </x:row>
    <x:row r="1012" ht="75" customHeight="1">
      <x:c r="A1012" s="11" t="str">
        <x:v>T146</x:v>
      </x:c>
      <x:c r="B1012" s="11" t="str">
        <x:v>Việt</x:v>
      </x:c>
      <x:c r="C1012" s="11" t="str">
        <x:v>Việt: nâng</x:v>
      </x:c>
      <x:c r="D1012" s="11" t="str">
        <x:v>Nguồn từ nguyên/chữ gốc hoặc thành tố được nêu; đọc giới hạn tại ghi chú.</x:v>
      </x:c>
      <x:c r="E1012" s="11" t="str">
        <x:v>Thành tố</x:v>
      </x:c>
      <x:c r="F1012" s="11" t="str">
        <x:v>Việt</x:v>
      </x:c>
      <x:c r="G1012" s="11" t="str">
        <x:v>ET137</x:v>
      </x:c>
      <x:c r="H1012" s="11" t="str">
        <x:v>WOLD — Vietnamese vocabulary (Mark Alves), nâng</x:v>
      </x:c>
      <x:c r="I1012" s="30" t="str">
        <x:v>https://wold.clld.org/word/7215023962624857</x:v>
      </x:c>
      <x:c r="J1012" s="11" t="str">
        <x:v>5. no evidence for borrowing; 
Nguồn biên soạn: Mark Alves, WOLD; dữ liệu v4.2 do nhóm nghiên cứu phát hành, đối chiếu trường ngữ nghĩa. Không suy nguồn gốc mọi thành tố từ nhãn của cả từ ghép.</x:v>
      </x:c>
      <x:c r="K1012" s="11" t="str">
        <x:v>2026-10-29 (KST)</x:v>
      </x:c>
    </x:row>
    <x:row r="1013" ht="75" customHeight="1">
      <x:c r="A1013" s="11" t="str">
        <x:v>Dùng chung (3 mã)</x:v>
      </x:c>
      <x:c r="B1013" s="11" t="str">
        <x:v>Việt</x:v>
      </x:c>
      <x:c r="C1013" s="11" t="str">
        <x:v>Việt: kinh tế</x:v>
      </x:c>
      <x:c r="D1013" s="11" t="str">
        <x:v>Âm/chữ hoặc thành tố Hán Việt; không tự xác nhận nghĩa chuyên ngành.</x:v>
      </x:c>
      <x:c r="E1013" s="11" t="str">
        <x:v>Thành tố</x:v>
      </x:c>
      <x:c r="F1013" s="11" t="str">
        <x:v>Việt</x:v>
      </x:c>
      <x:c r="G1013" s="11" t="str">
        <x:v>ET138</x:v>
      </x:c>
      <x:c r="H1013" s="11" t="str">
        <x:v>Từ điển Hán Nôm, mục kinh tế</x:v>
      </x:c>
      <x:c r="I1013" s="30" t="str">
        <x:v>https://hvdic.thivien.net/hv/kinh%20t%E1%BA%BF</x:v>
      </x:c>
      <x:c r="J1013" s="11" t="str">
        <x:v>Trang từ điển ghi âm Hán Việt và/hoặc mục từ tương ứng với kinh tế. Chỉ dùng cho thành tố được nêu; cấu tạo toàn cụm do người rà soát tổng hợp.
Nguồn biên soạn: Bản điện tử HVdic/Thi Viện; Nguyễn Quốc Hùng</x:v>
      </x:c>
      <x:c r="K1013" s="11" t="str">
        <x:v>2026-10-29 (KST)</x:v>
      </x:c>
    </x:row>
    <x:row r="1014" ht="75" customHeight="1">
      <x:c r="A1014" s="11" t="str">
        <x:v>T168</x:v>
      </x:c>
      <x:c r="B1014" s="11" t="str">
        <x:v>Việt</x:v>
      </x:c>
      <x:c r="C1014" s="11" t="str">
        <x:v>Việt: nhân dân</x:v>
      </x:c>
      <x:c r="D1014" s="11" t="str">
        <x:v>Âm/chữ hoặc thành tố Hán Việt; không tự xác nhận nghĩa chuyên ngành.</x:v>
      </x:c>
      <x:c r="E1014" s="11" t="str">
        <x:v>Thành tố</x:v>
      </x:c>
      <x:c r="F1014" s="11" t="str">
        <x:v>Việt</x:v>
      </x:c>
      <x:c r="G1014" s="11" t="str">
        <x:v>ET139</x:v>
      </x:c>
      <x:c r="H1014" s="11" t="str">
        <x:v>Từ điển Hán Nôm, mục nhân dân</x:v>
      </x:c>
      <x:c r="I1014" s="30" t="str">
        <x:v>https://hvdic.thivien.net/hv/nh%C3%A2n%20d%C3%A2n</x:v>
      </x:c>
      <x:c r="J1014" s="11" t="str">
        <x:v>Trang từ điển ghi âm Hán Việt và/hoặc mục từ tương ứng với nhân dân. Chỉ dùng cho thành tố được nêu; cấu tạo toàn cụm do người rà soát tổng hợp.
Nguồn biên soạn: Bản điện tử HVdic/Thi Viện; Nguyễn Quốc Hùng</x:v>
      </x:c>
      <x:c r="K1014" s="11" t="str">
        <x:v>2026-10-29 (KST)</x:v>
      </x:c>
    </x:row>
    <x:row r="1015" ht="75" customHeight="1">
      <x:c r="A1015" s="11" t="str">
        <x:v>T032</x:v>
      </x:c>
      <x:c r="B1015" s="11" t="str">
        <x:v>Việt</x:v>
      </x:c>
      <x:c r="C1015" s="11" t="str">
        <x:v>Việt: tham nhũng</x:v>
      </x:c>
      <x:c r="D1015" s="11" t="str">
        <x:v>Âm/chữ hoặc thành tố Hán Việt; không tự xác nhận nghĩa chuyên ngành.</x:v>
      </x:c>
      <x:c r="E1015" s="11" t="str">
        <x:v>Thành tố</x:v>
      </x:c>
      <x:c r="F1015" s="11" t="str">
        <x:v>Việt</x:v>
      </x:c>
      <x:c r="G1015" s="11" t="str">
        <x:v>ET140</x:v>
      </x:c>
      <x:c r="H1015" s="11" t="str">
        <x:v>Từ điển Hán Nôm, tham nhũng (冗)</x:v>
      </x:c>
      <x:c r="I1015" s="30" t="str">
        <x:v>https://hvdic.thivien.net/whv/%E5%86%97</x:v>
      </x:c>
      <x:c r="J1015" s="11" t="str">
        <x:v>Mục 冗 ghi nhũng và liệt kê tham nhũng 貪冗.
Nguồn biên soạn: Bản điện tử HVdic/Thi Viện; Nguyễn Quốc Hùng; Thiều Chửu; Trần Văn Chánh</x:v>
      </x:c>
      <x:c r="K1015" s="11" t="str">
        <x:v>2026-10-29 (KST)</x:v>
      </x:c>
    </x:row>
    <x:row r="1016" ht="75" customHeight="1">
      <x:c r="A1016" s="11" t="str">
        <x:v>T033</x:v>
      </x:c>
      <x:c r="B1016" s="11" t="str">
        <x:v>Việt</x:v>
      </x:c>
      <x:c r="C1016" s="11" t="str">
        <x:v>Việt: quản lý</x:v>
      </x:c>
      <x:c r="D1016" s="11" t="str">
        <x:v>Âm/chữ hoặc thành tố Hán Việt; không tự xác nhận nghĩa chuyên ngành.</x:v>
      </x:c>
      <x:c r="E1016" s="11" t="str">
        <x:v>Thành tố</x:v>
      </x:c>
      <x:c r="F1016" s="11" t="str">
        <x:v>Việt</x:v>
      </x:c>
      <x:c r="G1016" s="11" t="str">
        <x:v>ET141</x:v>
      </x:c>
      <x:c r="H1016" s="11" t="str">
        <x:v>Từ điển Hán Nôm, quản lý (管理)</x:v>
      </x:c>
      <x:c r="I1016" s="30" t="str">
        <x:v>https://hvdic.thivien.net/whv/%E7%AE%A1%E7%90%86</x:v>
      </x:c>
      <x:c r="J1016" s="11" t="str">
        <x:v>Mục từ ghi quản lý và dạng chữ 管理.
Nguồn biên soạn: Bản điện tử HVdic/Thi Viện; phổ thông</x:v>
      </x:c>
      <x:c r="K1016" s="11" t="str">
        <x:v>2026-10-29 (KST)</x:v>
      </x:c>
    </x:row>
    <x:row r="1017" ht="75" customHeight="1">
      <x:c r="A1017" s="11" t="str">
        <x:v>Dùng chung (3 mã)</x:v>
      </x:c>
      <x:c r="B1017" s="11" t="str">
        <x:v>Việt</x:v>
      </x:c>
      <x:c r="C1017" s="11" t="str">
        <x:v>Việt: quản trị</x:v>
      </x:c>
      <x:c r="D1017" s="11" t="str">
        <x:v>Âm/chữ hoặc thành tố Hán Việt; không tự xác nhận nghĩa chuyên ngành.</x:v>
      </x:c>
      <x:c r="E1017" s="11" t="str">
        <x:v>Thành tố</x:v>
      </x:c>
      <x:c r="F1017" s="11" t="str">
        <x:v>Việt</x:v>
      </x:c>
      <x:c r="G1017" s="11" t="str">
        <x:v>ET142</x:v>
      </x:c>
      <x:c r="H1017" s="11" t="str">
        <x:v>Từ điển Hán Nôm, quản trị (管治)</x:v>
      </x:c>
      <x:c r="I1017" s="30" t="str">
        <x:v>https://hvdic.thivien.net/whv/%E7%AE%A1%E6%B2%BB</x:v>
      </x:c>
      <x:c r="J1017" s="11" t="str">
        <x:v>Mục từ ghi quản trị và dạng chữ 管治.
Nguồn biên soạn: Bản điện tử HVdic/Thi Viện; Nguyễn Quốc Hùng</x:v>
      </x:c>
      <x:c r="K1017" s="11" t="str">
        <x:v>2026-10-29 (KST)</x:v>
      </x:c>
    </x:row>
    <x:row r="1018" ht="75" customHeight="1">
      <x:c r="A1018" s="11" t="str">
        <x:v>CGI004</x:v>
      </x:c>
      <x:c r="B1018" s="11" t="str">
        <x:v>Việt</x:v>
      </x:c>
      <x:c r="C1018" s="11" t="str">
        <x:v>Việt: tái</x:v>
      </x:c>
      <x:c r="D1018" s="11" t="str">
        <x:v>Âm/chữ hoặc thành tố Hán Việt; không tự xác nhận nghĩa chuyên ngành.</x:v>
      </x:c>
      <x:c r="E1018" s="11" t="str">
        <x:v>Thành tố</x:v>
      </x:c>
      <x:c r="F1018" s="11" t="str">
        <x:v>Việt</x:v>
      </x:c>
      <x:c r="G1018" s="11" t="str">
        <x:v>ET143</x:v>
      </x:c>
      <x:c r="H1018" s="11" t="str">
        <x:v>Từ điển Hán Nôm, mục 再</x:v>
      </x:c>
      <x:c r="I1018" s="30" t="str">
        <x:v>https://hvdic.thivien.net/whv/%E5%86%8D</x:v>
      </x:c>
      <x:c r="J1018" s="11" t="str">
        <x:v>Trang từ điển ghi âm Hán Việt và/hoặc mục từ tương ứng với 再. Chỉ dùng cho thành tố được nêu; cấu tạo toàn cụm do người rà soát tổng hợp.
Nguồn biên soạn: Bản điện tử HVdic/Thi Viện; chuyên mục phổ thông/trích dẫn, trang chưa chỉ rõ người biên soạn riêng mục này</x:v>
      </x:c>
      <x:c r="K1018" s="11" t="str">
        <x:v>2026-10-29 (KST)</x:v>
      </x:c>
    </x:row>
    <x:row r="1019" ht="75" customHeight="1">
      <x:c r="A1019" s="11" t="str">
        <x:v>CGI004</x:v>
      </x:c>
      <x:c r="B1019" s="11" t="str">
        <x:v>Việt</x:v>
      </x:c>
      <x:c r="C1019" s="11" t="str">
        <x:v>Việt: đắc</x:v>
      </x:c>
      <x:c r="D1019" s="11" t="str">
        <x:v>Âm/chữ hoặc thành tố Hán Việt; không tự xác nhận nghĩa chuyên ngành.</x:v>
      </x:c>
      <x:c r="E1019" s="11" t="str">
        <x:v>Thành tố</x:v>
      </x:c>
      <x:c r="F1019" s="11" t="str">
        <x:v>Việt</x:v>
      </x:c>
      <x:c r="G1019" s="11" t="str">
        <x:v>ET144</x:v>
      </x:c>
      <x:c r="H1019" s="11" t="str">
        <x:v>Từ điển Hán Nôm, mục 得</x:v>
      </x:c>
      <x:c r="I1019" s="30" t="str">
        <x:v>https://hvdic.thivien.net/whv/%E5%BE%97</x:v>
      </x:c>
      <x:c r="J1019" s="11" t="str">
        <x:v>Trang từ điển ghi âm Hán Việt và/hoặc mục từ tương ứng với 得. Chỉ dùng cho thành tố được nêu; cấu tạo toàn cụm do người rà soát tổng hợp.
Nguồn biên soạn: Bản điện tử HVdic/Thi Viện; chuyên mục phổ thông/trích dẫn, trang chưa chỉ rõ người biên soạn riêng mục này</x:v>
      </x:c>
      <x:c r="K1019" s="11" t="str">
        <x:v>2026-10-29 (KST)</x:v>
      </x:c>
    </x:row>
    <x:row r="1020" ht="75" customHeight="1">
      <x:c r="A1020" s="11" t="str">
        <x:v>Dùng chung (2 mã)</x:v>
      </x:c>
      <x:c r="B1020" s="11" t="str">
        <x:v>Việt</x:v>
      </x:c>
      <x:c r="C1020" s="11" t="str">
        <x:v>Việt: thăm</x:v>
      </x:c>
      <x:c r="D1020" s="11" t="str">
        <x:v>Nguồn từ nguyên/chữ gốc hoặc thành tố được nêu; đọc giới hạn tại ghi chú.</x:v>
      </x:c>
      <x:c r="E1020" s="11" t="str">
        <x:v>Thành tố</x:v>
      </x:c>
      <x:c r="F1020" s="11" t="str">
        <x:v>Việt</x:v>
      </x:c>
      <x:c r="G1020" s="11" t="str">
        <x:v>ET145</x:v>
      </x:c>
      <x:c r="H1020" s="11" t="str">
        <x:v>Trần Trọng Dương, Nguyễn Trãi Quốc Âm Từ Điển — thăm</x:v>
      </x:c>
      <x:c r="I1020" s="30" t="str">
        <x:v>https://www.nomfoundation.org/nom-tools/Nguyen-Trai-Quoc-Am-Tu-Dien?item=th%C4%83m&amp;uiLang=en</x:v>
      </x:c>
      <x:c r="J1020" s="11" t="str">
        <x:v>Mục thăm 探 ghi âm Hán Việt thám và nghĩa thăm viếng. Căn cứ phân biệt lớp gốc Hán ngoài âm Hán Việt chuẩn với lớp thuần Việt.</x:v>
      </x:c>
      <x:c r="K1020" s="11" t="str">
        <x:v>2026-10-29 (KST)</x:v>
      </x:c>
    </x:row>
    <x:row r="1021" ht="75" customHeight="1">
      <x:c r="A1021" s="11" t="str">
        <x:v>T144</x:v>
      </x:c>
      <x:c r="B1021" s="11" t="str">
        <x:v>Việt</x:v>
      </x:c>
      <x:c r="C1021" s="11" t="str">
        <x:v>Việt: thiết lập</x:v>
      </x:c>
      <x:c r="D1021" s="11" t="str">
        <x:v>Âm/chữ hoặc thành tố Hán Việt; không tự xác nhận nghĩa chuyên ngành.</x:v>
      </x:c>
      <x:c r="E1021" s="11" t="str">
        <x:v>Thành tố</x:v>
      </x:c>
      <x:c r="F1021" s="11" t="str">
        <x:v>Việt</x:v>
      </x:c>
      <x:c r="G1021" s="11" t="str">
        <x:v>ET146</x:v>
      </x:c>
      <x:c r="H1021" s="11" t="str">
        <x:v>Từ điển Hán Nôm, mục 設立</x:v>
      </x:c>
      <x:c r="I1021" s="30" t="str">
        <x:v>https://hvdic.thivien.net/whv/%E8%A8%AD%E7%AB%8B</x:v>
      </x:c>
      <x:c r="J1021" s="11" t="str">
        <x:v>Trang từ điển ghi âm Hán Việt và/hoặc mục từ tương ứng với 設立. Chỉ dùng cho thành tố được nêu; cấu tạo toàn cụm do người rà soát tổng hợp.
Nguồn biên soạn: Bản điện tử HVdic/Thi Viện; Nguyễn Quốc Hùng</x:v>
      </x:c>
      <x:c r="K1021" s="11" t="str">
        <x:v>2026-10-29 (KST)</x:v>
      </x:c>
    </x:row>
    <x:row r="1022" ht="85.5" customHeight="1">
      <x:c r="A1022" s="11" t="str">
        <x:v>Dùng chung (2 mã)</x:v>
      </x:c>
      <x:c r="B1022" s="11" t="str">
        <x:v>Việt</x:v>
      </x:c>
      <x:c r="C1022" s="11" t="str">
        <x:v>Việt: tin</x:v>
      </x:c>
      <x:c r="D1022" s="11" t="str">
        <x:v>Nguồn từ nguyên/chữ gốc hoặc thành tố được nêu; đọc giới hạn tại ghi chú.</x:v>
      </x:c>
      <x:c r="E1022" s="11" t="str">
        <x:v>Thành tố</x:v>
      </x:c>
      <x:c r="F1022" s="11" t="str">
        <x:v>Việt</x:v>
      </x:c>
      <x:c r="G1022" s="11" t="str">
        <x:v>ET147</x:v>
      </x:c>
      <x:c r="H1022" s="11" t="str">
        <x:v>WOLD — Vietnamese vocabulary (Mark Alves), tin</x:v>
      </x:c>
      <x:c r="I1022" s="30" t="str">
        <x:v>https://wold.clld.org/word/7215023686316691</x:v>
      </x:c>
      <x:c r="J1022" s="11" t="str">
        <x:v>2. probably borrowed; This is probably a doublet related to the synonymous Tang Dynasty literary Sino-Vietnamese reading tín.
Nguồn biên soạn: Mark Alves, WOLD; dữ liệu v4.2 do nhóm nghiên cứu phát hành, đối chiếu trường ngữ nghĩa. Không suy nguồn gốc mọi thành tố từ nhãn của cả từ ghép.</x:v>
      </x:c>
      <x:c r="K1022" s="11" t="str">
        <x:v>2026-10-29 (KST)</x:v>
      </x:c>
    </x:row>
    <x:row r="1023" ht="75" customHeight="1">
      <x:c r="A1023" s="11" t="str">
        <x:v>T180</x:v>
      </x:c>
      <x:c r="B1023" s="11" t="str">
        <x:v>Việt</x:v>
      </x:c>
      <x:c r="C1023" s="11" t="str">
        <x:v>Việt: đối ngoại</x:v>
      </x:c>
      <x:c r="D1023" s="11" t="str">
        <x:v>Âm/chữ hoặc thành tố Hán Việt; không tự xác nhận nghĩa chuyên ngành.</x:v>
      </x:c>
      <x:c r="E1023" s="11" t="str">
        <x:v>Thành tố</x:v>
      </x:c>
      <x:c r="F1023" s="11" t="str">
        <x:v>Việt</x:v>
      </x:c>
      <x:c r="G1023" s="11" t="str">
        <x:v>ET148</x:v>
      </x:c>
      <x:c r="H1023" s="11" t="str">
        <x:v>Từ điển Hán Nôm, mục đối ngoại</x:v>
      </x:c>
      <x:c r="I1023" s="30" t="str">
        <x:v>https://hvdic.thivien.net/hv/%C4%91%E1%BB%91i%20ngo%E1%BA%A1i</x:v>
      </x:c>
      <x:c r="J1023" s="11" t="str">
        <x:v>Trang từ điển ghi âm Hán Việt và/hoặc mục từ tương ứng với đối ngoại. Chỉ dùng cho thành tố được nêu; cấu tạo toàn cụm do người rà soát tổng hợp.
Nguồn biên soạn: Bản điện tử HVdic/Thi Viện; Nguyễn Quốc Hùng</x:v>
      </x:c>
      <x:c r="K1023" s="11" t="str">
        <x:v>2026-10-29 (KST)</x:v>
      </x:c>
    </x:row>
    <x:row r="1024" ht="75" customHeight="1">
      <x:c r="A1024" s="11" t="str">
        <x:v>Dùng chung (2 mã)</x:v>
      </x:c>
      <x:c r="B1024" s="11" t="str">
        <x:v>Việt</x:v>
      </x:c>
      <x:c r="C1024" s="11" t="str">
        <x:v>Việt: pháp luật</x:v>
      </x:c>
      <x:c r="D1024" s="11" t="str">
        <x:v>Âm/chữ hoặc thành tố Hán Việt; không tự xác nhận nghĩa chuyên ngành.</x:v>
      </x:c>
      <x:c r="E1024" s="11" t="str">
        <x:v>Thành tố</x:v>
      </x:c>
      <x:c r="F1024" s="11" t="str">
        <x:v>Việt</x:v>
      </x:c>
      <x:c r="G1024" s="11" t="str">
        <x:v>ET149</x:v>
      </x:c>
      <x:c r="H1024" s="11" t="str">
        <x:v>Từ điển Hán Nôm, mục 法律</x:v>
      </x:c>
      <x:c r="I1024" s="30" t="str">
        <x:v>https://hvdic.thivien.net/whv/%E6%B3%95%E5%BE%8B</x:v>
      </x:c>
      <x:c r="J1024" s="11" t="str">
        <x:v>Trang từ điển ghi âm Hán Việt và/hoặc mục từ tương ứng với 法律. Chỉ dùng cho thành tố được nêu; cấu tạo toàn cụm do người rà soát tổng hợp.
Nguồn biên soạn: Bản điện tử HVdic/Thi Viện; Nguyễn Quốc Hùng</x:v>
      </x:c>
      <x:c r="K1024" s="11" t="str">
        <x:v>2026-10-29 (KST)</x:v>
      </x:c>
    </x:row>
    <x:row r="1025" ht="85.5" customHeight="1">
      <x:c r="A1025" s="11" t="str">
        <x:v>M045</x:v>
      </x:c>
      <x:c r="B1025" s="11" t="str">
        <x:v>Việt</x:v>
      </x:c>
      <x:c r="C1025" s="11" t="str">
        <x:v>Việt: trên</x:v>
      </x:c>
      <x:c r="D1025" s="11" t="str">
        <x:v>Nguồn từ nguyên/chữ gốc hoặc thành tố được nêu; đọc giới hạn tại ghi chú.</x:v>
      </x:c>
      <x:c r="E1025" s="11" t="str">
        <x:v>Thành tố</x:v>
      </x:c>
      <x:c r="F1025" s="11" t="str">
        <x:v>Việt</x:v>
      </x:c>
      <x:c r="G1025" s="11" t="str">
        <x:v>ET150</x:v>
      </x:c>
      <x:c r="H1025" s="11" t="str">
        <x:v>WOLD — Vietnamese vocabulary (Mark Alves), trên</x:v>
      </x:c>
      <x:c r="I1025" s="30" t="str">
        <x:v>https://wold.clld.org/word/7215023740166578</x:v>
      </x:c>
      <x:c r="J1025" s="11" t="str">
        <x:v>5. no evidence for borrowing; The proto-Vietic form is identified in Ferlus ms.  This is derivationally related to lên ‘up/to rise’.
Nguồn biên soạn: Mark Alves, WOLD; dữ liệu v4.2 do nhóm nghiên cứu phát hành, đối chiếu trường ngữ nghĩa. Không suy nguồn gốc mọi thành tố từ nhãn của cả từ ghép.</x:v>
      </x:c>
      <x:c r="K1025" s="11" t="str">
        <x:v>2026-10-29 (KST)</x:v>
      </x:c>
    </x:row>
    <x:row r="1026" ht="75" customHeight="1">
      <x:c r="A1026" s="11" t="str">
        <x:v>T069</x:v>
      </x:c>
      <x:c r="B1026" s="11" t="str">
        <x:v>Việt</x:v>
      </x:c>
      <x:c r="C1026" s="11" t="str">
        <x:v>Việt: biên chế</x:v>
      </x:c>
      <x:c r="D1026" s="11" t="str">
        <x:v>Âm/chữ hoặc thành tố Hán Việt; không tự xác nhận nghĩa chuyên ngành.</x:v>
      </x:c>
      <x:c r="E1026" s="11" t="str">
        <x:v>Thành tố</x:v>
      </x:c>
      <x:c r="F1026" s="11" t="str">
        <x:v>Việt</x:v>
      </x:c>
      <x:c r="G1026" s="11" t="str">
        <x:v>ET151</x:v>
      </x:c>
      <x:c r="H1026" s="11" t="str">
        <x:v>Từ điển Hán Nôm, mục 編制</x:v>
      </x:c>
      <x:c r="I1026" s="30" t="str">
        <x:v>https://hvdic.thivien.net/whv/%E7%B7%A8%E5%88%B6</x:v>
      </x:c>
      <x:c r="J1026" s="11" t="str">
        <x:v>Trang từ điển ghi âm Hán Việt và/hoặc mục từ tương ứng với 編制. Chỉ dùng cho thành tố được nêu; cấu tạo toàn cụm do người rà soát tổng hợp.
Nguồn biên soạn: Bản điện tử HVdic/Thi Viện; Nguyễn Quốc Hùng</x:v>
      </x:c>
      <x:c r="K1026" s="11" t="str">
        <x:v>2026-10-29 (KST)</x:v>
      </x:c>
    </x:row>
    <x:row r="1027" ht="75" customHeight="1">
      <x:c r="A1027" s="11" t="str">
        <x:v>Dùng chung (5 mã)</x:v>
      </x:c>
      <x:c r="B1027" s="11" t="str">
        <x:v>Việt</x:v>
      </x:c>
      <x:c r="C1027" s="11" t="str">
        <x:v>Việt: đoàn; Việt: Phái đoàn; Việt: Đoàn</x:v>
      </x:c>
      <x:c r="D1027" s="11" t="str">
        <x:v>Âm/chữ hoặc thành tố Hán Việt; không tự xác nhận nghĩa chuyên ngành.</x:v>
      </x:c>
      <x:c r="E1027" s="11" t="str">
        <x:v>Thành tố</x:v>
      </x:c>
      <x:c r="F1027" s="11" t="str">
        <x:v>Việt</x:v>
      </x:c>
      <x:c r="G1027" s="11" t="str">
        <x:v>ET152</x:v>
      </x:c>
      <x:c r="H1027" s="11" t="str">
        <x:v>Từ điển Hán Nôm, mục 團</x:v>
      </x:c>
      <x:c r="I1027" s="30" t="str">
        <x:v>https://hvdic.thivien.net/whv/%E5%9C%98</x:v>
      </x:c>
      <x:c r="J1027" s="11" t="str">
        <x:v>Trang từ điển ghi âm Hán Việt và/hoặc mục từ tương ứng với 團. Chỉ dùng cho thành tố được nêu; cấu tạo toàn cụm do người rà soát tổng hợp.
Nguồn biên soạn: Bản điện tử HVdic/Thi Viện; chuyên mục phổ thông/trích dẫn, trang chưa chỉ rõ người biên soạn riêng mục này</x:v>
      </x:c>
      <x:c r="K1027" s="11" t="str">
        <x:v>2026-10-29 (KST)</x:v>
      </x:c>
    </x:row>
    <x:row r="1028" ht="75" customHeight="1">
      <x:c r="A1028" s="11" t="str">
        <x:v>T026</x:v>
      </x:c>
      <x:c r="B1028" s="11" t="str">
        <x:v>Việt</x:v>
      </x:c>
      <x:c r="C1028" s="11" t="str">
        <x:v>Việt: xây dựng</x:v>
      </x:c>
      <x:c r="D1028" s="11" t="str">
        <x:v>Nguồn từ nguyên/chữ gốc hoặc thành tố được nêu; đọc giới hạn tại ghi chú.</x:v>
      </x:c>
      <x:c r="E1028" s="11" t="str">
        <x:v>Thành tố</x:v>
      </x:c>
      <x:c r="F1028" s="11" t="str">
        <x:v>Việt</x:v>
      </x:c>
      <x:c r="G1028" s="11" t="str">
        <x:v>ET153</x:v>
      </x:c>
      <x:c r="H1028" s="11" t="str">
        <x:v>WOLD — Vietnamese vocabulary (Mark Alves), xây dựng</x:v>
      </x:c>
      <x:c r="I1028" s="30" t="str">
        <x:v>https://wold.clld.org/word/7215023213357530</x:v>
      </x:c>
      <x:c r="J1028" s="11" t="str">
        <x:v>5. no evidence for borrowing; 
Nguồn biên soạn: Mark Alves, WOLD; dữ liệu v4.2 do nhóm nghiên cứu phát hành, đối chiếu trường ngữ nghĩa. Không suy nguồn gốc mọi thành tố từ nhãn của cả từ ghép.</x:v>
      </x:c>
      <x:c r="K1028" s="11" t="str">
        <x:v>2026-10-29 (KST)</x:v>
      </x:c>
    </x:row>
    <x:row r="1029" ht="75" customHeight="1">
      <x:c r="A1029" s="11" t="str">
        <x:v>M020</x:v>
      </x:c>
      <x:c r="B1029" s="11" t="str">
        <x:v>Việt</x:v>
      </x:c>
      <x:c r="C1029" s="11" t="str">
        <x:v>Việt: bản</x:v>
      </x:c>
      <x:c r="D1029" s="11" t="str">
        <x:v>Âm/chữ hoặc thành tố Hán Việt; không tự xác nhận nghĩa chuyên ngành.</x:v>
      </x:c>
      <x:c r="E1029" s="11" t="str">
        <x:v>Thành tố</x:v>
      </x:c>
      <x:c r="F1029" s="11" t="str">
        <x:v>Việt</x:v>
      </x:c>
      <x:c r="G1029" s="11" t="str">
        <x:v>ET154</x:v>
      </x:c>
      <x:c r="H1029" s="11" t="str">
        <x:v>Từ điển Hán Nôm, mục 本</x:v>
      </x:c>
      <x:c r="I1029" s="30" t="str">
        <x:v>https://hvdic.thivien.net/whv/%E6%9C%AC</x:v>
      </x:c>
      <x:c r="J1029" s="11" t="str">
        <x:v>Trang từ điển ghi âm Hán Việt và/hoặc mục từ tương ứng với 本. Chỉ dùng cho thành tố được nêu; cấu tạo toàn cụm do người rà soát tổng hợp.
Nguồn biên soạn: Bản điện tử HVdic/Thi Viện; chuyên mục phổ thông/trích dẫn, trang chưa chỉ rõ người biên soạn riêng mục này</x:v>
      </x:c>
      <x:c r="K1029" s="11" t="str">
        <x:v>2026-10-29 (KST)</x:v>
      </x:c>
    </x:row>
    <x:row r="1030" ht="85.5" customHeight="1">
      <x:c r="A1030" s="11" t="str">
        <x:v>M020</x:v>
      </x:c>
      <x:c r="B1030" s="11" t="str">
        <x:v>Việt</x:v>
      </x:c>
      <x:c r="C1030" s="11" t="str">
        <x:v>Việt: nhớ</x:v>
      </x:c>
      <x:c r="D1030" s="11" t="str">
        <x:v>Nguồn từ nguyên/chữ gốc hoặc thành tố được nêu; đọc giới hạn tại ghi chú.</x:v>
      </x:c>
      <x:c r="E1030" s="11" t="str">
        <x:v>Thành tố</x:v>
      </x:c>
      <x:c r="F1030" s="11" t="str">
        <x:v>Việt</x:v>
      </x:c>
      <x:c r="G1030" s="11" t="str">
        <x:v>ET155</x:v>
      </x:c>
      <x:c r="H1030" s="11" t="str">
        <x:v>WOLD — Vietnamese vocabulary (Mark Alves), nhớ</x:v>
      </x:c>
      <x:c r="I1030" s="30" t="str">
        <x:v>https://wold.clld.org/word/7215023576635658</x:v>
      </x:c>
      <x:c r="J1030" s="11" t="str">
        <x:v>5. no evidence for borrowing; The proto-Vietic form is identified in Ferlus ms.
Nguồn biên soạn: Mark Alves, WOLD; dữ liệu v4.2 do nhóm nghiên cứu phát hành, đối chiếu trường ngữ nghĩa. Không suy nguồn gốc mọi thành tố từ nhãn của cả từ ghép.</x:v>
      </x:c>
      <x:c r="K1030" s="11" t="str">
        <x:v>2026-10-29 (KST)</x:v>
      </x:c>
    </x:row>
    <x:row r="1031" ht="75" customHeight="1">
      <x:c r="A1031" s="11" t="str">
        <x:v>CGI001</x:v>
      </x:c>
      <x:c r="B1031" s="11" t="str">
        <x:v>Việt</x:v>
      </x:c>
      <x:c r="C1031" s="11" t="str">
        <x:v>Việt: báo cáo</x:v>
      </x:c>
      <x:c r="D1031" s="11" t="str">
        <x:v>Âm/chữ hoặc thành tố Hán Việt; không tự xác nhận nghĩa chuyên ngành.</x:v>
      </x:c>
      <x:c r="E1031" s="11" t="str">
        <x:v>Thành tố</x:v>
      </x:c>
      <x:c r="F1031" s="11" t="str">
        <x:v>Việt</x:v>
      </x:c>
      <x:c r="G1031" s="11" t="str">
        <x:v>ET156</x:v>
      </x:c>
      <x:c r="H1031" s="11" t="str">
        <x:v>Từ điển Hán Nôm, mục 報告</x:v>
      </x:c>
      <x:c r="I1031" s="30" t="str">
        <x:v>https://hvdic.thivien.net/whv/%E5%A0%B1%E5%91%8A</x:v>
      </x:c>
      <x:c r="J1031" s="11" t="str">
        <x:v>Trang từ điển ghi âm Hán Việt và/hoặc mục từ tương ứng với 報告. Chỉ dùng cho thành tố được nêu; cấu tạo toàn cụm do người rà soát tổng hợp.
Nguồn biên soạn: Bản điện tử HVdic/Thi Viện; Nguyễn Quốc Hùng</x:v>
      </x:c>
      <x:c r="K1031" s="11" t="str">
        <x:v>2026-10-29 (KST)</x:v>
      </x:c>
    </x:row>
    <x:row r="1032" ht="75" customHeight="1">
      <x:c r="A1032" s="11" t="str">
        <x:v>Dùng chung (3 mã)</x:v>
      </x:c>
      <x:c r="B1032" s="11" t="str">
        <x:v>Việt</x:v>
      </x:c>
      <x:c r="C1032" s="11" t="str">
        <x:v>Việt: Công ước</x:v>
      </x:c>
      <x:c r="D1032" s="11" t="str">
        <x:v>Âm/chữ hoặc thành tố Hán Việt; không tự xác nhận nghĩa chuyên ngành.</x:v>
      </x:c>
      <x:c r="E1032" s="11" t="str">
        <x:v>Thành tố</x:v>
      </x:c>
      <x:c r="F1032" s="11" t="str">
        <x:v>Việt</x:v>
      </x:c>
      <x:c r="G1032" s="11" t="str">
        <x:v>ET157</x:v>
      </x:c>
      <x:c r="H1032" s="11" t="str">
        <x:v>Từ điển Hán Nôm, mục 公約</x:v>
      </x:c>
      <x:c r="I1032" s="30" t="str">
        <x:v>https://hvdic.thivien.net/whv/%E5%85%AC%E7%B4%84</x:v>
      </x:c>
      <x:c r="J1032" s="11" t="str">
        <x:v>Trang từ điển ghi âm Hán Việt và/hoặc mục từ tương ứng với 公約. Chỉ dùng cho thành tố được nêu; cấu tạo toàn cụm do người rà soát tổng hợp.
Nguồn biên soạn: Bản điện tử HVdic/Thi Viện; chuyên mục phổ thông/trích dẫn, trang chưa chỉ rõ người biên soạn riêng mục này</x:v>
      </x:c>
      <x:c r="K1032" s="11" t="str">
        <x:v>2026-10-29 (KST)</x:v>
      </x:c>
    </x:row>
    <x:row r="1033" ht="85.5" customHeight="1">
      <x:c r="A1033" s="11" t="str">
        <x:v>Dùng chung (4 mã)</x:v>
      </x:c>
      <x:c r="B1033" s="11" t="str">
        <x:v>Việt</x:v>
      </x:c>
      <x:c r="C1033" s="11" t="str">
        <x:v>Việt: về</x:v>
      </x:c>
      <x:c r="D1033" s="11" t="str">
        <x:v>Nguồn từ nguyên/chữ gốc hoặc thành tố được nêu; đọc giới hạn tại ghi chú.</x:v>
      </x:c>
      <x:c r="E1033" s="11" t="str">
        <x:v>Thành tố</x:v>
      </x:c>
      <x:c r="F1033" s="11" t="str">
        <x:v>Việt</x:v>
      </x:c>
      <x:c r="G1033" s="11" t="str">
        <x:v>ET158</x:v>
      </x:c>
      <x:c r="H1033" s="11" t="str">
        <x:v>WOLD — Vietnamese vocabulary (Mark Alves), về</x:v>
      </x:c>
      <x:c r="I1033" s="30" t="str">
        <x:v>https://wold.clld.org/word/7215023478415330</x:v>
      </x:c>
      <x:c r="J1033" s="11" t="str">
        <x:v>2. probably borrowed; This is probably a doublet related to the synonymous Tang Dynasty literary Sino-Vietnamese reading hồi.
Nguồn biên soạn: Mark Alves, WOLD; dữ liệu v4.2 do nhóm nghiên cứu phát hành, đối chiếu trường ngữ nghĩa. Không suy nguồn gốc mọi thành tố từ nhãn của cả từ ghép.</x:v>
      </x:c>
      <x:c r="K1033" s="11" t="str">
        <x:v>2026-10-29 (KST)</x:v>
      </x:c>
    </x:row>
    <x:row r="1034" ht="75" customHeight="1">
      <x:c r="A1034" s="11" t="str">
        <x:v>T054</x:v>
      </x:c>
      <x:c r="B1034" s="11" t="str">
        <x:v>Việt</x:v>
      </x:c>
      <x:c r="C1034" s="11" t="str">
        <x:v>Việt: cương lĩnh</x:v>
      </x:c>
      <x:c r="D1034" s="11" t="str">
        <x:v>Âm/chữ hoặc thành tố Hán Việt; không tự xác nhận nghĩa chuyên ngành.</x:v>
      </x:c>
      <x:c r="E1034" s="11" t="str">
        <x:v>Thành tố</x:v>
      </x:c>
      <x:c r="F1034" s="11" t="str">
        <x:v>Việt</x:v>
      </x:c>
      <x:c r="G1034" s="11" t="str">
        <x:v>ET159</x:v>
      </x:c>
      <x:c r="H1034" s="11" t="str">
        <x:v>Từ điển Hán Nôm, mục 綱領</x:v>
      </x:c>
      <x:c r="I1034" s="30" t="str">
        <x:v>https://hvdic.thivien.net/whv/%E7%B6%B1%E9%A0%98</x:v>
      </x:c>
      <x:c r="J1034" s="11" t="str">
        <x:v>Trang từ điển ghi âm Hán Việt và/hoặc mục từ tương ứng với 綱領. Chỉ dùng cho thành tố được nêu; cấu tạo toàn cụm do người rà soát tổng hợp.
Nguồn biên soạn: Bản điện tử HVdic/Thi Viện; Nguyễn Quốc Hùng</x:v>
      </x:c>
      <x:c r="K1034" s="11" t="str">
        <x:v>2026-10-29 (KST)</x:v>
      </x:c>
    </x:row>
    <x:row r="1035" ht="75" customHeight="1">
      <x:c r="A1035" s="11" t="str">
        <x:v>T058</x:v>
      </x:c>
      <x:c r="B1035" s="11" t="str">
        <x:v>Việt</x:v>
      </x:c>
      <x:c r="C1035" s="11" t="str">
        <x:v>Việt: Điều lệ</x:v>
      </x:c>
      <x:c r="D1035" s="11" t="str">
        <x:v>Âm/chữ hoặc thành tố Hán Việt; không tự xác nhận nghĩa chuyên ngành.</x:v>
      </x:c>
      <x:c r="E1035" s="11" t="str">
        <x:v>Thành tố</x:v>
      </x:c>
      <x:c r="F1035" s="11" t="str">
        <x:v>Việt</x:v>
      </x:c>
      <x:c r="G1035" s="11" t="str">
        <x:v>ET160</x:v>
      </x:c>
      <x:c r="H1035" s="11" t="str">
        <x:v>Từ điển Hán Nôm, mục 條例</x:v>
      </x:c>
      <x:c r="I1035" s="30" t="str">
        <x:v>https://hvdic.thivien.net/whv/%E6%A2%9D%E4%BE%8B</x:v>
      </x:c>
      <x:c r="J1035" s="11" t="str">
        <x:v>Trang từ điển ghi âm Hán Việt và/hoặc mục từ tương ứng với 條例. Chỉ dùng cho thành tố được nêu; cấu tạo toàn cụm do người rà soát tổng hợp.
Nguồn biên soạn: Bản điện tử HVdic/Thi Viện; Nguyễn Quốc Hùng</x:v>
      </x:c>
      <x:c r="K1035" s="11" t="str">
        <x:v>2026-10-29 (KST)</x:v>
      </x:c>
    </x:row>
    <x:row r="1036" ht="75" customHeight="1">
      <x:c r="A1036" s="11" t="str">
        <x:v>T152</x:v>
      </x:c>
      <x:c r="B1036" s="11" t="str">
        <x:v>Việt</x:v>
      </x:c>
      <x:c r="C1036" s="11" t="str">
        <x:v>Việt: Hiến chương</x:v>
      </x:c>
      <x:c r="D1036" s="11" t="str">
        <x:v>Âm/chữ hoặc thành tố Hán Việt; không tự xác nhận nghĩa chuyên ngành.</x:v>
      </x:c>
      <x:c r="E1036" s="11" t="str">
        <x:v>Thành tố</x:v>
      </x:c>
      <x:c r="F1036" s="11" t="str">
        <x:v>Việt</x:v>
      </x:c>
      <x:c r="G1036" s="11" t="str">
        <x:v>ET161</x:v>
      </x:c>
      <x:c r="H1036" s="11" t="str">
        <x:v>Từ điển Hán Nôm, mục 憲章</x:v>
      </x:c>
      <x:c r="I1036" s="30" t="str">
        <x:v>https://hvdic.thivien.net/whv/%E6%86%B2%E7%AB%A0</x:v>
      </x:c>
      <x:c r="J1036" s="11" t="str">
        <x:v>Trang từ điển ghi âm Hán Việt và/hoặc mục từ tương ứng với 憲章. Chỉ dùng cho thành tố được nêu; cấu tạo toàn cụm do người rà soát tổng hợp.
Nguồn biên soạn: Bản điện tử HVdic/Thi Viện; Nguyễn Quốc Hùng</x:v>
      </x:c>
      <x:c r="K1036" s="11" t="str">
        <x:v>2026-10-29 (KST)</x:v>
      </x:c>
    </x:row>
    <x:row r="1037" ht="75" customHeight="1">
      <x:c r="A1037" s="11" t="str">
        <x:v>T044</x:v>
      </x:c>
      <x:c r="B1037" s="11" t="str">
        <x:v>Việt</x:v>
      </x:c>
      <x:c r="C1037" s="11" t="str">
        <x:v>Việt: Hiến pháp</x:v>
      </x:c>
      <x:c r="D1037" s="11" t="str">
        <x:v>Âm/chữ hoặc thành tố Hán Việt; không tự xác nhận nghĩa chuyên ngành.</x:v>
      </x:c>
      <x:c r="E1037" s="11" t="str">
        <x:v>Thành tố</x:v>
      </x:c>
      <x:c r="F1037" s="11" t="str">
        <x:v>Việt</x:v>
      </x:c>
      <x:c r="G1037" s="11" t="str">
        <x:v>ET162</x:v>
      </x:c>
      <x:c r="H1037" s="11" t="str">
        <x:v>Từ điển Hán Nôm, mục 憲法</x:v>
      </x:c>
      <x:c r="I1037" s="30" t="str">
        <x:v>https://hvdic.thivien.net/whv/%E6%86%B2%E6%B3%95</x:v>
      </x:c>
      <x:c r="J1037" s="11" t="str">
        <x:v>Trang từ điển ghi âm Hán Việt và/hoặc mục từ tương ứng với 憲法. Chỉ dùng cho thành tố được nêu; cấu tạo toàn cụm do người rà soát tổng hợp.
Nguồn biên soạn: Bản điện tử HVdic/Thi Viện; Nguyễn Quốc Hùng</x:v>
      </x:c>
      <x:c r="K1037" s="11" t="str">
        <x:v>2026-10-29 (KST)</x:v>
      </x:c>
    </x:row>
    <x:row r="1038" ht="75" customHeight="1">
      <x:c r="A1038" s="11" t="str">
        <x:v>M018</x:v>
      </x:c>
      <x:c r="B1038" s="11" t="str">
        <x:v>Việt</x:v>
      </x:c>
      <x:c r="C1038" s="11" t="str">
        <x:v>Việt: Kế hoạch</x:v>
      </x:c>
      <x:c r="D1038" s="11" t="str">
        <x:v>Âm/chữ hoặc thành tố Hán Việt; không tự xác nhận nghĩa chuyên ngành.</x:v>
      </x:c>
      <x:c r="E1038" s="11" t="str">
        <x:v>Thành tố</x:v>
      </x:c>
      <x:c r="F1038" s="11" t="str">
        <x:v>Việt</x:v>
      </x:c>
      <x:c r="G1038" s="11" t="str">
        <x:v>ET163</x:v>
      </x:c>
      <x:c r="H1038" s="11" t="str">
        <x:v>Từ điển Hán Nôm, mục 計劃</x:v>
      </x:c>
      <x:c r="I1038" s="30" t="str">
        <x:v>https://hvdic.thivien.net/whv/%E8%A8%88%E5%8A%83</x:v>
      </x:c>
      <x:c r="J1038" s="11" t="str">
        <x:v>Trang từ điển ghi âm Hán Việt và/hoặc mục từ tương ứng với 計劃. Chỉ dùng cho thành tố được nêu; cấu tạo toàn cụm do người rà soát tổng hợp.
Nguồn biên soạn: Bản điện tử HVdic/Thi Viện; chuyên mục phổ thông/trích dẫn, trang chưa chỉ rõ người biên soạn riêng mục này</x:v>
      </x:c>
      <x:c r="K1038" s="11" t="str">
        <x:v>2026-10-29 (KST)</x:v>
      </x:c>
    </x:row>
    <x:row r="1039" ht="75" customHeight="1">
      <x:c r="A1039" s="11" t="str">
        <x:v>Dùng chung (2 mã)</x:v>
      </x:c>
      <x:c r="B1039" s="11" t="str">
        <x:v>Việt</x:v>
      </x:c>
      <x:c r="C1039" s="11" t="str">
        <x:v>Việt: hành động</x:v>
      </x:c>
      <x:c r="D1039" s="11" t="str">
        <x:v>Âm/chữ hoặc thành tố Hán Việt; không tự xác nhận nghĩa chuyên ngành.</x:v>
      </x:c>
      <x:c r="E1039" s="11" t="str">
        <x:v>Thành tố</x:v>
      </x:c>
      <x:c r="F1039" s="11" t="str">
        <x:v>Việt</x:v>
      </x:c>
      <x:c r="G1039" s="11" t="str">
        <x:v>ET164</x:v>
      </x:c>
      <x:c r="H1039" s="11" t="str">
        <x:v>Từ điển Hán Nôm, mục 行動</x:v>
      </x:c>
      <x:c r="I1039" s="30" t="str">
        <x:v>https://hvdic.thivien.net/whv/%E8%A1%8C%E5%8B%95</x:v>
      </x:c>
      <x:c r="J1039" s="11" t="str">
        <x:v>Trang từ điển ghi âm Hán Việt và/hoặc mục từ tương ứng với 行動. Chỉ dùng cho thành tố được nêu; cấu tạo toàn cụm do người rà soát tổng hợp.
Nguồn biên soạn: Bản điện tử HVdic/Thi Viện; Nguyễn Quốc Hùng</x:v>
      </x:c>
      <x:c r="K1039" s="11" t="str">
        <x:v>2026-10-29 (KST)</x:v>
      </x:c>
    </x:row>
    <x:row r="1040" ht="75" customHeight="1">
      <x:c r="A1040" s="11" t="str">
        <x:v>Dùng chung (4 mã)</x:v>
      </x:c>
      <x:c r="B1040" s="11" t="str">
        <x:v>Việt</x:v>
      </x:c>
      <x:c r="C1040" s="11" t="str">
        <x:v>Việt: nghị; Việt: nghị sĩ; Việt: Nghị</x:v>
      </x:c>
      <x:c r="D1040" s="11" t="str">
        <x:v>Âm/chữ hoặc thành tố Hán Việt; không tự xác nhận nghĩa chuyên ngành.</x:v>
      </x:c>
      <x:c r="E1040" s="11" t="str">
        <x:v>Thành tố</x:v>
      </x:c>
      <x:c r="F1040" s="11" t="str">
        <x:v>Việt</x:v>
      </x:c>
      <x:c r="G1040" s="11" t="str">
        <x:v>ET165</x:v>
      </x:c>
      <x:c r="H1040" s="11" t="str">
        <x:v>Từ điển Hán Nôm, mục 議</x:v>
      </x:c>
      <x:c r="I1040" s="30" t="str">
        <x:v>https://hvdic.thivien.net/whv/%E8%AD%B0</x:v>
      </x:c>
      <x:c r="J1040" s="11" t="str">
        <x:v>Trang từ điển ghi âm Hán Việt và/hoặc mục từ tương ứng với 議. Chỉ dùng cho thành tố được nêu; cấu tạo toàn cụm do người rà soát tổng hợp.
Nguồn biên soạn: Bản điện tử HVdic/Thi Viện; chuyên mục phổ thông/trích dẫn, trang chưa chỉ rõ người biên soạn riêng mục này</x:v>
      </x:c>
      <x:c r="K1040" s="11" t="str">
        <x:v>2026-10-29 (KST)</x:v>
      </x:c>
    </x:row>
    <x:row r="1041" ht="75" customHeight="1">
      <x:c r="A1041" s="11" t="str">
        <x:v>Dùng chung (2 mã)</x:v>
      </x:c>
      <x:c r="B1041" s="11" t="str">
        <x:v>Việt</x:v>
      </x:c>
      <x:c r="C1041" s="11" t="str">
        <x:v>Việt: quyết; Việt: giải quyết</x:v>
      </x:c>
      <x:c r="D1041" s="11" t="str">
        <x:v>Âm/chữ hoặc thành tố Hán Việt; không tự xác nhận nghĩa chuyên ngành.</x:v>
      </x:c>
      <x:c r="E1041" s="11" t="str">
        <x:v>Thành tố</x:v>
      </x:c>
      <x:c r="F1041" s="11" t="str">
        <x:v>Việt</x:v>
      </x:c>
      <x:c r="G1041" s="11" t="str">
        <x:v>ET166</x:v>
      </x:c>
      <x:c r="H1041" s="11" t="str">
        <x:v>Từ điển Hán Nôm, mục 決</x:v>
      </x:c>
      <x:c r="I1041" s="30" t="str">
        <x:v>https://hvdic.thivien.net/whv/%E6%B1%BA</x:v>
      </x:c>
      <x:c r="J1041" s="11" t="str">
        <x:v>Trang từ điển ghi âm Hán Việt và/hoặc mục từ tương ứng với 決. Chỉ dùng cho thành tố được nêu; cấu tạo toàn cụm do người rà soát tổng hợp.
Nguồn biên soạn: Bản điện tử HVdic/Thi Viện; chuyên mục phổ thông/trích dẫn, trang chưa chỉ rõ người biên soạn riêng mục này</x:v>
      </x:c>
      <x:c r="K1041" s="11" t="str">
        <x:v>2026-10-29 (KST)</x:v>
      </x:c>
    </x:row>
    <x:row r="1042" ht="75" customHeight="1">
      <x:c r="A1042" s="11" t="str">
        <x:v>M007</x:v>
      </x:c>
      <x:c r="B1042" s="11" t="str">
        <x:v>Việt</x:v>
      </x:c>
      <x:c r="C1042" s="11" t="str">
        <x:v>Việt: Tầm</x:v>
      </x:c>
      <x:c r="D1042" s="11" t="str">
        <x:v>Âm/chữ hoặc thành tố Hán Việt; không tự xác nhận nghĩa chuyên ngành.</x:v>
      </x:c>
      <x:c r="E1042" s="11" t="str">
        <x:v>Thành tố</x:v>
      </x:c>
      <x:c r="F1042" s="11" t="str">
        <x:v>Việt</x:v>
      </x:c>
      <x:c r="G1042" s="11" t="str">
        <x:v>ET167</x:v>
      </x:c>
      <x:c r="H1042" s="11" t="str">
        <x:v>Từ điển Hán Nôm, tầm (尋)</x:v>
      </x:c>
      <x:c r="I1042" s="30" t="str">
        <x:v>https://hvdic.thivien.net/whv/%E5%B0%8B</x:v>
      </x:c>
      <x:c r="J1042" s="11" t="str">
        <x:v>Mục từ ghi tầm và dạng chữ 尋.
Nguồn biên soạn: Bản điện tử HVdic/Thi Viện; Nguyễn Quốc Hùng; Thiều Chửu</x:v>
      </x:c>
      <x:c r="K1042" s="11" t="str">
        <x:v>2026-10-29 (KST)</x:v>
      </x:c>
    </x:row>
    <x:row r="1043" ht="75" customHeight="1">
      <x:c r="A1043" s="11" t="str">
        <x:v>M007</x:v>
      </x:c>
      <x:c r="B1043" s="11" t="str">
        <x:v>Việt</x:v>
      </x:c>
      <x:c r="C1043" s="11" t="str">
        <x:v>Việt: nhìn</x:v>
      </x:c>
      <x:c r="D1043" s="11" t="str">
        <x:v>Nguồn từ nguyên/chữ gốc hoặc thành tố được nêu; đọc giới hạn tại ghi chú.</x:v>
      </x:c>
      <x:c r="E1043" s="11" t="str">
        <x:v>Thành tố</x:v>
      </x:c>
      <x:c r="F1043" s="11" t="str">
        <x:v>Việt</x:v>
      </x:c>
      <x:c r="G1043" s="11" t="str">
        <x:v>ET168</x:v>
      </x:c>
      <x:c r="H1043" s="11" t="str">
        <x:v>WOLD — Vietnamese vocabulary (Mark Alves), nhìn</x:v>
      </x:c>
      <x:c r="I1043" s="30" t="str">
        <x:v>https://wold.clld.org/word/7215023914857712</x:v>
      </x:c>
      <x:c r="J1043" s="11" t="str">
        <x:v>5. no evidence for borrowing; 
Nguồn biên soạn: Mark Alves, WOLD; dữ liệu v4.2 do nhóm nghiên cứu phát hành, đối chiếu trường ngữ nghĩa. Không suy nguồn gốc mọi thành tố từ nhãn của cả từ ghép.</x:v>
      </x:c>
      <x:c r="K1043" s="11" t="str">
        <x:v>2026-10-29 (KST)</x:v>
      </x:c>
    </x:row>
    <x:row r="1044" ht="75" customHeight="1">
      <x:c r="A1044" s="11" t="str">
        <x:v>M007</x:v>
      </x:c>
      <x:c r="B1044" s="11" t="str">
        <x:v>Việt</x:v>
      </x:c>
      <x:c r="C1044" s="11" t="str">
        <x:v>Việt: Ấn Độ Dương</x:v>
      </x:c>
      <x:c r="D1044" s="11" t="str">
        <x:v>Âm/chữ hoặc thành tố Hán Việt; không tự xác nhận nghĩa chuyên ngành.</x:v>
      </x:c>
      <x:c r="E1044" s="11" t="str">
        <x:v>Thành tố</x:v>
      </x:c>
      <x:c r="F1044" s="11" t="str">
        <x:v>Việt</x:v>
      </x:c>
      <x:c r="G1044" s="11" t="str">
        <x:v>ET169</x:v>
      </x:c>
      <x:c r="H1044" s="11" t="str">
        <x:v>Từ điển Hán Nôm, mục 印度洋</x:v>
      </x:c>
      <x:c r="I1044" s="30" t="str">
        <x:v>https://hvdic.thivien.net/whv/%E5%8D%B0%E5%BA%A6%E6%B4%8B</x:v>
      </x:c>
      <x:c r="J1044" s="11" t="str">
        <x:v>Trang từ điển ghi âm Hán Việt và/hoặc mục từ tương ứng với 印度洋. Chỉ dùng cho thành tố được nêu; cấu tạo toàn cụm do người rà soát tổng hợp.
Nguồn biên soạn: Bản điện tử HVdic/Thi Viện; Nguyễn Quốc Hùng</x:v>
      </x:c>
      <x:c r="K1044" s="11" t="str">
        <x:v>2026-10-29 (KST)</x:v>
      </x:c>
    </x:row>
    <x:row r="1045" ht="75" customHeight="1">
      <x:c r="A1045" s="11" t="str">
        <x:v>Dùng chung (2 mã)</x:v>
      </x:c>
      <x:c r="B1045" s="11" t="str">
        <x:v>Việt</x:v>
      </x:c>
      <x:c r="C1045" s="11" t="str">
        <x:v>Việt: Thái Bình Dương</x:v>
      </x:c>
      <x:c r="D1045" s="11" t="str">
        <x:v>Âm/chữ hoặc thành tố Hán Việt; không tự xác nhận nghĩa chuyên ngành.</x:v>
      </x:c>
      <x:c r="E1045" s="11" t="str">
        <x:v>Thành tố</x:v>
      </x:c>
      <x:c r="F1045" s="11" t="str">
        <x:v>Việt</x:v>
      </x:c>
      <x:c r="G1045" s="11" t="str">
        <x:v>ET170</x:v>
      </x:c>
      <x:c r="H1045" s="11" t="str">
        <x:v>Từ điển Hán Nôm, mục 太平洋</x:v>
      </x:c>
      <x:c r="I1045" s="30" t="str">
        <x:v>https://hvdic.thivien.net/whv/%E5%A4%AA%E5%B9%B3%E6%B4%8B</x:v>
      </x:c>
      <x:c r="J1045" s="11" t="str">
        <x:v>Trang từ điển ghi âm Hán Việt và/hoặc mục từ tương ứng với 太平洋. Chỉ dùng cho thành tố được nêu; cấu tạo toàn cụm do người rà soát tổng hợp.
Nguồn biên soạn: Bản điện tử HVdic/Thi Viện; Nguyễn Quốc Hùng</x:v>
      </x:c>
      <x:c r="K1045" s="11" t="str">
        <x:v>2026-10-29 (KST)</x:v>
      </x:c>
    </x:row>
    <x:row r="1046" ht="75" customHeight="1">
      <x:c r="A1046" s="11" t="str">
        <x:v>T039</x:v>
      </x:c>
      <x:c r="B1046" s="11" t="str">
        <x:v>Việt</x:v>
      </x:c>
      <x:c r="C1046" s="11" t="str">
        <x:v>Việt: Văn kiện</x:v>
      </x:c>
      <x:c r="D1046" s="11" t="str">
        <x:v>Âm/chữ hoặc thành tố Hán Việt; không tự xác nhận nghĩa chuyên ngành.</x:v>
      </x:c>
      <x:c r="E1046" s="11" t="str">
        <x:v>Thành tố</x:v>
      </x:c>
      <x:c r="F1046" s="11" t="str">
        <x:v>Việt</x:v>
      </x:c>
      <x:c r="G1046" s="11" t="str">
        <x:v>ET171</x:v>
      </x:c>
      <x:c r="H1046" s="11" t="str">
        <x:v>Từ điển Hán Nôm, mục 文件</x:v>
      </x:c>
      <x:c r="I1046" s="30" t="str">
        <x:v>https://hvdic.thivien.net/whv/%E6%96%87%E4%BB%B6</x:v>
      </x:c>
      <x:c r="J1046" s="11" t="str">
        <x:v>Trang từ điển ghi âm Hán Việt và/hoặc mục từ tương ứng với 文件. Chỉ dùng cho thành tố được nêu; cấu tạo toàn cụm do người rà soát tổng hợp.
Nguồn biên soạn: Bản điện tử HVdic/Thi Viện; Nguyễn Quốc Hùng</x:v>
      </x:c>
      <x:c r="K1046" s="11" t="str">
        <x:v>2026-10-29 (KST)</x:v>
      </x:c>
    </x:row>
    <x:row r="1047" ht="75" customHeight="1">
      <x:c r="A1047" s="11" t="str">
        <x:v>C002</x:v>
      </x:c>
      <x:c r="B1047" s="11" t="str">
        <x:v>Việt</x:v>
      </x:c>
      <x:c r="C1047" s="11" t="str">
        <x:v>Việt: đặc phái</x:v>
      </x:c>
      <x:c r="D1047" s="11" t="str">
        <x:v>Âm/chữ hoặc thành tố Hán Việt; không tự xác nhận nghĩa chuyên ngành.</x:v>
      </x:c>
      <x:c r="E1047" s="11" t="str">
        <x:v>Thành tố</x:v>
      </x:c>
      <x:c r="F1047" s="11" t="str">
        <x:v>Việt</x:v>
      </x:c>
      <x:c r="G1047" s="11" t="str">
        <x:v>ET172</x:v>
      </x:c>
      <x:c r="H1047" s="11" t="str">
        <x:v>Từ điển Hán Nôm, mục 特派</x:v>
      </x:c>
      <x:c r="I1047" s="30" t="str">
        <x:v>https://hvdic.thivien.net/whv/%E7%89%B9%E6%B4%BE</x:v>
      </x:c>
      <x:c r="J1047" s="11" t="str">
        <x:v>Trang từ điển ghi âm Hán Việt và/hoặc mục từ tương ứng với 特派. Chỉ dùng cho thành tố được nêu; cấu tạo toàn cụm do người rà soát tổng hợp.
Nguồn biên soạn: Bản điện tử HVdic/Thi Viện; Nguyễn Quốc Hùng</x:v>
      </x:c>
      <x:c r="K1047" s="11" t="str">
        <x:v>2026-10-29 (KST)</x:v>
      </x:c>
    </x:row>
    <x:row r="1048" ht="75" customHeight="1">
      <x:c r="A1048" s="11" t="str">
        <x:v>Dùng chung (3 mã)</x:v>
      </x:c>
      <x:c r="B1048" s="11" t="str">
        <x:v>Việt</x:v>
      </x:c>
      <x:c r="C1048" s="11" t="str">
        <x:v>Việt: lãnh sự; Việt: Lãnh sự</x:v>
      </x:c>
      <x:c r="D1048" s="11" t="str">
        <x:v>Âm/chữ hoặc thành tố Hán Việt; không tự xác nhận nghĩa chuyên ngành.</x:v>
      </x:c>
      <x:c r="E1048" s="11" t="str">
        <x:v>Thành tố</x:v>
      </x:c>
      <x:c r="F1048" s="11" t="str">
        <x:v>Việt</x:v>
      </x:c>
      <x:c r="G1048" s="11" t="str">
        <x:v>ET173</x:v>
      </x:c>
      <x:c r="H1048" s="11" t="str">
        <x:v>Từ điển Hán Nôm, mục 領事</x:v>
      </x:c>
      <x:c r="I1048" s="30" t="str">
        <x:v>https://hvdic.thivien.net/whv/%E9%A0%98%E4%BA%8B</x:v>
      </x:c>
      <x:c r="J1048" s="11" t="str">
        <x:v>Trang từ điển ghi âm Hán Việt và/hoặc mục từ tương ứng với 領事. Chỉ dùng cho thành tố được nêu; cấu tạo toàn cụm do người rà soát tổng hợp.
Nguồn biên soạn: Bản điện tử HVdic/Thi Viện; Nguyễn Quốc Hùng</x:v>
      </x:c>
      <x:c r="K1048" s="11" t="str">
        <x:v>2026-10-29 (KST)</x:v>
      </x:c>
    </x:row>
    <x:row r="1049" ht="85.5" customHeight="1">
      <x:c r="A1049" s="11" t="str">
        <x:v>Dùng chung (3 mã)</x:v>
      </x:c>
      <x:c r="B1049" s="11" t="str">
        <x:v>Việt</x:v>
      </x:c>
      <x:c r="C1049" s="11" t="str">
        <x:v>Phương pháp phân tích nguồn gốc</x:v>
      </x:c>
      <x:c r="D1049" s="11" t="str">
        <x:v>Âm/chữ hoặc thành tố Hán Việt; không tự xác nhận nghĩa chuyên ngành.</x:v>
      </x:c>
      <x:c r="E1049" s="11" t="str">
        <x:v>Thành tố</x:v>
      </x:c>
      <x:c r="F1049" s="11" t="str">
        <x:v>Việt</x:v>
      </x:c>
      <x:c r="G1049" s="11" t="str">
        <x:v>ET174</x:v>
      </x:c>
      <x:c r="H1049" s="11" t="str">
        <x:v>Từ điển Hán Nôm, mục 領</x:v>
      </x:c>
      <x:c r="I1049" s="30" t="str">
        <x:v>https://hvdic.thivien.net/whv/%E9%A0%98</x:v>
      </x:c>
      <x:c r="J1049" s="11" t="str">
        <x:v>Mục 領 ghi lãnh/lĩnh; phần Trần Văn Chánh ghi rõ lãnh sự 領事, lãnh sự quán 領事館 và tổng lãnh sự 總領事; Thiều Chửu cũng giải thích lĩnh sự thường gọi lãnh sự.
Nguồn biên soạn: Bản điện tử HVDic/Thi Viện; mục 領: Trần Văn Chánh và Thiều Chửu, có ví dụ lãnh sự/lĩnh sự</x:v>
      </x:c>
      <x:c r="K1049" s="11" t="str">
        <x:v>2026-10-29 (KST)</x:v>
      </x:c>
    </x:row>
    <x:row r="1050" ht="75" customHeight="1">
      <x:c r="A1050" s="11" t="str">
        <x:v>Dùng chung (2 mã)</x:v>
      </x:c>
      <x:c r="B1050" s="11" t="str">
        <x:v>Việt</x:v>
      </x:c>
      <x:c r="C1050" s="11" t="str">
        <x:v>Việt: Đại biện</x:v>
      </x:c>
      <x:c r="D1050" s="11" t="str">
        <x:v>Âm/chữ hoặc thành tố Hán Việt; không tự xác nhận nghĩa chuyên ngành.</x:v>
      </x:c>
      <x:c r="E1050" s="11" t="str">
        <x:v>Thành tố</x:v>
      </x:c>
      <x:c r="F1050" s="11" t="str">
        <x:v>Việt</x:v>
      </x:c>
      <x:c r="G1050" s="11" t="str">
        <x:v>ET175</x:v>
      </x:c>
      <x:c r="H1050" s="11" t="str">
        <x:v>Từ điển Hán Nôm, mục 代</x:v>
      </x:c>
      <x:c r="I1050" s="30" t="str">
        <x:v>https://hvdic.thivien.net/whv/%E4%BB%A3</x:v>
      </x:c>
      <x:c r="J1050" s="11" t="str">
        <x:v>Trang từ điển ghi âm Hán Việt và/hoặc mục từ tương ứng với 代. Chỉ dùng cho thành tố được nêu; cấu tạo toàn cụm do người rà soát tổng hợp.
Nguồn biên soạn: Bản điện tử HVdic/Thi Viện; chuyên mục phổ thông/trích dẫn, trang chưa chỉ rõ người biên soạn riêng mục này</x:v>
      </x:c>
      <x:c r="K1050" s="11" t="str">
        <x:v>2026-10-29 (KST)</x:v>
      </x:c>
    </x:row>
    <x:row r="1051" ht="75" customHeight="1">
      <x:c r="A1051" s="11" t="str">
        <x:v>Dùng chung (3 mã)</x:v>
      </x:c>
      <x:c r="B1051" s="11" t="str">
        <x:v>Việt</x:v>
      </x:c>
      <x:c r="C1051" s="11" t="str">
        <x:v>Việt: Đại biện; Việt: biện pháp</x:v>
      </x:c>
      <x:c r="D1051" s="11" t="str">
        <x:v>Âm/chữ hoặc thành tố Hán Việt; không tự xác nhận nghĩa chuyên ngành.</x:v>
      </x:c>
      <x:c r="E1051" s="11" t="str">
        <x:v>Thành tố</x:v>
      </x:c>
      <x:c r="F1051" s="11" t="str">
        <x:v>Việt</x:v>
      </x:c>
      <x:c r="G1051" s="11" t="str">
        <x:v>ET176</x:v>
      </x:c>
      <x:c r="H1051" s="11" t="str">
        <x:v>Từ điển Hán Nôm, mục 辦</x:v>
      </x:c>
      <x:c r="I1051" s="30" t="str">
        <x:v>https://hvdic.thivien.net/whv/%E8%BE%A6</x:v>
      </x:c>
      <x:c r="J1051" s="11" t="str">
        <x:v>Trang từ điển ghi âm Hán Việt và/hoặc mục từ tương ứng với 辦. Chỉ dùng cho thành tố được nêu; cấu tạo toàn cụm do người rà soát tổng hợp.
Nguồn biên soạn: Bản điện tử HVdic/Thi Viện; chuyên mục phổ thông/trích dẫn, trang chưa chỉ rõ người biên soạn riêng mục này</x:v>
      </x:c>
      <x:c r="K1051" s="11" t="str">
        <x:v>2026-10-29 (KST)</x:v>
      </x:c>
    </x:row>
    <x:row r="1052" ht="75" customHeight="1">
      <x:c r="A1052" s="11" t="str">
        <x:v>C007</x:v>
      </x:c>
      <x:c r="B1052" s="11" t="str">
        <x:v>Việt</x:v>
      </x:c>
      <x:c r="C1052" s="11" t="str">
        <x:v>Việt: lâm thời</x:v>
      </x:c>
      <x:c r="D1052" s="11" t="str">
        <x:v>Âm/chữ hoặc thành tố Hán Việt; không tự xác nhận nghĩa chuyên ngành.</x:v>
      </x:c>
      <x:c r="E1052" s="11" t="str">
        <x:v>Thành tố</x:v>
      </x:c>
      <x:c r="F1052" s="11" t="str">
        <x:v>Việt</x:v>
      </x:c>
      <x:c r="G1052" s="11" t="str">
        <x:v>ET177</x:v>
      </x:c>
      <x:c r="H1052" s="11" t="str">
        <x:v>Từ điển Hán Nôm, mục 臨時</x:v>
      </x:c>
      <x:c r="I1052" s="30" t="str">
        <x:v>https://hvdic.thivien.net/whv/%E8%87%A8%E6%99%82</x:v>
      </x:c>
      <x:c r="J1052" s="11" t="str">
        <x:v>Trang từ điển ghi âm Hán Việt và/hoặc mục từ tương ứng với 臨時. Chỉ dùng cho thành tố được nêu; cấu tạo toàn cụm do người rà soát tổng hợp.
Nguồn biên soạn: Bản điện tử HVdic/Thi Viện; Nguyễn Quốc Hùng</x:v>
      </x:c>
      <x:c r="K1052" s="11" t="str">
        <x:v>2026-10-29 (KST)</x:v>
      </x:c>
    </x:row>
    <x:row r="1053" ht="75" customHeight="1">
      <x:c r="A1053" s="11" t="str">
        <x:v>Dùng chung (2 mã)</x:v>
      </x:c>
      <x:c r="B1053" s="11" t="str">
        <x:v>Việt</x:v>
      </x:c>
      <x:c r="C1053" s="11" t="str">
        <x:v>Việt: đại diện</x:v>
      </x:c>
      <x:c r="D1053" s="11" t="str">
        <x:v>Âm/chữ hoặc thành tố Hán Việt; không tự xác nhận nghĩa chuyên ngành.</x:v>
      </x:c>
      <x:c r="E1053" s="11" t="str">
        <x:v>Thành tố</x:v>
      </x:c>
      <x:c r="F1053" s="11" t="str">
        <x:v>Việt</x:v>
      </x:c>
      <x:c r="G1053" s="11" t="str">
        <x:v>ET178</x:v>
      </x:c>
      <x:c r="H1053" s="11" t="str">
        <x:v>Từ điển Hán Nôm, mục 代面</x:v>
      </x:c>
      <x:c r="I1053" s="30" t="str">
        <x:v>https://hvdic.thivien.net/whv/%E4%BB%A3%E9%9D%A2</x:v>
      </x:c>
      <x:c r="J1053" s="11" t="str">
        <x:v>Trang từ điển ghi âm Hán Việt và/hoặc mục từ tương ứng với 代面. Chỉ dùng cho thành tố được nêu; cấu tạo toàn cụm do người rà soát tổng hợp.
Nguồn biên soạn: Bản điện tử HVdic/Thi Viện; Nguyễn Quốc Hùng</x:v>
      </x:c>
      <x:c r="K1053" s="11" t="str">
        <x:v>2026-10-29 (KST)</x:v>
      </x:c>
    </x:row>
    <x:row r="1054" ht="75" customHeight="1">
      <x:c r="A1054" s="11" t="str">
        <x:v>C015</x:v>
      </x:c>
      <x:c r="B1054" s="11" t="str">
        <x:v>Việt</x:v>
      </x:c>
      <x:c r="C1054" s="11" t="str">
        <x:v>Việt: Quốc vương</x:v>
      </x:c>
      <x:c r="D1054" s="11" t="str">
        <x:v>Âm/chữ hoặc thành tố Hán Việt; không tự xác nhận nghĩa chuyên ngành.</x:v>
      </x:c>
      <x:c r="E1054" s="11" t="str">
        <x:v>Thành tố</x:v>
      </x:c>
      <x:c r="F1054" s="11" t="str">
        <x:v>Việt</x:v>
      </x:c>
      <x:c r="G1054" s="11" t="str">
        <x:v>ET179</x:v>
      </x:c>
      <x:c r="H1054" s="11" t="str">
        <x:v>Từ điển Hán Nôm, mục 國王</x:v>
      </x:c>
      <x:c r="I1054" s="30" t="str">
        <x:v>https://hvdic.thivien.net/whv/%E5%9C%8B%E7%8E%8B</x:v>
      </x:c>
      <x:c r="J1054" s="11" t="str">
        <x:v>Trang từ điển ghi âm Hán Việt và/hoặc mục từ tương ứng với 國王. Chỉ dùng cho thành tố được nêu; cấu tạo toàn cụm do người rà soát tổng hợp.
Nguồn biên soạn: Bản điện tử HVdic/Thi Viện; Nguyễn Quốc Hùng</x:v>
      </x:c>
      <x:c r="K1054" s="11" t="str">
        <x:v>2026-10-29 (KST)</x:v>
      </x:c>
    </x:row>
    <x:row r="1055" ht="75" customHeight="1">
      <x:c r="A1055" s="11" t="str">
        <x:v>C016</x:v>
      </x:c>
      <x:c r="B1055" s="11" t="str">
        <x:v>Việt</x:v>
      </x:c>
      <x:c r="C1055" s="11" t="str">
        <x:v>Việt: Cố vấn</x:v>
      </x:c>
      <x:c r="D1055" s="11" t="str">
        <x:v>Âm/chữ hoặc thành tố Hán Việt; không tự xác nhận nghĩa chuyên ngành.</x:v>
      </x:c>
      <x:c r="E1055" s="11" t="str">
        <x:v>Thành tố</x:v>
      </x:c>
      <x:c r="F1055" s="11" t="str">
        <x:v>Việt</x:v>
      </x:c>
      <x:c r="G1055" s="11" t="str">
        <x:v>ET180</x:v>
      </x:c>
      <x:c r="H1055" s="11" t="str">
        <x:v>Từ điển Hán Nôm, mục 顧問</x:v>
      </x:c>
      <x:c r="I1055" s="30" t="str">
        <x:v>https://hvdic.thivien.net/whv/%E9%A1%A7%E5%95%8F</x:v>
      </x:c>
      <x:c r="J1055" s="11" t="str">
        <x:v>Trang từ điển ghi âm Hán Việt và/hoặc mục từ tương ứng với 顧問. Chỉ dùng cho thành tố được nêu; cấu tạo toàn cụm do người rà soát tổng hợp.
Nguồn biên soạn: Bản điện tử HVdic/Thi Viện; Nguyễn Quốc Hùng</x:v>
      </x:c>
      <x:c r="K1055" s="11" t="str">
        <x:v>2026-10-29 (KST)</x:v>
      </x:c>
    </x:row>
    <x:row r="1056" ht="75" customHeight="1">
      <x:c r="A1056" s="11" t="str">
        <x:v>Dùng chung (7 mã)</x:v>
      </x:c>
      <x:c r="B1056" s="11" t="str">
        <x:v>Việt</x:v>
      </x:c>
      <x:c r="C1056" s="11" t="str">
        <x:v>Việt: An ninh; Việt: an ninh</x:v>
      </x:c>
      <x:c r="D1056" s="11" t="str">
        <x:v>Âm/chữ hoặc thành tố Hán Việt; không tự xác nhận nghĩa chuyên ngành.</x:v>
      </x:c>
      <x:c r="E1056" s="11" t="str">
        <x:v>Thành tố</x:v>
      </x:c>
      <x:c r="F1056" s="11" t="str">
        <x:v>Việt</x:v>
      </x:c>
      <x:c r="G1056" s="11" t="str">
        <x:v>ET181</x:v>
      </x:c>
      <x:c r="H1056" s="11" t="str">
        <x:v>Từ điển Hán Nôm, mục 安寧</x:v>
      </x:c>
      <x:c r="I1056" s="30" t="str">
        <x:v>https://hvdic.thivien.net/whv/%E5%AE%89%E5%AF%A7</x:v>
      </x:c>
      <x:c r="J1056" s="11" t="str">
        <x:v>Trang từ điển ghi âm Hán Việt và/hoặc mục từ tương ứng với 安寧. Chỉ dùng cho thành tố được nêu; cấu tạo toàn cụm do người rà soát tổng hợp.
Nguồn biên soạn: Bản điện tử HVdic/Thi Viện; Nguyễn Quốc Hùng</x:v>
      </x:c>
      <x:c r="K1056" s="11" t="str">
        <x:v>2026-10-29 (KST)</x:v>
      </x:c>
    </x:row>
    <x:row r="1057" ht="75" customHeight="1">
      <x:c r="A1057" s="11" t="str">
        <x:v>C021</x:v>
      </x:c>
      <x:c r="B1057" s="11" t="str">
        <x:v>Việt</x:v>
      </x:c>
      <x:c r="C1057" s="11" t="str">
        <x:v>Việt: chính đảng</x:v>
      </x:c>
      <x:c r="D1057" s="11" t="str">
        <x:v>Âm/chữ hoặc thành tố Hán Việt; không tự xác nhận nghĩa chuyên ngành.</x:v>
      </x:c>
      <x:c r="E1057" s="11" t="str">
        <x:v>Thành tố</x:v>
      </x:c>
      <x:c r="F1057" s="11" t="str">
        <x:v>Việt</x:v>
      </x:c>
      <x:c r="G1057" s="11" t="str">
        <x:v>ET182</x:v>
      </x:c>
      <x:c r="H1057" s="11" t="str">
        <x:v>Từ điển Hán Nôm, mục 政黨</x:v>
      </x:c>
      <x:c r="I1057" s="30" t="str">
        <x:v>https://hvdic.thivien.net/whv/%E6%94%BF%E9%BB%A8</x:v>
      </x:c>
      <x:c r="J1057" s="11" t="str">
        <x:v>Trang từ điển ghi âm Hán Việt và/hoặc mục từ tương ứng với 政黨. Chỉ dùng cho thành tố được nêu; cấu tạo toàn cụm do người rà soát tổng hợp.
Nguồn biên soạn: Bản điện tử HVdic/Thi Viện; Nguyễn Quốc Hùng</x:v>
      </x:c>
      <x:c r="K1057" s="11" t="str">
        <x:v>2026-10-29 (KST)</x:v>
      </x:c>
    </x:row>
    <x:row r="1058" ht="75" customHeight="1">
      <x:c r="A1058" s="11" t="str">
        <x:v>C022</x:v>
      </x:c>
      <x:c r="B1058" s="11" t="str">
        <x:v>Việt</x:v>
      </x:c>
      <x:c r="C1058" s="11" t="str">
        <x:v>Việt: cầm</x:v>
      </x:c>
      <x:c r="D1058" s="11" t="str">
        <x:v>Nguồn từ nguyên/chữ gốc hoặc thành tố được nêu; đọc giới hạn tại ghi chú.</x:v>
      </x:c>
      <x:c r="E1058" s="11" t="str">
        <x:v>Thành tố</x:v>
      </x:c>
      <x:c r="F1058" s="11" t="str">
        <x:v>Việt</x:v>
      </x:c>
      <x:c r="G1058" s="11" t="str">
        <x:v>ET183</x:v>
      </x:c>
      <x:c r="H1058" s="11" t="str">
        <x:v>Phạm Phú Tỵ (2002), Thêm một nhịp cầu văn hóa hữu nghị Việt–Hàn, Tạp chí Khoa học ĐHQGHN XVIII(1), tr.40</x:v>
      </x:c>
      <x:c r="I1058" s="30" t="str">
        <x:v>https://js.vnu.edu.vn/SSH/article/download/3163/2765</x:v>
      </x:c>
      <x:c r="J1058" s="11" t="str">
        <x:v>Bài nghiên cứu phân biệt động từ cầm thuần Việt với cầm gốc Hán chỉ nhạc cụ và chim; có nêu cầm quyền trong chuỗi từ ghép.</x:v>
      </x:c>
      <x:c r="K1058" s="11" t="str">
        <x:v>2026-10-29 (KST)</x:v>
      </x:c>
    </x:row>
    <x:row r="1059" ht="75" customHeight="1">
      <x:c r="A1059" s="11" t="str">
        <x:v>C034</x:v>
      </x:c>
      <x:c r="B1059" s="11" t="str">
        <x:v>Việt</x:v>
      </x:c>
      <x:c r="C1059" s="11" t="str">
        <x:v>Việt: Phái đoàn</x:v>
      </x:c>
      <x:c r="D1059" s="11" t="str">
        <x:v>Âm/chữ hoặc thành tố Hán Việt; không tự xác nhận nghĩa chuyên ngành.</x:v>
      </x:c>
      <x:c r="E1059" s="11" t="str">
        <x:v>Thành tố</x:v>
      </x:c>
      <x:c r="F1059" s="11" t="str">
        <x:v>Việt</x:v>
      </x:c>
      <x:c r="G1059" s="11" t="str">
        <x:v>ET184</x:v>
      </x:c>
      <x:c r="H1059" s="11" t="str">
        <x:v>Từ điển Hán Nôm, mục 派</x:v>
      </x:c>
      <x:c r="I1059" s="30" t="str">
        <x:v>https://hvdic.thivien.net/whv/%E6%B4%BE</x:v>
      </x:c>
      <x:c r="J1059" s="11" t="str">
        <x:v>Trang từ điển ghi âm Hán Việt và/hoặc mục từ tương ứng với 派. Chỉ dùng cho thành tố được nêu; cấu tạo toàn cụm do người rà soát tổng hợp.
Nguồn biên soạn: Bản điện tử HVdic/Thi Viện; chuyên mục phổ thông/trích dẫn, trang chưa chỉ rõ người biên soạn riêng mục này</x:v>
      </x:c>
      <x:c r="K1059" s="11" t="str">
        <x:v>2026-10-29 (KST)</x:v>
      </x:c>
    </x:row>
    <x:row r="1060" ht="75" customHeight="1">
      <x:c r="A1060" s="11" t="str">
        <x:v>Dùng chung (2 mã)</x:v>
      </x:c>
      <x:c r="B1060" s="11" t="str">
        <x:v>Việt</x:v>
      </x:c>
      <x:c r="C1060" s="11" t="str">
        <x:v>Việt: Thương mại</x:v>
      </x:c>
      <x:c r="D1060" s="11" t="str">
        <x:v>Âm/chữ hoặc thành tố Hán Việt; không tự xác nhận nghĩa chuyên ngành.</x:v>
      </x:c>
      <x:c r="E1060" s="11" t="str">
        <x:v>Thành tố</x:v>
      </x:c>
      <x:c r="F1060" s="11" t="str">
        <x:v>Việt</x:v>
      </x:c>
      <x:c r="G1060" s="11" t="str">
        <x:v>ET185</x:v>
      </x:c>
      <x:c r="H1060" s="11" t="str">
        <x:v>Từ điển Hán Nôm, mục 商賣</x:v>
      </x:c>
      <x:c r="I1060" s="30" t="str">
        <x:v>https://hvdic.thivien.net/whv/%E5%95%86%E8%B3%A3</x:v>
      </x:c>
      <x:c r="J1060" s="11" t="str">
        <x:v>Trang từ điển ghi âm Hán Việt và/hoặc mục từ tương ứng với 商賣. Chỉ dùng cho thành tố được nêu; cấu tạo toàn cụm do người rà soát tổng hợp.
Nguồn biên soạn: Bản điện tử HVdic/Thi Viện; Nguyễn Quốc Hùng</x:v>
      </x:c>
      <x:c r="K1060" s="11" t="str">
        <x:v>2026-10-29 (KST)</x:v>
      </x:c>
    </x:row>
    <x:row r="1061" ht="85.5" customHeight="1">
      <x:c r="A1061" s="11" t="str">
        <x:v>C044</x:v>
      </x:c>
      <x:c r="B1061" s="11" t="str">
        <x:v>Việt</x:v>
      </x:c>
      <x:c r="C1061" s="11" t="str">
        <x:v>Việt: đáy</x:v>
      </x:c>
      <x:c r="D1061" s="11" t="str">
        <x:v>Nguồn từ nguyên/chữ gốc hoặc thành tố được nêu; đọc giới hạn tại ghi chú.</x:v>
      </x:c>
      <x:c r="E1061" s="11" t="str">
        <x:v>Thành tố</x:v>
      </x:c>
      <x:c r="F1061" s="11" t="str">
        <x:v>Việt</x:v>
      </x:c>
      <x:c r="G1061" s="11" t="str">
        <x:v>ET186</x:v>
      </x:c>
      <x:c r="H1061" s="11" t="str">
        <x:v>WOLD — Vietnamese vocabulary (Mark Alves), đáy</x:v>
      </x:c>
      <x:c r="I1061" s="30" t="str">
        <x:v>https://wold.clld.org/word/721502352590005</x:v>
      </x:c>
      <x:c r="J1061" s="11" t="str">
        <x:v>2. probably borrowed; This is probably a doublet related to the synonymous Tang Dynasty literary Sino-Vietnamese reading để.
Nguồn biên soạn: Mark Alves, WOLD; dữ liệu v4.2 do nhóm nghiên cứu phát hành, đối chiếu trường ngữ nghĩa. Không suy nguồn gốc mọi thành tố từ nhãn của cả từ ghép.</x:v>
      </x:c>
      <x:c r="K1061" s="11" t="str">
        <x:v>2026-10-29 (KST)</x:v>
      </x:c>
    </x:row>
    <x:row r="1062" ht="75" customHeight="1">
      <x:c r="A1062" s="11" t="str">
        <x:v>Dùng chung (2 mã)</x:v>
      </x:c>
      <x:c r="B1062" s="11" t="str">
        <x:v>Việt</x:v>
      </x:c>
      <x:c r="C1062" s="11" t="str">
        <x:v>Việt: đại dương</x:v>
      </x:c>
      <x:c r="D1062" s="11" t="str">
        <x:v>Âm/chữ hoặc thành tố Hán Việt; không tự xác nhận nghĩa chuyên ngành.</x:v>
      </x:c>
      <x:c r="E1062" s="11" t="str">
        <x:v>Thành tố</x:v>
      </x:c>
      <x:c r="F1062" s="11" t="str">
        <x:v>Việt</x:v>
      </x:c>
      <x:c r="G1062" s="11" t="str">
        <x:v>ET187</x:v>
      </x:c>
      <x:c r="H1062" s="11" t="str">
        <x:v>Từ điển Hán Nôm, mục 大洋</x:v>
      </x:c>
      <x:c r="I1062" s="30" t="str">
        <x:v>https://hvdic.thivien.net/whv/%E5%A4%A7%E6%B4%8B</x:v>
      </x:c>
      <x:c r="J1062" s="11" t="str">
        <x:v>Trang từ điển ghi âm Hán Việt và/hoặc mục từ tương ứng với 大洋. Chỉ dùng cho thành tố được nêu; cấu tạo toàn cụm do người rà soát tổng hợp.
Nguồn biên soạn: Bản điện tử HVdic/Thi Viện; Nguyễn Quốc Hùng</x:v>
      </x:c>
      <x:c r="K1062" s="11" t="str">
        <x:v>2026-10-29 (KST)</x:v>
      </x:c>
    </x:row>
    <x:row r="1063" ht="75" customHeight="1">
      <x:c r="A1063" s="11" t="str">
        <x:v>C047</x:v>
      </x:c>
      <x:c r="B1063" s="11" t="str">
        <x:v>Việt</x:v>
      </x:c>
      <x:c r="C1063" s="11" t="str">
        <x:v>Việt: Thượng Hải</x:v>
      </x:c>
      <x:c r="D1063" s="11" t="str">
        <x:v>Âm/chữ hoặc thành tố Hán Việt; không tự xác nhận nghĩa chuyên ngành.</x:v>
      </x:c>
      <x:c r="E1063" s="11" t="str">
        <x:v>Thành tố</x:v>
      </x:c>
      <x:c r="F1063" s="11" t="str">
        <x:v>Việt</x:v>
      </x:c>
      <x:c r="G1063" s="11" t="str">
        <x:v>ET188</x:v>
      </x:c>
      <x:c r="H1063" s="11" t="str">
        <x:v>Từ điển Hán Nôm, mục 上海</x:v>
      </x:c>
      <x:c r="I1063" s="30" t="str">
        <x:v>https://hvdic.thivien.net/whv/%E4%B8%8A%E6%B5%B7</x:v>
      </x:c>
      <x:c r="J1063" s="11" t="str">
        <x:v>Trang từ điển ghi âm Hán Việt và/hoặc mục từ tương ứng với 上海. Chỉ dùng cho thành tố được nêu; cấu tạo toàn cụm do người rà soát tổng hợp.
Nguồn biên soạn: Bản điện tử HVdic/Thi Viện; Nguyễn Quốc Hùng</x:v>
      </x:c>
      <x:c r="K1063" s="11" t="str">
        <x:v>2026-10-29 (KST)</x:v>
      </x:c>
    </x:row>
    <x:row r="1064" ht="75" customHeight="1">
      <x:c r="A1064" s="11" t="str">
        <x:v>Dùng chung (2 mã)</x:v>
      </x:c>
      <x:c r="B1064" s="11" t="str">
        <x:v>Việt</x:v>
      </x:c>
      <x:c r="C1064" s="11" t="str">
        <x:v>Việt: Chương trình</x:v>
      </x:c>
      <x:c r="D1064" s="11" t="str">
        <x:v>Âm/chữ hoặc thành tố Hán Việt; không tự xác nhận nghĩa chuyên ngành.</x:v>
      </x:c>
      <x:c r="E1064" s="11" t="str">
        <x:v>Thành tố</x:v>
      </x:c>
      <x:c r="F1064" s="11" t="str">
        <x:v>Việt</x:v>
      </x:c>
      <x:c r="G1064" s="11" t="str">
        <x:v>ET189</x:v>
      </x:c>
      <x:c r="H1064" s="11" t="str">
        <x:v>Từ điển Hán Nôm, mục 程</x:v>
      </x:c>
      <x:c r="I1064" s="30" t="str">
        <x:v>https://hvdic.thivien.net/whv/%E7%A8%8B</x:v>
      </x:c>
      <x:c r="J1064" s="11" t="str">
        <x:v>Trang từ điển ghi âm Hán Việt và/hoặc mục từ tương ứng với 程. Chỉ dùng cho thành tố được nêu; cấu tạo toàn cụm do người rà soát tổng hợp.
Nguồn biên soạn: Bản điện tử HVdic/Thi Viện; chuyên mục phổ thông/trích dẫn, trang chưa chỉ rõ người biên soạn riêng mục này</x:v>
      </x:c>
      <x:c r="K1064" s="11" t="str">
        <x:v>2026-10-29 (KST)</x:v>
      </x:c>
    </x:row>
    <x:row r="1065" ht="75" customHeight="1">
      <x:c r="A1065" s="11" t="str">
        <x:v>Dùng chung (2 mã)</x:v>
      </x:c>
      <x:c r="B1065" s="11" t="str">
        <x:v>Việt</x:v>
      </x:c>
      <x:c r="C1065" s="11" t="str">
        <x:v>Việt: phát triển</x:v>
      </x:c>
      <x:c r="D1065" s="11" t="str">
        <x:v>Âm/chữ hoặc thành tố Hán Việt; không tự xác nhận nghĩa chuyên ngành.</x:v>
      </x:c>
      <x:c r="E1065" s="11" t="str">
        <x:v>Thành tố</x:v>
      </x:c>
      <x:c r="F1065" s="11" t="str">
        <x:v>Việt</x:v>
      </x:c>
      <x:c r="G1065" s="11" t="str">
        <x:v>ET190</x:v>
      </x:c>
      <x:c r="H1065" s="11" t="str">
        <x:v>Từ điển Hán Nôm, mục 發展</x:v>
      </x:c>
      <x:c r="I1065" s="30" t="str">
        <x:v>https://hvdic.thivien.net/whv/%E7%99%BC%E5%B1%95</x:v>
      </x:c>
      <x:c r="J1065" s="11" t="str">
        <x:v>Trang từ điển ghi âm Hán Việt và/hoặc mục từ tương ứng với 發展. Chỉ dùng cho thành tố được nêu; cấu tạo toàn cụm do người rà soát tổng hợp.
Nguồn biên soạn: Bản điện tử HVdic/Thi Viện; Nguyễn Quốc Hùng</x:v>
      </x:c>
      <x:c r="K1065" s="11" t="str">
        <x:v>2026-10-29 (KST)</x:v>
      </x:c>
    </x:row>
    <x:row r="1066" ht="75" customHeight="1">
      <x:c r="A1066" s="11" t="str">
        <x:v>Dùng chung (3 mã)</x:v>
      </x:c>
      <x:c r="B1066" s="11" t="str">
        <x:v>Việt</x:v>
      </x:c>
      <x:c r="C1066" s="11" t="str">
        <x:v>Việt: Hòa bình; Việt: hòa bình</x:v>
      </x:c>
      <x:c r="D1066" s="11" t="str">
        <x:v>Âm/chữ hoặc thành tố Hán Việt; không tự xác nhận nghĩa chuyên ngành.</x:v>
      </x:c>
      <x:c r="E1066" s="11" t="str">
        <x:v>Thành tố</x:v>
      </x:c>
      <x:c r="F1066" s="11" t="str">
        <x:v>Việt</x:v>
      </x:c>
      <x:c r="G1066" s="11" t="str">
        <x:v>ET191</x:v>
      </x:c>
      <x:c r="H1066" s="11" t="str">
        <x:v>Từ điển Hán Nôm, mục 和平</x:v>
      </x:c>
      <x:c r="I1066" s="30" t="str">
        <x:v>https://hvdic.thivien.net/whv/%E5%92%8C%E5%B9%B3</x:v>
      </x:c>
      <x:c r="J1066" s="11" t="str">
        <x:v>Trang từ điển ghi âm Hán Việt và/hoặc mục từ tương ứng với 和平. Chỉ dùng cho thành tố được nêu; cấu tạo toàn cụm do người rà soát tổng hợp.
Nguồn biên soạn: Bản điện tử HVdic/Thi Viện; Nguyễn Quốc Hùng</x:v>
      </x:c>
      <x:c r="K1066" s="11" t="str">
        <x:v>2026-10-29 (KST)</x:v>
      </x:c>
    </x:row>
    <x:row r="1067" ht="85.5" customHeight="1">
      <x:c r="A1067" s="11" t="str">
        <x:v>Dùng chung (2 mã)</x:v>
      </x:c>
      <x:c r="B1067" s="11" t="str">
        <x:v>Việt</x:v>
      </x:c>
      <x:c r="C1067" s="11" t="str">
        <x:v>Việt: không</x:v>
      </x:c>
      <x:c r="D1067" s="11" t="str">
        <x:v>Nguồn từ nguyên/chữ gốc hoặc thành tố được nêu; đọc giới hạn tại ghi chú.</x:v>
      </x:c>
      <x:c r="E1067" s="11" t="str">
        <x:v>Thành tố</x:v>
      </x:c>
      <x:c r="F1067" s="11" t="str">
        <x:v>Việt</x:v>
      </x:c>
      <x:c r="G1067" s="11" t="str">
        <x:v>ET192</x:v>
      </x:c>
      <x:c r="H1067" s="11" t="str">
        <x:v>WOLD — Vietnamese vocabulary (Mark Alves), không</x:v>
      </x:c>
      <x:c r="I1067" s="30" t="str">
        <x:v>https://wold.clld.org/word/7215023306525242</x:v>
      </x:c>
      <x:c r="J1067" s="11" t="str">
        <x:v>2. probably borrowed; This word is probably a grammaticalized version of the homophonous Sino-Vietnamese word ‘empty/void’ (Chinese 空, kōng).
Nguồn biên soạn: Mark Alves, WOLD; dữ liệu v4.2 do nhóm nghiên cứu phát hành, đối chiếu trường ngữ nghĩa. Không suy nguồn gốc mọi thành tố từ nhãn của cả từ ghép.</x:v>
      </x:c>
      <x:c r="K1067" s="11" t="str">
        <x:v>2026-10-29 (KST)</x:v>
      </x:c>
    </x:row>
    <x:row r="1068" ht="75" customHeight="1">
      <x:c r="A1068" s="11" t="str">
        <x:v>C060</x:v>
      </x:c>
      <x:c r="B1068" s="11" t="str">
        <x:v>Việt</x:v>
      </x:c>
      <x:c r="C1068" s="11" t="str">
        <x:v>Việt: vào</x:v>
      </x:c>
      <x:c r="D1068" s="11" t="str">
        <x:v>Nguồn từ nguyên/chữ gốc hoặc thành tố được nêu; đọc giới hạn tại ghi chú.</x:v>
      </x:c>
      <x:c r="E1068" s="11" t="str">
        <x:v>Thành tố</x:v>
      </x:c>
      <x:c r="F1068" s="11" t="str">
        <x:v>Việt</x:v>
      </x:c>
      <x:c r="G1068" s="11" t="str">
        <x:v>ET193</x:v>
      </x:c>
      <x:c r="H1068" s="11" t="str">
        <x:v>WOLD — Vietnamese vocabulary (Mark Alves), vào</x:v>
      </x:c>
      <x:c r="I1068" s="30" t="str">
        <x:v>https://wold.clld.org/word/721502313977203</x:v>
      </x:c>
      <x:c r="J1068" s="11" t="str">
        <x:v>5. no evidence for borrowing; 
Nguồn biên soạn: Mark Alves, WOLD; dữ liệu v4.2 do nhóm nghiên cứu phát hành, đối chiếu trường ngữ nghĩa. Không suy nguồn gốc mọi thành tố từ nhãn của cả từ ghép.</x:v>
      </x:c>
      <x:c r="K1068" s="11" t="str">
        <x:v>2026-10-29 (KST)</x:v>
      </x:c>
    </x:row>
    <x:row r="1069" ht="75" customHeight="1">
      <x:c r="A1069" s="11" t="str">
        <x:v>C060</x:v>
      </x:c>
      <x:c r="B1069" s="11" t="str">
        <x:v>Việt</x:v>
      </x:c>
      <x:c r="C1069" s="11" t="str">
        <x:v>Việt: mỗi</x:v>
      </x:c>
      <x:c r="D1069" s="11" t="str">
        <x:v>Âm/chữ hoặc thành tố Hán Việt; không tự xác nhận nghĩa chuyên ngành.</x:v>
      </x:c>
      <x:c r="E1069" s="11" t="str">
        <x:v>Thành tố</x:v>
      </x:c>
      <x:c r="F1069" s="11" t="str">
        <x:v>Việt</x:v>
      </x:c>
      <x:c r="G1069" s="11" t="str">
        <x:v>ET194</x:v>
      </x:c>
      <x:c r="H1069" s="11" t="str">
        <x:v>Từ điển Hán Nôm, mỗi (每)</x:v>
      </x:c>
      <x:c r="I1069" s="30" t="str">
        <x:v>https://hvdic.thivien.net/whv/%E6%AF%8F</x:v>
      </x:c>
      <x:c r="J1069" s="11" t="str">
        <x:v>Mục từ ghi mỗi và dạng chữ 每.
Nguồn biên soạn: Bản điện tử HVdic/Thi Viện; Nguyễn Quốc Hùng; Thiều Chửu; Trần Văn Chánh</x:v>
      </x:c>
      <x:c r="K1069" s="11" t="str">
        <x:v>2026-10-29 (KST)</x:v>
      </x:c>
    </x:row>
    <x:row r="1070" ht="75" customHeight="1">
      <x:c r="A1070" s="11" t="str">
        <x:v>C061</x:v>
      </x:c>
      <x:c r="B1070" s="11" t="str">
        <x:v>Việt</x:v>
      </x:c>
      <x:c r="C1070" s="11" t="str">
        <x:v>Việt: bình đẳng</x:v>
      </x:c>
      <x:c r="D1070" s="11" t="str">
        <x:v>Âm/chữ hoặc thành tố Hán Việt; không tự xác nhận nghĩa chuyên ngành.</x:v>
      </x:c>
      <x:c r="E1070" s="11" t="str">
        <x:v>Thành tố</x:v>
      </x:c>
      <x:c r="F1070" s="11" t="str">
        <x:v>Việt</x:v>
      </x:c>
      <x:c r="G1070" s="11" t="str">
        <x:v>ET195</x:v>
      </x:c>
      <x:c r="H1070" s="11" t="str">
        <x:v>Từ điển Hán Nôm, mục 平等</x:v>
      </x:c>
      <x:c r="I1070" s="30" t="str">
        <x:v>https://hvdic.thivien.net/whv/%E5%B9%B3%E7%AD%89</x:v>
      </x:c>
      <x:c r="J1070" s="11" t="str">
        <x:v>Trang từ điển ghi âm Hán Việt và/hoặc mục từ tương ứng với 平等. Chỉ dùng cho thành tố được nêu; cấu tạo toàn cụm do người rà soát tổng hợp.
Nguồn biên soạn: Bản điện tử HVdic/Thi Viện; Nguyễn Quốc Hùng</x:v>
      </x:c>
      <x:c r="K1070" s="11" t="str">
        <x:v>2026-10-29 (KST)</x:v>
      </x:c>
    </x:row>
    <x:row r="1071" ht="75" customHeight="1">
      <x:c r="A1071" s="11" t="str">
        <x:v>C063</x:v>
      </x:c>
      <x:c r="B1071" s="11" t="str">
        <x:v>Việt</x:v>
      </x:c>
      <x:c r="C1071" s="11" t="str">
        <x:v>Việt: tài phán</x:v>
      </x:c>
      <x:c r="D1071" s="11" t="str">
        <x:v>Âm/chữ hoặc thành tố Hán Việt; không tự xác nhận nghĩa chuyên ngành.</x:v>
      </x:c>
      <x:c r="E1071" s="11" t="str">
        <x:v>Thành tố</x:v>
      </x:c>
      <x:c r="F1071" s="11" t="str">
        <x:v>Việt</x:v>
      </x:c>
      <x:c r="G1071" s="11" t="str">
        <x:v>ET196</x:v>
      </x:c>
      <x:c r="H1071" s="11" t="str">
        <x:v>Từ điển Hán Nôm, mục 裁判</x:v>
      </x:c>
      <x:c r="I1071" s="30" t="str">
        <x:v>https://hvdic.thivien.net/whv/%E8%A3%81%E5%88%A4</x:v>
      </x:c>
      <x:c r="J1071" s="11" t="str">
        <x:v>Trang từ điển ghi âm Hán Việt và/hoặc mục từ tương ứng với 裁判. Chỉ dùng cho thành tố được nêu; cấu tạo toàn cụm do người rà soát tổng hợp.
Nguồn biên soạn: Bản điện tử HVdic/Thi Viện; Nguyễn Quốc Hùng</x:v>
      </x:c>
      <x:c r="K1071" s="11" t="str">
        <x:v>2026-10-29 (KST)</x:v>
      </x:c>
    </x:row>
    <x:row r="1072" ht="75" customHeight="1">
      <x:c r="A1072" s="11" t="str">
        <x:v>Dùng chung (2 mã)</x:v>
      </x:c>
      <x:c r="B1072" s="11" t="str">
        <x:v>Việt</x:v>
      </x:c>
      <x:c r="C1072" s="11" t="str">
        <x:v>Việt: tự do</x:v>
      </x:c>
      <x:c r="D1072" s="11" t="str">
        <x:v>Âm/chữ hoặc thành tố Hán Việt; không tự xác nhận nghĩa chuyên ngành.</x:v>
      </x:c>
      <x:c r="E1072" s="11" t="str">
        <x:v>Thành tố</x:v>
      </x:c>
      <x:c r="F1072" s="11" t="str">
        <x:v>Việt</x:v>
      </x:c>
      <x:c r="G1072" s="11" t="str">
        <x:v>ET197</x:v>
      </x:c>
      <x:c r="H1072" s="11" t="str">
        <x:v>Từ điển Hán Nôm, mục 自由</x:v>
      </x:c>
      <x:c r="I1072" s="30" t="str">
        <x:v>https://hvdic.thivien.net/whv/%E8%87%AA%E7%94%B1</x:v>
      </x:c>
      <x:c r="J1072" s="11" t="str">
        <x:v>Trang từ điển ghi âm Hán Việt và/hoặc mục từ tương ứng với 自由. Chỉ dùng cho thành tố được nêu; cấu tạo toàn cụm do người rà soát tổng hợp.
Nguồn biên soạn: Bản điện tử HVdic/Thi Viện; Nguyễn Quốc Hùng</x:v>
      </x:c>
      <x:c r="K1072" s="11" t="str">
        <x:v>2026-10-29 (KST)</x:v>
      </x:c>
    </x:row>
    <x:row r="1073" ht="75" customHeight="1">
      <x:c r="A1073" s="11" t="str">
        <x:v>Dùng chung (2 mã)</x:v>
      </x:c>
      <x:c r="B1073" s="11" t="str">
        <x:v>Việt</x:v>
      </x:c>
      <x:c r="C1073" s="11" t="str">
        <x:v>Việt: hàng hải</x:v>
      </x:c>
      <x:c r="D1073" s="11" t="str">
        <x:v>Âm/chữ hoặc thành tố Hán Việt; không tự xác nhận nghĩa chuyên ngành.</x:v>
      </x:c>
      <x:c r="E1073" s="11" t="str">
        <x:v>Thành tố</x:v>
      </x:c>
      <x:c r="F1073" s="11" t="str">
        <x:v>Việt</x:v>
      </x:c>
      <x:c r="G1073" s="11" t="str">
        <x:v>ET198</x:v>
      </x:c>
      <x:c r="H1073" s="11" t="str">
        <x:v>Từ điển Hán Nôm, mục 航海</x:v>
      </x:c>
      <x:c r="I1073" s="30" t="str">
        <x:v>https://hvdic.thivien.net/whv/%E8%88%AA%E6%B5%B7</x:v>
      </x:c>
      <x:c r="J1073" s="11" t="str">
        <x:v>Trang từ điển ghi âm Hán Việt và/hoặc mục từ tương ứng với 航海. Chỉ dùng cho thành tố được nêu; cấu tạo toàn cụm do người rà soát tổng hợp.
Nguồn biên soạn: Bản điện tử HVdic/Thi Viện; Nguyễn Quốc Hùng</x:v>
      </x:c>
      <x:c r="K1073" s="11" t="str">
        <x:v>2026-10-29 (KST)</x:v>
      </x:c>
    </x:row>
    <x:row r="1074" ht="85.5" customHeight="1">
      <x:c r="A1074" s="11" t="str">
        <x:v>C067</x:v>
      </x:c>
      <x:c r="B1074" s="11" t="str">
        <x:v>Việt</x:v>
      </x:c>
      <x:c r="C1074" s="11" t="str">
        <x:v>Việt: bằng</x:v>
      </x:c>
      <x:c r="D1074" s="11" t="str">
        <x:v>Nguồn từ nguyên/chữ gốc hoặc thành tố được nêu; đọc giới hạn tại ghi chú.</x:v>
      </x:c>
      <x:c r="E1074" s="11" t="str">
        <x:v>Thành tố</x:v>
      </x:c>
      <x:c r="F1074" s="11" t="str">
        <x:v>Việt</x:v>
      </x:c>
      <x:c r="G1074" s="11" t="str">
        <x:v>ET199</x:v>
      </x:c>
      <x:c r="H1074" s="11" t="str">
        <x:v>WOLD — Vietnamese vocabulary (Mark Alves), bằng</x:v>
      </x:c>
      <x:c r="I1074" s="30" t="str">
        <x:v>https://wold.clld.org/word/7215023199007028</x:v>
      </x:c>
      <x:c r="J1074" s="11" t="str">
        <x:v>2. probably borrowed; This is probably a doublet related to the synonymous Tang Dynasty literary Sino-Vietnamese reading bình.
Nguồn biên soạn: Mark Alves, WOLD; dữ liệu v4.2 do nhóm nghiên cứu phát hành, đối chiếu trường ngữ nghĩa. Không suy nguồn gốc mọi thành tố từ nhãn của cả từ ghép.</x:v>
      </x:c>
      <x:c r="K1074" s="11" t="str">
        <x:v>2026-10-29 (KST)</x:v>
      </x:c>
    </x:row>
    <x:row r="1075" ht="75" customHeight="1">
      <x:c r="A1075" s="11" t="str">
        <x:v>C068</x:v>
      </x:c>
      <x:c r="B1075" s="11" t="str">
        <x:v>Việt</x:v>
      </x:c>
      <x:c r="C1075" s="11" t="str">
        <x:v>Việt: truyền thống</x:v>
      </x:c>
      <x:c r="D1075" s="11" t="str">
        <x:v>Âm/chữ hoặc thành tố Hán Việt; không tự xác nhận nghĩa chuyên ngành.</x:v>
      </x:c>
      <x:c r="E1075" s="11" t="str">
        <x:v>Thành tố</x:v>
      </x:c>
      <x:c r="F1075" s="11" t="str">
        <x:v>Việt</x:v>
      </x:c>
      <x:c r="G1075" s="11" t="str">
        <x:v>ET200</x:v>
      </x:c>
      <x:c r="H1075" s="11" t="str">
        <x:v>Từ điển Hán Nôm, mục 傳統</x:v>
      </x:c>
      <x:c r="I1075" s="30" t="str">
        <x:v>https://hvdic.thivien.net/whv/%E5%82%B3%E7%B5%B1</x:v>
      </x:c>
      <x:c r="J1075" s="11" t="str">
        <x:v>Trang từ điển ghi âm Hán Việt và/hoặc mục từ tương ứng với 傳統. Chỉ dùng cho thành tố được nêu; cấu tạo toàn cụm do người rà soát tổng hợp.
Nguồn biên soạn: Bản điện tử HVdic/Thi Viện; chuyên mục phổ thông/trích dẫn, trang chưa chỉ rõ người biên soạn riêng mục này</x:v>
      </x:c>
      <x:c r="K1075" s="11" t="str">
        <x:v>2026-10-29 (KST)</x:v>
      </x:c>
    </x:row>
    <x:row r="1076" ht="75" customHeight="1">
      <x:c r="A1076" s="11" t="str">
        <x:v>C070</x:v>
      </x:c>
      <x:c r="B1076" s="11" t="str">
        <x:v>Việt</x:v>
      </x:c>
      <x:c r="C1076" s="11" t="str">
        <x:v>Việt: lương thực</x:v>
      </x:c>
      <x:c r="D1076" s="11" t="str">
        <x:v>Âm/chữ hoặc thành tố Hán Việt; không tự xác nhận nghĩa chuyên ngành.</x:v>
      </x:c>
      <x:c r="E1076" s="11" t="str">
        <x:v>Thành tố</x:v>
      </x:c>
      <x:c r="F1076" s="11" t="str">
        <x:v>Việt</x:v>
      </x:c>
      <x:c r="G1076" s="11" t="str">
        <x:v>ET201</x:v>
      </x:c>
      <x:c r="H1076" s="11" t="str">
        <x:v>Từ điển Hán Nôm, mục 糧食</x:v>
      </x:c>
      <x:c r="I1076" s="30" t="str">
        <x:v>https://hvdic.thivien.net/whv/%E7%B3%A7%E9%A3%9F</x:v>
      </x:c>
      <x:c r="J1076" s="11" t="str">
        <x:v>Trang từ điển ghi âm Hán Việt và/hoặc mục từ tương ứng với 糧食. Chỉ dùng cho thành tố được nêu; cấu tạo toàn cụm do người rà soát tổng hợp.
Nguồn biên soạn: Bản điện tử HVdic/Thi Viện; Nguyễn Quốc Hùng</x:v>
      </x:c>
      <x:c r="K1076" s="11" t="str">
        <x:v>2026-10-29 (KST)</x:v>
      </x:c>
    </x:row>
    <x:row r="1077" ht="75" customHeight="1">
      <x:c r="A1077" s="11" t="str">
        <x:v>C072</x:v>
      </x:c>
      <x:c r="B1077" s="11" t="str">
        <x:v>Việt</x:v>
      </x:c>
      <x:c r="C1077" s="11" t="str">
        <x:v>Việt: năng lượng</x:v>
      </x:c>
      <x:c r="D1077" s="11" t="str">
        <x:v>Âm/chữ hoặc thành tố Hán Việt; không tự xác nhận nghĩa chuyên ngành.</x:v>
      </x:c>
      <x:c r="E1077" s="11" t="str">
        <x:v>Thành tố</x:v>
      </x:c>
      <x:c r="F1077" s="11" t="str">
        <x:v>Việt</x:v>
      </x:c>
      <x:c r="G1077" s="11" t="str">
        <x:v>ET202</x:v>
      </x:c>
      <x:c r="H1077" s="11" t="str">
        <x:v>Từ điển Hán Nôm, mục 能量</x:v>
      </x:c>
      <x:c r="I1077" s="30" t="str">
        <x:v>https://hvdic.thivien.net/whv/%E8%83%BD%E9%87%8F</x:v>
      </x:c>
      <x:c r="J1077" s="11" t="str">
        <x:v>Trang từ điển ghi âm Hán Việt và/hoặc mục từ tương ứng với 能量. Chỉ dùng cho thành tố được nêu; cấu tạo toàn cụm do người rà soát tổng hợp.
Nguồn biên soạn: Bản điện tử HVdic/Thi Viện; chuyên mục phổ thông/trích dẫn, trang chưa chỉ rõ người biên soạn riêng mục này</x:v>
      </x:c>
      <x:c r="K1077" s="11" t="str">
        <x:v>2026-10-29 (KST)</x:v>
      </x:c>
    </x:row>
    <x:row r="1078" ht="100.5" customHeight="1">
      <x:c r="A1078" s="11" t="str">
        <x:v>Dùng chung (2 mã)</x:v>
      </x:c>
      <x:c r="B1078" s="11" t="str">
        <x:v>Việt</x:v>
      </x:c>
      <x:c r="C1078" s="11" t="str">
        <x:v>Việt: mạng</x:v>
      </x:c>
      <x:c r="D1078" s="11" t="str">
        <x:v>Nguồn từ nguyên/chữ gốc hoặc thành tố được nêu; đọc giới hạn tại ghi chú.</x:v>
      </x:c>
      <x:c r="E1078" s="11" t="str">
        <x:v>Thành tố</x:v>
      </x:c>
      <x:c r="F1078" s="11" t="str">
        <x:v>Việt</x:v>
      </x:c>
      <x:c r="G1078" s="11" t="str">
        <x:v>ET203</x:v>
      </x:c>
      <x:c r="H1078" s="11" t="str">
        <x:v>WOLD — Vietnamese vocabulary (Mark Alves), mạng nhện</x:v>
      </x:c>
      <x:c r="I1078" s="30" t="str">
        <x:v>https://wold.clld.org/word/7215023765545453</x:v>
      </x:c>
      <x:c r="J1078" s="11" t="str">
        <x:v>WOLD không đánh giá toàn tổ hợp mạng nhện là từ vay mượn; trường borrowed_base riêng ghi mạng có thể liên hệ với võng 網. Chưa có kết luận chắc cho mạng nghĩa network.
Nguồn biên soạn: Mark Alves, WOLD; dữ liệu v4.2 do nhóm nghiên cứu phát hành, đối chiếu trường ngữ nghĩa. Không suy nguồn gốc mọi thành tố từ nhãn của cả từ ghép.</x:v>
      </x:c>
      <x:c r="K1078" s="11" t="str">
        <x:v>2026-10-29 (KST)</x:v>
      </x:c>
    </x:row>
    <x:row r="1079" ht="75" customHeight="1">
      <x:c r="A1079" s="11" t="str">
        <x:v>C085</x:v>
      </x:c>
      <x:c r="B1079" s="11" t="str">
        <x:v>Việt</x:v>
      </x:c>
      <x:c r="C1079" s="11" t="str">
        <x:v>Việt: toàn cầu</x:v>
      </x:c>
      <x:c r="D1079" s="11" t="str">
        <x:v>Âm/chữ hoặc thành tố Hán Việt; không tự xác nhận nghĩa chuyên ngành.</x:v>
      </x:c>
      <x:c r="E1079" s="11" t="str">
        <x:v>Thành tố</x:v>
      </x:c>
      <x:c r="F1079" s="11" t="str">
        <x:v>Việt</x:v>
      </x:c>
      <x:c r="G1079" s="11" t="str">
        <x:v>ET204</x:v>
      </x:c>
      <x:c r="H1079" s="11" t="str">
        <x:v>Từ điển Hán Nôm, mục 全球</x:v>
      </x:c>
      <x:c r="I1079" s="30" t="str">
        <x:v>https://hvdic.thivien.net/whv/%E5%85%A8%E7%90%83</x:v>
      </x:c>
      <x:c r="J1079" s="11" t="str">
        <x:v>Trang từ điển ghi âm Hán Việt và/hoặc mục từ tương ứng với 全球. Chỉ dùng cho thành tố được nêu; cấu tạo toàn cụm do người rà soát tổng hợp.
Nguồn biên soạn: Bản điện tử HVdic/Thi Viện; Nguyễn Quốc Hùng</x:v>
      </x:c>
      <x:c r="K1079" s="11" t="str">
        <x:v>2026-10-29 (KST)</x:v>
      </x:c>
    </x:row>
    <x:row r="1080" ht="75" customHeight="1">
      <x:c r="A1080" s="11" t="str">
        <x:v>C086</x:v>
      </x:c>
      <x:c r="B1080" s="11" t="str">
        <x:v>Việt</x:v>
      </x:c>
      <x:c r="C1080" s="11" t="str">
        <x:v>Việt: trật tự</x:v>
      </x:c>
      <x:c r="D1080" s="11" t="str">
        <x:v>Âm/chữ hoặc thành tố Hán Việt; không tự xác nhận nghĩa chuyên ngành.</x:v>
      </x:c>
      <x:c r="E1080" s="11" t="str">
        <x:v>Thành tố</x:v>
      </x:c>
      <x:c r="F1080" s="11" t="str">
        <x:v>Việt</x:v>
      </x:c>
      <x:c r="G1080" s="11" t="str">
        <x:v>ET205</x:v>
      </x:c>
      <x:c r="H1080" s="11" t="str">
        <x:v>Từ điển Hán Nôm, mục 秩序</x:v>
      </x:c>
      <x:c r="I1080" s="30" t="str">
        <x:v>https://hvdic.thivien.net/whv/%E7%A7%A9%E5%BA%8F</x:v>
      </x:c>
      <x:c r="J1080" s="11" t="str">
        <x:v>Trang từ điển ghi âm Hán Việt và/hoặc mục từ tương ứng với 秩序. Chỉ dùng cho thành tố được nêu; cấu tạo toàn cụm do người rà soát tổng hợp.
Nguồn biên soạn: Bản điện tử HVdic/Thi Viện; Nguyễn Quốc Hùng</x:v>
      </x:c>
      <x:c r="K1080" s="11" t="str">
        <x:v>2026-10-29 (KST)</x:v>
      </x:c>
    </x:row>
    <x:row r="1081" ht="85.5" customHeight="1">
      <x:c r="A1081" s="11" t="str">
        <x:v>C088</x:v>
      </x:c>
      <x:c r="B1081" s="11" t="str">
        <x:v>Việt</x:v>
      </x:c>
      <x:c r="C1081" s="11" t="str">
        <x:v>Việt: mạnh</x:v>
      </x:c>
      <x:c r="D1081" s="11" t="str">
        <x:v>Nguồn từ nguyên/chữ gốc hoặc thành tố được nêu; đọc giới hạn tại ghi chú.</x:v>
      </x:c>
      <x:c r="E1081" s="11" t="str">
        <x:v>Thành tố</x:v>
      </x:c>
      <x:c r="F1081" s="11" t="str">
        <x:v>Việt</x:v>
      </x:c>
      <x:c r="G1081" s="11" t="str">
        <x:v>ET206</x:v>
      </x:c>
      <x:c r="H1081" s="11" t="str">
        <x:v>WOLD — Vietnamese vocabulary (Mark Alves), mạnh</x:v>
      </x:c>
      <x:c r="I1081" s="30" t="str">
        <x:v>https://wold.clld.org/word/7215023446352609</x:v>
      </x:c>
      <x:c r="J1081" s="11" t="str">
        <x:v>2. probably borrowed; This is probably related to the synonymous Tang Dynasty literary Sino-Vietnamese reading mãnh.
Nguồn biên soạn: Mark Alves, WOLD; dữ liệu v4.2 do nhóm nghiên cứu phát hành, đối chiếu trường ngữ nghĩa. Không suy nguồn gốc mọi thành tố từ nhãn của cả từ ghép.</x:v>
      </x:c>
      <x:c r="K1081" s="11" t="str">
        <x:v>2026-10-29 (KST)</x:v>
      </x:c>
    </x:row>
    <x:row r="1082" ht="75" customHeight="1">
      <x:c r="A1082" s="11" t="str">
        <x:v>C088</x:v>
      </x:c>
      <x:c r="B1082" s="11" t="str">
        <x:v>Việt</x:v>
      </x:c>
      <x:c r="C1082" s="11" t="str">
        <x:v>Việt: mềm</x:v>
      </x:c>
      <x:c r="D1082" s="11" t="str">
        <x:v>Nguồn từ nguyên/chữ gốc hoặc thành tố được nêu; đọc giới hạn tại ghi chú.</x:v>
      </x:c>
      <x:c r="E1082" s="11" t="str">
        <x:v>Thành tố</x:v>
      </x:c>
      <x:c r="F1082" s="11" t="str">
        <x:v>Việt</x:v>
      </x:c>
      <x:c r="G1082" s="11" t="str">
        <x:v>ET207</x:v>
      </x:c>
      <x:c r="H1082" s="11" t="str">
        <x:v>WOLD — Vietnamese vocabulary (Mark Alves), mềm</x:v>
      </x:c>
      <x:c r="I1082" s="30" t="str">
        <x:v>https://wold.clld.org/word/7215023235846675</x:v>
      </x:c>
      <x:c r="J1082" s="11" t="str">
        <x:v>5. no evidence for borrowing; 
Nguồn biên soạn: Mark Alves, WOLD; dữ liệu v4.2 do nhóm nghiên cứu phát hành, đối chiếu trường ngữ nghĩa. Không suy nguồn gốc mọi thành tố từ nhãn của cả từ ghép.</x:v>
      </x:c>
      <x:c r="K1082" s="11" t="str">
        <x:v>2026-10-29 (KST)</x:v>
      </x:c>
    </x:row>
    <x:row r="1083" ht="75" customHeight="1">
      <x:c r="A1083" s="11" t="str">
        <x:v>Dùng chung (2 mã)</x:v>
      </x:c>
      <x:c r="B1083" s="11" t="str">
        <x:v>Việt</x:v>
      </x:c>
      <x:c r="C1083" s="11" t="str">
        <x:v>Việt: đa</x:v>
      </x:c>
      <x:c r="D1083" s="11" t="str">
        <x:v>Âm/chữ hoặc thành tố Hán Việt; không tự xác nhận nghĩa chuyên ngành.</x:v>
      </x:c>
      <x:c r="E1083" s="11" t="str">
        <x:v>Thành tố</x:v>
      </x:c>
      <x:c r="F1083" s="11" t="str">
        <x:v>Việt</x:v>
      </x:c>
      <x:c r="G1083" s="11" t="str">
        <x:v>ET208</x:v>
      </x:c>
      <x:c r="H1083" s="11" t="str">
        <x:v>Từ điển Hán Nôm, mục 多</x:v>
      </x:c>
      <x:c r="I1083" s="30" t="str">
        <x:v>https://hvdic.thivien.net/whv/%E5%A4%9A</x:v>
      </x:c>
      <x:c r="J1083" s="11" t="str">
        <x:v>Trang từ điển ghi âm Hán Việt và/hoặc mục từ tương ứng với 多. Chỉ dùng cho thành tố được nêu; cấu tạo toàn cụm do người rà soát tổng hợp.
Nguồn biên soạn: Bản điện tử HVdic/Thi Viện; chuyên mục phổ thông/trích dẫn, trang chưa chỉ rõ người biên soạn riêng mục này</x:v>
      </x:c>
      <x:c r="K1083" s="11" t="str">
        <x:v>2026-10-29 (KST)</x:v>
      </x:c>
    </x:row>
    <x:row r="1084" ht="75" customHeight="1">
      <x:c r="A1084" s="11" t="str">
        <x:v>C091</x:v>
      </x:c>
      <x:c r="B1084" s="11" t="str">
        <x:v>Việt</x:v>
      </x:c>
      <x:c r="C1084" s="11" t="str">
        <x:v>Việt: phương</x:v>
      </x:c>
      <x:c r="D1084" s="11" t="str">
        <x:v>Âm/chữ hoặc thành tố Hán Việt; không tự xác nhận nghĩa chuyên ngành.</x:v>
      </x:c>
      <x:c r="E1084" s="11" t="str">
        <x:v>Thành tố</x:v>
      </x:c>
      <x:c r="F1084" s="11" t="str">
        <x:v>Việt</x:v>
      </x:c>
      <x:c r="G1084" s="11" t="str">
        <x:v>ET209</x:v>
      </x:c>
      <x:c r="H1084" s="11" t="str">
        <x:v>Từ điển Hán Nôm, mục 方</x:v>
      </x:c>
      <x:c r="I1084" s="30" t="str">
        <x:v>https://hvdic.thivien.net/whv/%E6%96%B9</x:v>
      </x:c>
      <x:c r="J1084" s="11" t="str">
        <x:v>Trang từ điển ghi âm Hán Việt và/hoặc mục từ tương ứng với 方. Chỉ dùng cho thành tố được nêu; cấu tạo toàn cụm do người rà soát tổng hợp.
Nguồn biên soạn: Bản điện tử HVdic/Thi Viện; chuyên mục phổ thông/trích dẫn, trang chưa chỉ rõ người biên soạn riêng mục này</x:v>
      </x:c>
      <x:c r="K1084" s="11" t="str">
        <x:v>2026-10-29 (KST)</x:v>
      </x:c>
    </x:row>
    <x:row r="1085" ht="75" customHeight="1">
      <x:c r="A1085" s="11" t="str">
        <x:v>Dùng chung (2 mã)</x:v>
      </x:c>
      <x:c r="B1085" s="11" t="str">
        <x:v>Việt</x:v>
      </x:c>
      <x:c r="C1085" s="11" t="str">
        <x:v>Việt: hóa</x:v>
      </x:c>
      <x:c r="D1085" s="11" t="str">
        <x:v>Âm/chữ hoặc thành tố Hán Việt; không tự xác nhận nghĩa chuyên ngành.</x:v>
      </x:c>
      <x:c r="E1085" s="11" t="str">
        <x:v>Thành tố</x:v>
      </x:c>
      <x:c r="F1085" s="11" t="str">
        <x:v>Việt</x:v>
      </x:c>
      <x:c r="G1085" s="11" t="str">
        <x:v>ET210</x:v>
      </x:c>
      <x:c r="H1085" s="11" t="str">
        <x:v>Từ điển Hán Nôm, mục 化</x:v>
      </x:c>
      <x:c r="I1085" s="30" t="str">
        <x:v>https://hvdic.thivien.net/whv/%E5%8C%96</x:v>
      </x:c>
      <x:c r="J1085" s="11" t="str">
        <x:v>Trang từ điển ghi âm Hán Việt và/hoặc mục từ tương ứng với 化. Chỉ dùng cho thành tố được nêu; cấu tạo toàn cụm do người rà soát tổng hợp.
Nguồn biên soạn: Bản điện tử HVdic/Thi Viện; chuyên mục phổ thông/trích dẫn, trang chưa chỉ rõ người biên soạn riêng mục này</x:v>
      </x:c>
      <x:c r="K1085" s="11" t="str">
        <x:v>2026-10-29 (KST)</x:v>
      </x:c>
    </x:row>
    <x:row r="1086" ht="75" customHeight="1">
      <x:c r="A1086" s="11" t="str">
        <x:v>C092</x:v>
      </x:c>
      <x:c r="B1086" s="11" t="str">
        <x:v>Việt</x:v>
      </x:c>
      <x:c r="C1086" s="11" t="str">
        <x:v>Việt: dạng</x:v>
      </x:c>
      <x:c r="D1086" s="11" t="str">
        <x:v>Âm/chữ hoặc thành tố Hán Việt; không tự xác nhận nghĩa chuyên ngành.</x:v>
      </x:c>
      <x:c r="E1086" s="11" t="str">
        <x:v>Thành tố</x:v>
      </x:c>
      <x:c r="F1086" s="11" t="str">
        <x:v>Việt</x:v>
      </x:c>
      <x:c r="G1086" s="11" t="str">
        <x:v>ET211</x:v>
      </x:c>
      <x:c r="H1086" s="11" t="str">
        <x:v>Từ điển Hán Nôm, mục 樣</x:v>
      </x:c>
      <x:c r="I1086" s="30" t="str">
        <x:v>https://hvdic.thivien.net/whv/%E6%A8%A3</x:v>
      </x:c>
      <x:c r="J1086" s="11" t="str">
        <x:v>Trang từ điển ghi âm Hán Việt và/hoặc mục từ tương ứng với 樣. Chỉ dùng cho thành tố được nêu; cấu tạo toàn cụm do người rà soát tổng hợp.
Nguồn biên soạn: Bản điện tử HVdic/Thi Viện; chuyên mục phổ thông/trích dẫn, trang chưa chỉ rõ người biên soạn riêng mục này</x:v>
      </x:c>
      <x:c r="K1086" s="11" t="str">
        <x:v>2026-10-29 (KST)</x:v>
      </x:c>
    </x:row>
    <x:row r="1087" ht="75" customHeight="1">
      <x:c r="A1087" s="11" t="str">
        <x:v>Dùng chung (2 mã)</x:v>
      </x:c>
      <x:c r="B1087" s="11" t="str">
        <x:v>Việt</x:v>
      </x:c>
      <x:c r="C1087" s="11" t="str">
        <x:v>Việt: song phương</x:v>
      </x:c>
      <x:c r="D1087" s="11" t="str">
        <x:v>Âm/chữ hoặc thành tố Hán Việt; không tự xác nhận nghĩa chuyên ngành.</x:v>
      </x:c>
      <x:c r="E1087" s="11" t="str">
        <x:v>Thành tố</x:v>
      </x:c>
      <x:c r="F1087" s="11" t="str">
        <x:v>Việt</x:v>
      </x:c>
      <x:c r="G1087" s="11" t="str">
        <x:v>ET212</x:v>
      </x:c>
      <x:c r="H1087" s="11" t="str">
        <x:v>Từ điển Hán Nôm, mục 雙方</x:v>
      </x:c>
      <x:c r="I1087" s="30" t="str">
        <x:v>https://hvdic.thivien.net/whv/%E9%9B%99%E6%96%B9</x:v>
      </x:c>
      <x:c r="J1087" s="11" t="str">
        <x:v>Trang từ điển ghi âm Hán Việt và/hoặc mục từ tương ứng với 雙方. Chỉ dùng cho thành tố được nêu; cấu tạo toàn cụm do người rà soát tổng hợp.
Nguồn biên soạn: Bản điện tử HVdic/Thi Viện; Nguyễn Quốc Hùng</x:v>
      </x:c>
      <x:c r="K1087" s="11" t="str">
        <x:v>2026-10-29 (KST)</x:v>
      </x:c>
    </x:row>
    <x:row r="1088" ht="75" customHeight="1">
      <x:c r="A1088" s="11" t="str">
        <x:v>C101</x:v>
      </x:c>
      <x:c r="B1088" s="11" t="str">
        <x:v>Việt</x:v>
      </x:c>
      <x:c r="C1088" s="11" t="str">
        <x:v>Việt: hỗn hợp</x:v>
      </x:c>
      <x:c r="D1088" s="11" t="str">
        <x:v>Âm/chữ hoặc thành tố Hán Việt; không tự xác nhận nghĩa chuyên ngành.</x:v>
      </x:c>
      <x:c r="E1088" s="11" t="str">
        <x:v>Thành tố</x:v>
      </x:c>
      <x:c r="F1088" s="11" t="str">
        <x:v>Việt</x:v>
      </x:c>
      <x:c r="G1088" s="11" t="str">
        <x:v>ET213</x:v>
      </x:c>
      <x:c r="H1088" s="11" t="str">
        <x:v>Từ điển Hán Nôm, mục 混合</x:v>
      </x:c>
      <x:c r="I1088" s="30" t="str">
        <x:v>https://hvdic.thivien.net/whv/%E6%B7%B7%E5%90%88</x:v>
      </x:c>
      <x:c r="J1088" s="11" t="str">
        <x:v>Trang từ điển ghi âm Hán Việt và/hoặc mục từ tương ứng với 混合. Chỉ dùng cho thành tố được nêu; cấu tạo toàn cụm do người rà soát tổng hợp.
Nguồn biên soạn: Bản điện tử HVdic/Thi Viện; Nguyễn Quốc Hùng</x:v>
      </x:c>
      <x:c r="K1088" s="11" t="str">
        <x:v>2026-10-29 (KST)</x:v>
      </x:c>
    </x:row>
    <x:row r="1089" ht="75" customHeight="1">
      <x:c r="A1089" s="11" t="str">
        <x:v>C102</x:v>
      </x:c>
      <x:c r="B1089" s="11" t="str">
        <x:v>Việt</x:v>
      </x:c>
      <x:c r="C1089" s="11" t="str">
        <x:v>Việt: Tham khảo</x:v>
      </x:c>
      <x:c r="D1089" s="11" t="str">
        <x:v>Âm/chữ hoặc thành tố Hán Việt; không tự xác nhận nghĩa chuyên ngành.</x:v>
      </x:c>
      <x:c r="E1089" s="11" t="str">
        <x:v>Thành tố</x:v>
      </x:c>
      <x:c r="F1089" s="11" t="str">
        <x:v>Việt</x:v>
      </x:c>
      <x:c r="G1089" s="11" t="str">
        <x:v>ET214</x:v>
      </x:c>
      <x:c r="H1089" s="11" t="str">
        <x:v>Từ điển Hán Nôm, mục 參考</x:v>
      </x:c>
      <x:c r="I1089" s="30" t="str">
        <x:v>https://hvdic.thivien.net/whv/%E5%8F%83%E8%80%83</x:v>
      </x:c>
      <x:c r="J1089" s="11" t="str">
        <x:v>Trang từ điển ghi âm Hán Việt và/hoặc mục từ tương ứng với 參考. Chỉ dùng cho thành tố được nêu; cấu tạo toàn cụm do người rà soát tổng hợp.
Nguồn biên soạn: Bản điện tử HVdic/Thi Viện; Nguyễn Quốc Hùng</x:v>
      </x:c>
      <x:c r="K1089" s="11" t="str">
        <x:v>2026-10-29 (KST)</x:v>
      </x:c>
    </x:row>
    <x:row r="1090" ht="75" customHeight="1">
      <x:c r="A1090" s="11" t="str">
        <x:v>C104</x:v>
      </x:c>
      <x:c r="B1090" s="11" t="str">
        <x:v>Việt</x:v>
      </x:c>
      <x:c r="C1090" s="11" t="str">
        <x:v>Việt: Cộng đồng</x:v>
      </x:c>
      <x:c r="D1090" s="11" t="str">
        <x:v>Âm/chữ hoặc thành tố Hán Việt; không tự xác nhận nghĩa chuyên ngành.</x:v>
      </x:c>
      <x:c r="E1090" s="11" t="str">
        <x:v>Thành tố</x:v>
      </x:c>
      <x:c r="F1090" s="11" t="str">
        <x:v>Việt</x:v>
      </x:c>
      <x:c r="G1090" s="11" t="str">
        <x:v>ET215</x:v>
      </x:c>
      <x:c r="H1090" s="11" t="str">
        <x:v>Từ điển Hán Nôm, mục 共同</x:v>
      </x:c>
      <x:c r="I1090" s="30" t="str">
        <x:v>https://hvdic.thivien.net/whv/%E5%85%B1%E5%90%8C</x:v>
      </x:c>
      <x:c r="J1090" s="11" t="str">
        <x:v>Trang từ điển ghi âm Hán Việt và/hoặc mục từ tương ứng với 共同. Chỉ dùng cho thành tố được nêu; cấu tạo toàn cụm do người rà soát tổng hợp.
Nguồn biên soạn: Bản điện tử HVdic/Thi Viện; chuyên mục phổ thông/trích dẫn, trang chưa chỉ rõ người biên soạn riêng mục này</x:v>
      </x:c>
      <x:c r="K1090" s="11" t="str">
        <x:v>2026-10-29 (KST)</x:v>
      </x:c>
    </x:row>
    <x:row r="1091" ht="75" customHeight="1">
      <x:c r="A1091" s="11" t="str">
        <x:v>C109</x:v>
      </x:c>
      <x:c r="B1091" s="11" t="str">
        <x:v>Việt</x:v>
      </x:c>
      <x:c r="C1091" s="11" t="str">
        <x:v>Việt: đàm phán</x:v>
      </x:c>
      <x:c r="D1091" s="11" t="str">
        <x:v>Âm/chữ hoặc thành tố Hán Việt; không tự xác nhận nghĩa chuyên ngành.</x:v>
      </x:c>
      <x:c r="E1091" s="11" t="str">
        <x:v>Thành tố</x:v>
      </x:c>
      <x:c r="F1091" s="11" t="str">
        <x:v>Việt</x:v>
      </x:c>
      <x:c r="G1091" s="11" t="str">
        <x:v>ET216</x:v>
      </x:c>
      <x:c r="H1091" s="11" t="str">
        <x:v>Từ điển Hán Nôm, mục 談判</x:v>
      </x:c>
      <x:c r="I1091" s="30" t="str">
        <x:v>https://hvdic.thivien.net/whv/%E8%AB%87%E5%88%A4</x:v>
      </x:c>
      <x:c r="J1091" s="11" t="str">
        <x:v>Trang từ điển ghi âm Hán Việt và/hoặc mục từ tương ứng với 談判. Chỉ dùng cho thành tố được nêu; cấu tạo toàn cụm do người rà soát tổng hợp.
Nguồn biên soạn: Bản điện tử HVdic/Thi Viện; Nguyễn Quốc Hùng</x:v>
      </x:c>
      <x:c r="K1091" s="11" t="str">
        <x:v>2026-10-29 (KST)</x:v>
      </x:c>
    </x:row>
    <x:row r="1092" ht="75" customHeight="1">
      <x:c r="A1092" s="11" t="str">
        <x:v>C110</x:v>
      </x:c>
      <x:c r="B1092" s="11" t="str">
        <x:v>Việt</x:v>
      </x:c>
      <x:c r="C1092" s="11" t="str">
        <x:v>Việt: phê chuẩn</x:v>
      </x:c>
      <x:c r="D1092" s="11" t="str">
        <x:v>Âm/chữ hoặc thành tố Hán Việt; không tự xác nhận nghĩa chuyên ngành.</x:v>
      </x:c>
      <x:c r="E1092" s="11" t="str">
        <x:v>Thành tố</x:v>
      </x:c>
      <x:c r="F1092" s="11" t="str">
        <x:v>Việt</x:v>
      </x:c>
      <x:c r="G1092" s="11" t="str">
        <x:v>ET217</x:v>
      </x:c>
      <x:c r="H1092" s="11" t="str">
        <x:v>Từ điển Hán Nôm, mục 批准</x:v>
      </x:c>
      <x:c r="I1092" s="30" t="str">
        <x:v>https://hvdic.thivien.net/whv/%E6%89%B9%E5%87%86</x:v>
      </x:c>
      <x:c r="J1092" s="11" t="str">
        <x:v>Trang từ điển ghi âm Hán Việt và/hoặc mục từ tương ứng với 批准. Chỉ dùng cho thành tố được nêu; cấu tạo toàn cụm do người rà soát tổng hợp.
Nguồn biên soạn: Bản điện tử HVdic/Thi Viện; chuyên mục phổ thông/trích dẫn, trang chưa chỉ rõ người biên soạn riêng mục này</x:v>
      </x:c>
      <x:c r="K1092" s="11" t="str">
        <x:v>2026-10-29 (KST)</x:v>
      </x:c>
    </x:row>
    <x:row r="1093" ht="75" customHeight="1">
      <x:c r="A1093" s="11" t="str">
        <x:v>C114</x:v>
      </x:c>
      <x:c r="B1093" s="11" t="str">
        <x:v>Việt</x:v>
      </x:c>
      <x:c r="C1093" s="11" t="str">
        <x:v>Việt: hoạt động</x:v>
      </x:c>
      <x:c r="D1093" s="11" t="str">
        <x:v>Âm/chữ hoặc thành tố Hán Việt; không tự xác nhận nghĩa chuyên ngành.</x:v>
      </x:c>
      <x:c r="E1093" s="11" t="str">
        <x:v>Thành tố</x:v>
      </x:c>
      <x:c r="F1093" s="11" t="str">
        <x:v>Việt</x:v>
      </x:c>
      <x:c r="G1093" s="11" t="str">
        <x:v>ET218</x:v>
      </x:c>
      <x:c r="H1093" s="11" t="str">
        <x:v>Từ điển Hán Nôm, mục 活動</x:v>
      </x:c>
      <x:c r="I1093" s="30" t="str">
        <x:v>https://hvdic.thivien.net/whv/%E6%B4%BB%E5%8B%95</x:v>
      </x:c>
      <x:c r="J1093" s="11" t="str">
        <x:v>Trang từ điển ghi âm Hán Việt và/hoặc mục từ tương ứng với 活動. Chỉ dùng cho thành tố được nêu; cấu tạo toàn cụm do người rà soát tổng hợp.
Nguồn biên soạn: Bản điện tử HVdic/Thi Viện; chuyên mục phổ thông/trích dẫn, trang chưa chỉ rõ người biên soạn riêng mục này</x:v>
      </x:c>
      <x:c r="K1093" s="11" t="str">
        <x:v>2026-10-29 (KST)</x:v>
      </x:c>
    </x:row>
    <x:row r="1094" ht="85.5" customHeight="1">
      <x:c r="A1094" s="11" t="str">
        <x:v>C114</x:v>
      </x:c>
      <x:c r="B1094" s="11" t="str">
        <x:v>Việt</x:v>
      </x:c>
      <x:c r="C1094" s="11" t="str">
        <x:v>Việt: giữ</x:v>
      </x:c>
      <x:c r="D1094" s="11" t="str">
        <x:v>Nguồn từ nguyên/chữ gốc hoặc thành tố được nêu; đọc giới hạn tại ghi chú.</x:v>
      </x:c>
      <x:c r="E1094" s="11" t="str">
        <x:v>Thành tố</x:v>
      </x:c>
      <x:c r="F1094" s="11" t="str">
        <x:v>Việt</x:v>
      </x:c>
      <x:c r="G1094" s="11" t="str">
        <x:v>ET219</x:v>
      </x:c>
      <x:c r="H1094" s="11" t="str">
        <x:v>WOLD — Vietnamese vocabulary (Mark Alves), giữ</x:v>
      </x:c>
      <x:c r="I1094" s="30" t="str">
        <x:v>https://wold.clld.org/word/7215023799203489</x:v>
      </x:c>
      <x:c r="J1094" s="11" t="str">
        <x:v>5. no evidence for borrowing; The proto-Vietic form is identified in Ferlus ms.
Nguồn biên soạn: Mark Alves, WOLD; dữ liệu v4.2 do nhóm nghiên cứu phát hành, đối chiếu trường ngữ nghĩa. Không suy nguồn gốc mọi thành tố từ nhãn của cả từ ghép.</x:v>
      </x:c>
      <x:c r="K1094" s="11" t="str">
        <x:v>2026-10-29 (KST)</x:v>
      </x:c>
    </x:row>
    <x:row r="1095" ht="75" customHeight="1">
      <x:c r="A1095" s="11" t="str">
        <x:v>Dùng chung (2 mã)</x:v>
      </x:c>
      <x:c r="B1095" s="11" t="str">
        <x:v>Việt</x:v>
      </x:c>
      <x:c r="C1095" s="11" t="str">
        <x:v>Việt: bảo hộ; Việt: Bảo hộ</x:v>
      </x:c>
      <x:c r="D1095" s="11" t="str">
        <x:v>Âm/chữ hoặc thành tố Hán Việt; không tự xác nhận nghĩa chuyên ngành.</x:v>
      </x:c>
      <x:c r="E1095" s="11" t="str">
        <x:v>Thành tố</x:v>
      </x:c>
      <x:c r="F1095" s="11" t="str">
        <x:v>Việt</x:v>
      </x:c>
      <x:c r="G1095" s="11" t="str">
        <x:v>ET220</x:v>
      </x:c>
      <x:c r="H1095" s="11" t="str">
        <x:v>Từ điển Hán Nôm, mục 保護</x:v>
      </x:c>
      <x:c r="I1095" s="30" t="str">
        <x:v>https://hvdic.thivien.net/whv/%E4%BF%9D%E8%AD%B7</x:v>
      </x:c>
      <x:c r="J1095" s="11" t="str">
        <x:v>Trang từ điển ghi âm Hán Việt và/hoặc mục từ tương ứng với 保護. Chỉ dùng cho thành tố được nêu; cấu tạo toàn cụm do người rà soát tổng hợp.
Nguồn biên soạn: Bản điện tử HVdic/Thi Viện; Nguyễn Quốc Hùng</x:v>
      </x:c>
      <x:c r="K1095" s="11" t="str">
        <x:v>2026-10-29 (KST)</x:v>
      </x:c>
    </x:row>
    <x:row r="1096" ht="85.5" customHeight="1">
      <x:c r="A1096" s="11" t="str">
        <x:v>C122</x:v>
      </x:c>
      <x:c r="B1096" s="11" t="str">
        <x:v>Việt</x:v>
      </x:c>
      <x:c r="C1096" s="11" t="str">
        <x:v>Việt: mở</x:v>
      </x:c>
      <x:c r="D1096" s="11" t="str">
        <x:v>Nguồn từ nguyên/chữ gốc hoặc thành tố được nêu; đọc giới hạn tại ghi chú.</x:v>
      </x:c>
      <x:c r="E1096" s="11" t="str">
        <x:v>Thành tố</x:v>
      </x:c>
      <x:c r="F1096" s="11" t="str">
        <x:v>Việt</x:v>
      </x:c>
      <x:c r="G1096" s="11" t="str">
        <x:v>ET221</x:v>
      </x:c>
      <x:c r="H1096" s="11" t="str">
        <x:v>WOLD — Vietnamese vocabulary (Mark Alves), mở</x:v>
      </x:c>
      <x:c r="I1096" s="30" t="str">
        <x:v>https://wold.clld.org/word/7215023938678799</x:v>
      </x:c>
      <x:c r="J1096" s="11" t="str">
        <x:v>5. no evidence for borrowing; The proto-form is listed in Shorto 2006, entry 2036 *B[ə]h; *Bah ‘to open’.
Nguồn biên soạn: Mark Alves, WOLD; dữ liệu v4.2 do nhóm nghiên cứu phát hành, đối chiếu trường ngữ nghĩa. Không suy nguồn gốc mọi thành tố từ nhãn của cả từ ghép.</x:v>
      </x:c>
      <x:c r="K1096" s="11" t="str">
        <x:v>2026-10-29 (KST)</x:v>
      </x:c>
    </x:row>
    <x:row r="1097" ht="75" customHeight="1">
      <x:c r="A1097" s="11" t="str">
        <x:v>C125</x:v>
      </x:c>
      <x:c r="B1097" s="11" t="str">
        <x:v>Việt</x:v>
      </x:c>
      <x:c r="C1097" s="11" t="str">
        <x:v>Việt: viện trợ</x:v>
      </x:c>
      <x:c r="D1097" s="11" t="str">
        <x:v>Âm/chữ hoặc thành tố Hán Việt; không tự xác nhận nghĩa chuyên ngành.</x:v>
      </x:c>
      <x:c r="E1097" s="11" t="str">
        <x:v>Thành tố</x:v>
      </x:c>
      <x:c r="F1097" s="11" t="str">
        <x:v>Việt</x:v>
      </x:c>
      <x:c r="G1097" s="11" t="str">
        <x:v>ET222</x:v>
      </x:c>
      <x:c r="H1097" s="11" t="str">
        <x:v>Từ điển Hán Nôm, mục 援助</x:v>
      </x:c>
      <x:c r="I1097" s="30" t="str">
        <x:v>https://hvdic.thivien.net/whv/%E6%8F%B4%E5%8A%A9</x:v>
      </x:c>
      <x:c r="J1097" s="11" t="str">
        <x:v>Trang từ điển ghi âm Hán Việt và/hoặc mục từ tương ứng với 援助. Chỉ dùng cho thành tố được nêu; cấu tạo toàn cụm do người rà soát tổng hợp.
Nguồn biên soạn: Bản điện tử HVdic/Thi Viện; chuyên mục phổ thông/trích dẫn, trang chưa chỉ rõ người biên soạn riêng mục này</x:v>
      </x:c>
      <x:c r="K1097" s="11" t="str">
        <x:v>2026-10-29 (KST)</x:v>
      </x:c>
    </x:row>
    <x:row r="1098" ht="115.5" customHeight="1">
      <x:c r="A1098" s="11" t="str">
        <x:v>C129</x:v>
      </x:c>
      <x:c r="B1098" s="11" t="str">
        <x:v>Việt</x:v>
      </x:c>
      <x:c r="C1098" s="11" t="str">
        <x:v>Việt: gặp gỡ</x:v>
      </x:c>
      <x:c r="D1098" s="11" t="str">
        <x:v>Nguồn từ nguyên/chữ gốc hoặc thành tố được nêu; đọc giới hạn tại ghi chú.</x:v>
      </x:c>
      <x:c r="E1098" s="11" t="str">
        <x:v>Thành tố</x:v>
      </x:c>
      <x:c r="F1098" s="11" t="str">
        <x:v>Việt</x:v>
      </x:c>
      <x:c r="G1098" s="11" t="str">
        <x:v>ET223</x:v>
      </x:c>
      <x:c r="H1098" s="11" t="str">
        <x:v>WOLD — Vietnamese vocabulary (Mark Alves), gặp</x:v>
      </x:c>
      <x:c r="I1098" s="30" t="str">
        <x:v>https://wold.clld.org/word/7215024488523571</x:v>
      </x:c>
      <x:c r="J1098" s="11" t="str">
        <x:v>5. no evidence for borrowing; This word is listed in Shorto 2006 (Entry 1241 *gəp; *gap ‘friend, to associate’), but the semantics are questionable (’friend’ versus ‘to meet’), and the number of cognates in other languages is somewhat spotty.
Nguồn biên soạn: Mark Alves, WOLD; dữ liệu v4.2 do nhóm nghiên cứu phát hành, đối chiếu trường ngữ nghĩa. Không suy nguồn gốc mọi thành tố từ nhãn của cả từ ghép.</x:v>
      </x:c>
      <x:c r="K1098" s="11" t="str">
        <x:v>2026-10-29 (KST)</x:v>
      </x:c>
    </x:row>
    <x:row r="1099" ht="75" customHeight="1">
      <x:c r="A1099" s="11" t="str">
        <x:v>C129</x:v>
      </x:c>
      <x:c r="B1099" s="11" t="str">
        <x:v>Việt</x:v>
      </x:c>
      <x:c r="C1099" s="11" t="str">
        <x:v>Việt: giữa</x:v>
      </x:c>
      <x:c r="D1099" s="11" t="str">
        <x:v>Nguồn từ nguyên/chữ gốc hoặc thành tố được nêu; đọc giới hạn tại ghi chú.</x:v>
      </x:c>
      <x:c r="E1099" s="11" t="str">
        <x:v>Thành tố</x:v>
      </x:c>
      <x:c r="F1099" s="11" t="str">
        <x:v>Việt</x:v>
      </x:c>
      <x:c r="G1099" s="11" t="str">
        <x:v>ET224</x:v>
      </x:c>
      <x:c r="H1099" s="11" t="str">
        <x:v>WOLD — Vietnamese vocabulary (Mark Alves), giữa</x:v>
      </x:c>
      <x:c r="I1099" s="30" t="str">
        <x:v>https://wold.clld.org/word/721502351584790</x:v>
      </x:c>
      <x:c r="J1099" s="11" t="str">
        <x:v>5. no evidence for borrowing; 
Nguồn biên soạn: Mark Alves, WOLD; dữ liệu v4.2 do nhóm nghiên cứu phát hành, đối chiếu trường ngữ nghĩa. Không suy nguồn gốc mọi thành tố từ nhãn của cả từ ghép.</x:v>
      </x:c>
      <x:c r="K1099" s="11" t="str">
        <x:v>2026-10-29 (KST)</x:v>
      </x:c>
    </x:row>
    <x:row r="1100" ht="75" customHeight="1">
      <x:c r="A1100" s="11" t="str">
        <x:v>C133</x:v>
      </x:c>
      <x:c r="B1100" s="11" t="str">
        <x:v>Việt</x:v>
      </x:c>
      <x:c r="C1100" s="11" t="str">
        <x:v>Việt: láng giềng</x:v>
      </x:c>
      <x:c r="D1100" s="11" t="str">
        <x:v>Nguồn từ nguyên/chữ gốc hoặc thành tố được nêu; đọc giới hạn tại ghi chú.</x:v>
      </x:c>
      <x:c r="E1100" s="11" t="str">
        <x:v>Thành tố</x:v>
      </x:c>
      <x:c r="F1100" s="11" t="str">
        <x:v>Việt</x:v>
      </x:c>
      <x:c r="G1100" s="11" t="str">
        <x:v>ET225</x:v>
      </x:c>
      <x:c r="H1100" s="11" t="str">
        <x:v>Nguyễn Quang Hồng, Tự Điển Chữ Nôm Dẫn Giải — 盈</x:v>
      </x:c>
      <x:c r="I1100" s="30" t="str">
        <x:v>https://www.nomfoundation.org/nom-tools/Tu-Dien-Chu-Nom-Dan_Giai?nom=%E7%9B%88&amp;radicalNum=108&amp;strokeCt=4&amp;uiLang=vn</x:v>
      </x:c>
      <x:c r="J1100" s="11" t="str">
        <x:v>Có âm Nôm giềng trong láng giềng; ký hiệu C2 mô tả cách dùng chữ, không đủ để kết luận từ nguyên của toàn tổ hợp.</x:v>
      </x:c>
      <x:c r="K1100" s="11" t="str">
        <x:v>2026-10-29 (KST)</x:v>
      </x:c>
    </x:row>
    <x:row r="1101" ht="75" customHeight="1">
      <x:c r="A1101" s="11" t="str">
        <x:v>C137</x:v>
      </x:c>
      <x:c r="B1101" s="11" t="str">
        <x:v>Việt</x:v>
      </x:c>
      <x:c r="C1101" s="11" t="str">
        <x:v>Việt: Tuyên bố</x:v>
      </x:c>
      <x:c r="D1101" s="11" t="str">
        <x:v>Âm/chữ hoặc thành tố Hán Việt; không tự xác nhận nghĩa chuyên ngành.</x:v>
      </x:c>
      <x:c r="E1101" s="11" t="str">
        <x:v>Thành tố</x:v>
      </x:c>
      <x:c r="F1101" s="11" t="str">
        <x:v>Việt</x:v>
      </x:c>
      <x:c r="G1101" s="11" t="str">
        <x:v>ET226</x:v>
      </x:c>
      <x:c r="H1101" s="11" t="str">
        <x:v>Từ điển Hán Nôm, mục 宣佈</x:v>
      </x:c>
      <x:c r="I1101" s="30" t="str">
        <x:v>https://hvdic.thivien.net/whv/%E5%AE%A3%E4%BD%88</x:v>
      </x:c>
      <x:c r="J1101" s="11" t="str">
        <x:v>Trang từ điển ghi âm Hán Việt và/hoặc mục từ tương ứng với 宣佈. Chỉ dùng cho thành tố được nêu; cấu tạo toàn cụm do người rà soát tổng hợp.
Nguồn biên soạn: Bản điện tử HVdic/Thi Viện; chuyên mục phổ thông/trích dẫn, trang chưa chỉ rõ người biên soạn riêng mục này</x:v>
      </x:c>
      <x:c r="K1101" s="11" t="str">
        <x:v>2026-10-29 (KST)</x:v>
      </x:c>
    </x:row>
    <x:row r="1102" ht="75" customHeight="1">
      <x:c r="A1102" s="11" t="str">
        <x:v>C137</x:v>
      </x:c>
      <x:c r="B1102" s="11" t="str">
        <x:v>Việt</x:v>
      </x:c>
      <x:c r="C1102" s="11" t="str">
        <x:v>Việt: chung</x:v>
      </x:c>
      <x:c r="D1102" s="11" t="str">
        <x:v>Nguồn từ nguyên/chữ gốc hoặc thành tố được nêu; đọc giới hạn tại ghi chú.</x:v>
      </x:c>
      <x:c r="E1102" s="11" t="str">
        <x:v>Thành tố</x:v>
      </x:c>
      <x:c r="F1102" s="11" t="str">
        <x:v>Việt</x:v>
      </x:c>
      <x:c r="G1102" s="11" t="str">
        <x:v>ET227</x:v>
      </x:c>
      <x:c r="H1102" s="11" t="str">
        <x:v>Nguyễn Quang Hồng, Tự Điển Chữ Nôm Dẫn Giải — 終</x:v>
      </x:c>
      <x:c r="I1102" s="30" t="str">
        <x:v>https://nomfoundation.org/nom-tools/Tu-Dien-Chu-Nom-Dan_Giai/Tu-Dien-Chu-Nom-Dan_Giai?nom=%E7%B5%82&amp;radicalNum=120&amp;strokeCt=5&amp;uiLang=en</x:v>
      </x:c>
      <x:c r="J1102" s="11" t="str">
        <x:v>Nguồn phân biệt chung nghĩa kết thúc (A1) với chung nghĩa cùng sở hữu (C1). Chữ Nôm mượn âm không tự chứng minh nguồn gốc Hán; chưa chốt lịch sử của chung trong tuyên bố chung.</x:v>
      </x:c>
      <x:c r="K1102" s="11" t="str">
        <x:v>2026-10-29 (KST)</x:v>
      </x:c>
    </x:row>
    <x:row r="1103" ht="75" customHeight="1">
      <x:c r="A1103" s="11" t="str">
        <x:v>Dùng chung (3 mã)</x:v>
      </x:c>
      <x:c r="B1103" s="11" t="str">
        <x:v>Việt</x:v>
      </x:c>
      <x:c r="C1103" s="11" t="str">
        <x:v>Việt: Thư; Việt: thư</x:v>
      </x:c>
      <x:c r="D1103" s="11" t="str">
        <x:v>Âm/chữ hoặc thành tố Hán Việt; không tự xác nhận nghĩa chuyên ngành.</x:v>
      </x:c>
      <x:c r="E1103" s="11" t="str">
        <x:v>Thành tố</x:v>
      </x:c>
      <x:c r="F1103" s="11" t="str">
        <x:v>Việt</x:v>
      </x:c>
      <x:c r="G1103" s="11" t="str">
        <x:v>ET228</x:v>
      </x:c>
      <x:c r="H1103" s="11" t="str">
        <x:v>Từ điển Hán Nôm, mục 書</x:v>
      </x:c>
      <x:c r="I1103" s="30" t="str">
        <x:v>https://hvdic.thivien.net/whv/%E6%9B%B8</x:v>
      </x:c>
      <x:c r="J1103" s="11" t="str">
        <x:v>Trang từ điển ghi âm Hán Việt và/hoặc mục từ tương ứng với 書. Chỉ dùng cho thành tố được nêu; cấu tạo toàn cụm do người rà soát tổng hợp.
Nguồn biên soạn: Bản điện tử HVdic/Thi Viện; chuyên mục phổ thông/trích dẫn, trang chưa chỉ rõ người biên soạn riêng mục này</x:v>
      </x:c>
      <x:c r="K1103" s="11" t="str">
        <x:v>2026-10-29 (KST)</x:v>
      </x:c>
    </x:row>
    <x:row r="1104" ht="75" customHeight="1">
      <x:c r="A1104" s="11" t="str">
        <x:v>C139</x:v>
      </x:c>
      <x:c r="B1104" s="11" t="str">
        <x:v>Việt</x:v>
      </x:c>
      <x:c r="C1104" s="11" t="str">
        <x:v>Việt: ủy nhiệm</x:v>
      </x:c>
      <x:c r="D1104" s="11" t="str">
        <x:v>Âm/chữ hoặc thành tố Hán Việt; không tự xác nhận nghĩa chuyên ngành.</x:v>
      </x:c>
      <x:c r="E1104" s="11" t="str">
        <x:v>Thành tố</x:v>
      </x:c>
      <x:c r="F1104" s="11" t="str">
        <x:v>Việt</x:v>
      </x:c>
      <x:c r="G1104" s="11" t="str">
        <x:v>ET229</x:v>
      </x:c>
      <x:c r="H1104" s="11" t="str">
        <x:v>Từ điển Hán Nôm, mục 委任</x:v>
      </x:c>
      <x:c r="I1104" s="30" t="str">
        <x:v>https://hvdic.thivien.net/whv/%E5%A7%94%E4%BB%BB</x:v>
      </x:c>
      <x:c r="J1104" s="11" t="str">
        <x:v>Trang từ điển ghi âm Hán Việt và/hoặc mục từ tương ứng với 委任. Chỉ dùng cho thành tố được nêu; cấu tạo toàn cụm do người rà soát tổng hợp.
Nguồn biên soạn: Bản điện tử HVdic/Thi Viện; Nguyễn Quốc Hùng</x:v>
      </x:c>
      <x:c r="K1104" s="11" t="str">
        <x:v>2026-10-29 (KST)</x:v>
      </x:c>
    </x:row>
    <x:row r="1105" ht="75" customHeight="1">
      <x:c r="A1105" s="11" t="str">
        <x:v>C141</x:v>
      </x:c>
      <x:c r="B1105" s="11" t="str">
        <x:v>Việt</x:v>
      </x:c>
      <x:c r="C1105" s="11" t="str">
        <x:v>Việt: điều ước</x:v>
      </x:c>
      <x:c r="D1105" s="11" t="str">
        <x:v>Âm/chữ hoặc thành tố Hán Việt; không tự xác nhận nghĩa chuyên ngành.</x:v>
      </x:c>
      <x:c r="E1105" s="11" t="str">
        <x:v>Thành tố</x:v>
      </x:c>
      <x:c r="F1105" s="11" t="str">
        <x:v>Việt</x:v>
      </x:c>
      <x:c r="G1105" s="11" t="str">
        <x:v>ET230</x:v>
      </x:c>
      <x:c r="H1105" s="11" t="str">
        <x:v>Từ điển Hán Nôm, mục 條約</x:v>
      </x:c>
      <x:c r="I1105" s="30" t="str">
        <x:v>https://hvdic.thivien.net/whv/%E6%A2%9D%E7%B4%84</x:v>
      </x:c>
      <x:c r="J1105" s="11" t="str">
        <x:v>Trang từ điển ghi âm Hán Việt và/hoặc mục từ tương ứng với 條約. Chỉ dùng cho thành tố được nêu; cấu tạo toàn cụm do người rà soát tổng hợp.
Nguồn biên soạn: Bản điện tử HVdic/Thi Viện; Nguyễn Quốc Hùng</x:v>
      </x:c>
      <x:c r="K1105" s="11" t="str">
        <x:v>2026-10-29 (KST)</x:v>
      </x:c>
    </x:row>
    <x:row r="1106" ht="75" customHeight="1">
      <x:c r="A1106" s="11" t="str">
        <x:v>Dùng chung (2 mã)</x:v>
      </x:c>
      <x:c r="B1106" s="11" t="str">
        <x:v>Việt</x:v>
      </x:c>
      <x:c r="C1106" s="11" t="str">
        <x:v>Việt: thỏa; Việt: Thỏa</x:v>
      </x:c>
      <x:c r="D1106" s="11" t="str">
        <x:v>Âm/chữ hoặc thành tố Hán Việt; không tự xác nhận nghĩa chuyên ngành.</x:v>
      </x:c>
      <x:c r="E1106" s="11" t="str">
        <x:v>Thành tố</x:v>
      </x:c>
      <x:c r="F1106" s="11" t="str">
        <x:v>Việt</x:v>
      </x:c>
      <x:c r="G1106" s="11" t="str">
        <x:v>ET231</x:v>
      </x:c>
      <x:c r="H1106" s="11" t="str">
        <x:v>Từ điển Hán Nôm, mục 妥</x:v>
      </x:c>
      <x:c r="I1106" s="30" t="str">
        <x:v>https://hvdic.thivien.net/whv/%E5%A6%A5</x:v>
      </x:c>
      <x:c r="J1106" s="11" t="str">
        <x:v>Trang từ điển ghi âm Hán Việt và/hoặc mục từ tương ứng với 妥. Chỉ dùng cho thành tố được nêu; cấu tạo toàn cụm do người rà soát tổng hợp.
Nguồn biên soạn: Bản điện tử HVdic/Thi Viện; chuyên mục phổ thông/trích dẫn, trang chưa chỉ rõ người biên soạn riêng mục này</x:v>
      </x:c>
      <x:c r="K1106" s="11" t="str">
        <x:v>2026-10-29 (KST)</x:v>
      </x:c>
    </x:row>
    <x:row r="1107" ht="75" customHeight="1">
      <x:c r="A1107" s="11" t="str">
        <x:v>Dùng chung (2 mã)</x:v>
      </x:c>
      <x:c r="B1107" s="11" t="str">
        <x:v>Việt</x:v>
      </x:c>
      <x:c r="C1107" s="11" t="str">
        <x:v>Việt: thuận</x:v>
      </x:c>
      <x:c r="D1107" s="11" t="str">
        <x:v>Âm/chữ hoặc thành tố Hán Việt; không tự xác nhận nghĩa chuyên ngành.</x:v>
      </x:c>
      <x:c r="E1107" s="11" t="str">
        <x:v>Thành tố</x:v>
      </x:c>
      <x:c r="F1107" s="11" t="str">
        <x:v>Việt</x:v>
      </x:c>
      <x:c r="G1107" s="11" t="str">
        <x:v>ET232</x:v>
      </x:c>
      <x:c r="H1107" s="11" t="str">
        <x:v>Từ điển Hán Nôm, mục 順</x:v>
      </x:c>
      <x:c r="I1107" s="30" t="str">
        <x:v>https://hvdic.thivien.net/whv/%E9%A0%86</x:v>
      </x:c>
      <x:c r="J1107" s="11" t="str">
        <x:v>Trang từ điển ghi âm Hán Việt và/hoặc mục từ tương ứng với 順. Chỉ dùng cho thành tố được nêu; cấu tạo toàn cụm do người rà soát tổng hợp.
Nguồn biên soạn: Bản điện tử HVdic/Thi Viện; chuyên mục phổ thông/trích dẫn, trang chưa chỉ rõ người biên soạn riêng mục này</x:v>
      </x:c>
      <x:c r="K1107" s="11" t="str">
        <x:v>2026-10-29 (KST)</x:v>
      </x:c>
    </x:row>
    <x:row r="1108" ht="75" customHeight="1">
      <x:c r="A1108" s="11" t="str">
        <x:v>Dùng chung (4 mã)</x:v>
      </x:c>
      <x:c r="B1108" s="11" t="str">
        <x:v>Việt</x:v>
      </x:c>
      <x:c r="C1108" s="11" t="str">
        <x:v>Việt: Hiệp định</x:v>
      </x:c>
      <x:c r="D1108" s="11" t="str">
        <x:v>Âm/chữ hoặc thành tố Hán Việt; không tự xác nhận nghĩa chuyên ngành.</x:v>
      </x:c>
      <x:c r="E1108" s="11" t="str">
        <x:v>Thành tố</x:v>
      </x:c>
      <x:c r="F1108" s="11" t="str">
        <x:v>Việt</x:v>
      </x:c>
      <x:c r="G1108" s="11" t="str">
        <x:v>ET233</x:v>
      </x:c>
      <x:c r="H1108" s="11" t="str">
        <x:v>Từ điển Hán Nôm, mục 協定</x:v>
      </x:c>
      <x:c r="I1108" s="30" t="str">
        <x:v>https://hvdic.thivien.net/whv/%E5%8D%94%E5%AE%9A</x:v>
      </x:c>
      <x:c r="J1108" s="11" t="str">
        <x:v>Trang từ điển ghi âm Hán Việt và/hoặc mục từ tương ứng với 協定. Chỉ dùng cho thành tố được nêu; cấu tạo toàn cụm do người rà soát tổng hợp.
Nguồn biên soạn: Bản điện tử HVdic/Thi Viện; Nguyễn Quốc Hùng</x:v>
      </x:c>
      <x:c r="K1108" s="11" t="str">
        <x:v>2026-10-29 (KST)</x:v>
      </x:c>
    </x:row>
    <x:row r="1109" ht="75" customHeight="1">
      <x:c r="A1109" s="11" t="str">
        <x:v>C145</x:v>
      </x:c>
      <x:c r="B1109" s="11" t="str">
        <x:v>Việt</x:v>
      </x:c>
      <x:c r="C1109" s="11" t="str">
        <x:v>Việt: đầu tư</x:v>
      </x:c>
      <x:c r="D1109" s="11" t="str">
        <x:v>Âm/chữ hoặc thành tố Hán Việt; không tự xác nhận nghĩa chuyên ngành.</x:v>
      </x:c>
      <x:c r="E1109" s="11" t="str">
        <x:v>Thành tố</x:v>
      </x:c>
      <x:c r="F1109" s="11" t="str">
        <x:v>Việt</x:v>
      </x:c>
      <x:c r="G1109" s="11" t="str">
        <x:v>ET234</x:v>
      </x:c>
      <x:c r="H1109" s="11" t="str">
        <x:v>Từ điển Hán Nôm, mục 投資</x:v>
      </x:c>
      <x:c r="I1109" s="30" t="str">
        <x:v>https://hvdic.thivien.net/whv/%E6%8A%95%E8%B3%87</x:v>
      </x:c>
      <x:c r="J1109" s="11" t="str">
        <x:v>Trang từ điển ghi âm Hán Việt và/hoặc mục từ tương ứng với 投資. Chỉ dùng cho thành tố được nêu; cấu tạo toàn cụm do người rà soát tổng hợp.
Nguồn biên soạn: Bản điện tử HVdic/Thi Viện; Nguyễn Quốc Hùng</x:v>
      </x:c>
      <x:c r="K1109" s="11" t="str">
        <x:v>2026-10-29 (KST)</x:v>
      </x:c>
    </x:row>
    <x:row r="1110" ht="75" customHeight="1">
      <x:c r="A1110" s="11" t="str">
        <x:v>C151</x:v>
      </x:c>
      <x:c r="B1110" s="11" t="str">
        <x:v>Việt</x:v>
      </x:c>
      <x:c r="C1110" s="11" t="str">
        <x:v>Việt: Hà Nội</x:v>
      </x:c>
      <x:c r="D1110" s="11" t="str">
        <x:v>Âm/chữ hoặc thành tố Hán Việt; không tự xác nhận nghĩa chuyên ngành.</x:v>
      </x:c>
      <x:c r="E1110" s="11" t="str">
        <x:v>Thành tố</x:v>
      </x:c>
      <x:c r="F1110" s="11" t="str">
        <x:v>Việt</x:v>
      </x:c>
      <x:c r="G1110" s="11" t="str">
        <x:v>ET235</x:v>
      </x:c>
      <x:c r="H1110" s="11" t="str">
        <x:v>Từ điển Hán Nôm, mục 河內</x:v>
      </x:c>
      <x:c r="I1110" s="30" t="str">
        <x:v>https://hvdic.thivien.net/whv/%E6%B2%B3%E5%85%A7</x:v>
      </x:c>
      <x:c r="J1110" s="11" t="str">
        <x:v>Trang từ điển ghi âm Hán Việt và/hoặc mục từ tương ứng với 河內. Chỉ dùng cho thành tố được nêu; cấu tạo toàn cụm do người rà soát tổng hợp.
Nguồn biên soạn: Bản điện tử HVdic/Thi Viện; chuyên mục phổ thông/trích dẫn, trang chưa chỉ rõ người biên soạn riêng mục này</x:v>
      </x:c>
      <x:c r="K1110" s="11" t="str">
        <x:v>2026-10-29 (KST)</x:v>
      </x:c>
    </x:row>
    <x:row r="1111" ht="75" customHeight="1">
      <x:c r="A1111" s="11" t="str">
        <x:v>C182</x:v>
      </x:c>
      <x:c r="B1111" s="11" t="str">
        <x:v>Việt</x:v>
      </x:c>
      <x:c r="C1111" s="11" t="str">
        <x:v>Việt: Hiệp ước</x:v>
      </x:c>
      <x:c r="D1111" s="11" t="str">
        <x:v>Âm/chữ hoặc thành tố Hán Việt; không tự xác nhận nghĩa chuyên ngành.</x:v>
      </x:c>
      <x:c r="E1111" s="11" t="str">
        <x:v>Thành tố</x:v>
      </x:c>
      <x:c r="F1111" s="11" t="str">
        <x:v>Việt</x:v>
      </x:c>
      <x:c r="G1111" s="11" t="str">
        <x:v>ET236</x:v>
      </x:c>
      <x:c r="H1111" s="11" t="str">
        <x:v>Từ điển Hán Nôm, mục 協約</x:v>
      </x:c>
      <x:c r="I1111" s="30" t="str">
        <x:v>https://hvdic.thivien.net/whv/%E5%8D%94%E7%B4%84</x:v>
      </x:c>
      <x:c r="J1111" s="11" t="str">
        <x:v>Trang từ điển ghi âm Hán Việt và/hoặc mục từ tương ứng với 協約. Chỉ dùng cho thành tố được nêu; cấu tạo toàn cụm do người rà soát tổng hợp.
Nguồn biên soạn: Bản điện tử HVdic/Thi Viện; Nguyễn Quốc Hùng</x:v>
      </x:c>
      <x:c r="K1111" s="11" t="str">
        <x:v>2026-10-29 (KST)</x:v>
      </x:c>
    </x:row>
    <x:row r="1112" ht="85.5" customHeight="1">
      <x:c r="A1112" s="11" t="str">
        <x:v>C186</x:v>
      </x:c>
      <x:c r="B1112" s="11" t="str">
        <x:v>Việt</x:v>
      </x:c>
      <x:c r="C1112" s="11" t="str">
        <x:v>Việt: chạy</x:v>
      </x:c>
      <x:c r="D1112" s="11" t="str">
        <x:v>Nguồn từ nguyên/chữ gốc hoặc thành tố được nêu; đọc giới hạn tại ghi chú.</x:v>
      </x:c>
      <x:c r="E1112" s="11" t="str">
        <x:v>Thành tố</x:v>
      </x:c>
      <x:c r="F1112" s="11" t="str">
        <x:v>Việt</x:v>
      </x:c>
      <x:c r="G1112" s="11" t="str">
        <x:v>ET237</x:v>
      </x:c>
      <x:c r="H1112" s="11" t="str">
        <x:v>WOLD — Vietnamese vocabulary (Mark Alves), chạy</x:v>
      </x:c>
      <x:c r="I1112" s="30" t="str">
        <x:v>https://wold.clld.org/word/7215023539459648</x:v>
      </x:c>
      <x:c r="J1112" s="11" t="str">
        <x:v>5. no evidence for borrowing; The proto-form is listed in Shorto 2006, entry 1602 *jar? ‘quick, to run’.
Nguồn biên soạn: Mark Alves, WOLD; dữ liệu v4.2 do nhóm nghiên cứu phát hành, đối chiếu trường ngữ nghĩa. Không suy nguồn gốc mọi thành tố từ nhãn của cả từ ghép.</x:v>
      </x:c>
      <x:c r="K1112" s="11" t="str">
        <x:v>2026-10-29 (KST)</x:v>
      </x:c>
    </x:row>
    <x:row r="1113" ht="75" customHeight="1">
      <x:c r="A1113" s="11" t="str">
        <x:v>Dùng chung (17 mã)</x:v>
      </x:c>
      <x:c r="B1113" s="11" t="str">
        <x:v>Hàn</x:v>
      </x:c>
      <x:c r="C1113" s="11" t="str">
        <x:v>Hàn: 당; Hàn: 당원; Hàn: 인민혁명당; Hàn: 인민당; Hàn: 당위원회; Hàn: 전국당대회; Hàn: 집권당; Hàn: 당서기장</x:v>
      </x:c>
      <x:c r="D1113" s="11" t="str">
        <x:v>Nguồn từ nguyên/chữ gốc hoặc thành tố được nêu; đọc giới hạn tại ghi chú.</x:v>
      </x:c>
      <x:c r="E1113" s="11" t="str">
        <x:v>Mục từ</x:v>
      </x:c>
      <x:c r="F1113" s="11" t="str">
        <x:v>Hàn</x:v>
      </x:c>
      <x:c r="G1113" s="11" t="str">
        <x:v>ET238</x:v>
      </x:c>
      <x:c r="H1113" s="11" t="str">
        <x:v>KRDict – 당²(黨)</x:v>
      </x:c>
      <x:c r="I1113" s="30" t="str">
        <x:v>https://krdict.korean.go.kr/kor/dicSearch/SearchView?ParaWordNo=49457</x:v>
      </x:c>
      <x:c r="J1113" s="11" t="str">
        <x:v>Đầu mục 黨; 원어 한자; đúng nghĩa chính đảng.</x:v>
      </x:c>
      <x:c r="K1113" s="11" t="str">
        <x:v>2026-10-29 (KST)</x:v>
      </x:c>
    </x:row>
    <x:row r="1114" ht="100.5" customHeight="1">
      <x:c r="A1114" s="11" t="str">
        <x:v>Dùng chung (24 mã)</x:v>
      </x:c>
      <x:c r="B1114" s="11" t="str">
        <x:v>Hàn</x:v>
      </x:c>
      <x:c r="C1114" s="11" t="str">
        <x:v>Hàn: 당; Hàn: 중앙위원회; Hàn: 당원; Hàn: 중앙위; Hàn: 중앙정치국; Hàn: 중앙조직위원회; Hàn: 인민혁명당; Hàn: 인민당; Hàn: 당위원회; Hàn: 전국당대회; Hàn: 집권당; Hàn: 당서기장; Hàn: 중앙위원; Hàn: 중앙집행위원회</x:v>
      </x:c>
      <x:c r="D1114" s="11" t="str">
        <x:v>Nguồn từ nguyên/chữ gốc hoặc thành tố được nêu; đọc giới hạn tại ghi chú.</x:v>
      </x:c>
      <x:c r="E1114" s="11" t="str">
        <x:v>Thành tố</x:v>
      </x:c>
      <x:c r="F1114" s="11" t="str">
        <x:v>Hàn</x:v>
      </x:c>
      <x:c r="G1114" s="11" t="str">
        <x:v>ET239</x:v>
      </x:c>
      <x:c r="H1114" s="11" t="str">
        <x:v>MCST – Nghiên cứu chuẩn hóa thuật ngữ lịch sử cận/hiện đại, mục873</x:v>
      </x:c>
      <x:c r="I1114" s="30" t="str">
        <x:v>https://mcst.go.kr/servlets/eduport/front/upload/UplDownloadFile?pFileName=115.%EC%9A%A9%EC%96%B4%EB%B2%88%EC%97%AD-%EB%B3%B4%EA%B3%A0%EC%84%9C+%EB%B3%B8.pdf&amp;pPath=0406000000&amp;pRealName=04201305230008038079604.pdf</x:v>
      </x:c>
      <x:c r="J1114" s="11" t="str">
        <x:v>Bảng mục873 ghi 당 중앙위원회 – 黨 中央委員會; mục874 당대회 – 黨大會. Dùng chứng thực cấu tạo chữ Hán, không đồng nhất cơ quan Triều Tiên với Việt Nam. Đã đọc chỉ mục tìm kiếm, trang in130.</x:v>
      </x:c>
      <x:c r="K1114" s="11" t="str">
        <x:v>2026-10-29 (KST)</x:v>
      </x:c>
    </x:row>
    <x:row r="1115" ht="75" customHeight="1">
      <x:c r="A1115" s="11" t="str">
        <x:v>Dùng chung (5 mã)</x:v>
      </x:c>
      <x:c r="B1115" s="11" t="str">
        <x:v>Hàn</x:v>
      </x:c>
      <x:c r="C1115" s="11" t="str">
        <x:v>Hàn: 서기; Hàn: 서기국; Hàn: 서기장; Hàn: 당서기장</x:v>
      </x:c>
      <x:c r="D1115" s="11" t="str">
        <x:v>Nguồn từ nguyên/chữ gốc hoặc thành tố được nêu; đọc giới hạn tại ghi chú.</x:v>
      </x:c>
      <x:c r="E1115" s="11" t="str">
        <x:v>Thành tố</x:v>
      </x:c>
      <x:c r="F1115" s="11" t="str">
        <x:v>Hàn</x:v>
      </x:c>
      <x:c r="G1115" s="11" t="str">
        <x:v>ET240</x:v>
      </x:c>
      <x:c r="H1115" s="11" t="str">
        <x:v>Ủy ban Nhân quyền Hàn – 2016 한영 북한인권용어집, mục316</x:v>
      </x:c>
      <x:c r="I1115" s="30" t="str">
        <x:v>https://www.humanrights.go.kr/template/resources/file/2016%20%ED%95%9C%EC%98%81%20%EB%B6%81%ED%95%9C%EC%9D%B8%EA%B6%8C%EC%9A%A9%EC%96%B4%EC%A7%91.pdf</x:v>
      </x:c>
      <x:c r="J1115" s="11" t="str">
        <x:v>Mục316 ghi 서기장書記長 và giải thích 서기書記 trong chức vụ đảng xã hội chủ nghĩa/cộng sản. Đã đọc đoạn tìm kiếm có số mục.</x:v>
      </x:c>
      <x:c r="K1115" s="11" t="str">
        <x:v>2026-10-29 (KST)</x:v>
      </x:c>
    </x:row>
    <x:row r="1116" ht="75" customHeight="1">
      <x:c r="A1116" s="11" t="str">
        <x:v>Dùng chung (4 mã)</x:v>
      </x:c>
      <x:c r="B1116" s="11" t="str">
        <x:v>Hàn</x:v>
      </x:c>
      <x:c r="C1116" s="11" t="str">
        <x:v>Hàn: 장관</x:v>
      </x:c>
      <x:c r="D1116" s="11" t="str">
        <x:v>Nguồn từ nguyên/chữ gốc hoặc thành tố được nêu; đọc giới hạn tại ghi chú.</x:v>
      </x:c>
      <x:c r="E1116" s="11" t="str">
        <x:v>Mục từ</x:v>
      </x:c>
      <x:c r="F1116" s="11" t="str">
        <x:v>Hàn</x:v>
      </x:c>
      <x:c r="G1116" s="11" t="str">
        <x:v>ET241</x:v>
      </x:c>
      <x:c r="H1116" s="11" t="str">
        <x:v>AKS – 장관(長官)</x:v>
      </x:c>
      <x:c r="I1116" s="30" t="str">
        <x:v>https://encykorea.aks.ac.kr/Article/E0048292</x:v>
      </x:c>
      <x:c r="J1116" s="11" t="str">
        <x:v>Đầu mục và bảng chữ Hán ghi 長官.</x:v>
      </x:c>
      <x:c r="K1116" s="11" t="str">
        <x:v>2026-10-29 (KST)</x:v>
      </x:c>
    </x:row>
    <x:row r="1117" ht="190.5" customHeight="1">
      <x:c r="A1117" s="11" t="str">
        <x:v>Dùng chung (32 mã)</x:v>
      </x:c>
      <x:c r="B1117" s="11" t="str">
        <x:v>Hàn</x:v>
      </x:c>
      <x:c r="C1117" s="11" t="str">
        <x:v>Hàn: 장관; Hàn: 국회의장; Hàn: 인민위원장; Hàn: 부의장; Hàn: 선전교육대중동원위원회; Hàn: 부위원장; Hàn: 시장; Hàn: 차관; Hàn: 상임차관; Hàn: 상임위원; Hàn: 사무총장; Hàn: 위원; Hàn: 중앙조직위원회; Hàn: 당위원회; Hàn: 전문위원회; Hàn: 인민위원회; Hàn: 대표단장; Hàn: 하원의장; Hàn: 상원의장; Hàn: 평화위원회; Hàn: 공동위원회; Hàn: 양자협력지도위원회; Hàn: 외교차관; Hàn: 당서기장; Hàn: 중앙위원; Hàn: 중앙집행위원회</x:v>
      </x:c>
      <x:c r="D1117" s="11" t="str">
        <x:v>Nguồn từ nguyên/chữ gốc hoặc thành tố được nêu; đọc giới hạn tại ghi chú.</x:v>
      </x:c>
      <x:c r="E1117" s="11" t="str">
        <x:v>Thành tố</x:v>
      </x:c>
      <x:c r="F1117" s="11" t="str">
        <x:v>Hàn</x:v>
      </x:c>
      <x:c r="G1117" s="11" t="str">
        <x:v>ET242</x:v>
      </x:c>
      <x:c r="H1117" s="11" t="str">
        <x:v>Quy định tên cơ quan/chức vụ Hàn – 02/10/2026</x:v>
      </x:c>
      <x:c r="I1117" s="30" t="str">
        <x:v>https://www.law.go.kr/admRulLsInfoP.do?admRulSeq=2100000285900</x:v>
      </x:c>
      <x:c r="J1117" s="11" t="str">
        <x:v>Điều8-9 ghi 장관(長官), 차관(次官), 위원장(委員長), 위원(委員), 단장(團長), và 장관정책보좌관(長官政策補佐官). Chỉ dùng thông tin chữ Hán được chỉ mục nguồn hiển thị, không suy bằng bản dịch Anh.</x:v>
      </x:c>
      <x:c r="K1117" s="11" t="str">
        <x:v>2026-10-29 (KST)</x:v>
      </x:c>
    </x:row>
    <x:row r="1118" ht="75" customHeight="1">
      <x:c r="A1118" s="11" t="str">
        <x:v>Dùng chung (9 mã)</x:v>
      </x:c>
      <x:c r="B1118" s="11" t="str">
        <x:v>Hàn</x:v>
      </x:c>
      <x:c r="C1118" s="11" t="str">
        <x:v>Hàn: 공안부; Hàn: 국방부; Hàn: 산업통상부; Hàn: 과학기술부; Hàn: 보건부; Hàn: 문화; Hàn: 상임대표부</x:v>
      </x:c>
      <x:c r="D1118" s="11" t="str">
        <x:v>Nguồn từ nguyên/chữ gốc hoặc thành tố được nêu; đọc giới hạn tại ghi chú.</x:v>
      </x:c>
      <x:c r="E1118" s="11" t="str">
        <x:v>Thành tố</x:v>
      </x:c>
      <x:c r="F1118" s="11" t="str">
        <x:v>Hàn</x:v>
      </x:c>
      <x:c r="G1118" s="11" t="str">
        <x:v>ET243</x:v>
      </x:c>
      <x:c r="H1118" s="11" t="str">
        <x:v>KRDict – 문화부(文化部)</x:v>
      </x:c>
      <x:c r="I1118" s="30" t="str">
        <x:v>https://krdict.korean.go.kr/eng/dicSearch/SearchView?ParaWordNo=56985</x:v>
      </x:c>
      <x:c r="J1118" s="11" t="str">
        <x:v>Đầu mục 文化部; chứng thực 문화 文化 và bộ phận 부 部, không phải phó 副.</x:v>
      </x:c>
      <x:c r="K1118" s="11" t="str">
        <x:v>2026-10-29 (KST)</x:v>
      </x:c>
    </x:row>
    <x:row r="1119" ht="75" customHeight="1">
      <x:c r="A1119" s="11" t="str">
        <x:v>Dùng chung (6 mã)</x:v>
      </x:c>
      <x:c r="B1119" s="11" t="str">
        <x:v>Hàn</x:v>
      </x:c>
      <x:c r="C1119" s="11" t="str">
        <x:v>Hàn: 외교부</x:v>
      </x:c>
      <x:c r="D1119" s="11" t="str">
        <x:v>Nguồn từ nguyên/chữ gốc hoặc thành tố được nêu; đọc giới hạn tại ghi chú.</x:v>
      </x:c>
      <x:c r="E1119" s="11" t="str">
        <x:v>Mục từ</x:v>
      </x:c>
      <x:c r="F1119" s="11" t="str">
        <x:v>Hàn</x:v>
      </x:c>
      <x:c r="G1119" s="11" t="str">
        <x:v>ET244</x:v>
      </x:c>
      <x:c r="H1119" s="11" t="str">
        <x:v>National Archives – 외교부</x:v>
      </x:c>
      <x:c r="I1119" s="30" t="str">
        <x:v>https://theme.archives.go.kr/next/organ/viewDetailInfo.do?code=OG0075144&amp;isProvince=&amp;mapInfo=mapno1</x:v>
      </x:c>
      <x:c r="J1119" s="11" t="str">
        <x:v>Trường tên khác của 외교부 ghi 外交部. Chỉ sử dụng dữ liệu tên Hán, không cập nhật lịch sử tổ chức từ trang.</x:v>
      </x:c>
      <x:c r="K1119" s="11" t="str">
        <x:v>2026-10-29 (KST)</x:v>
      </x:c>
    </x:row>
    <x:row r="1120" ht="75" customHeight="1">
      <x:c r="A1120" s="11" t="str">
        <x:v>Dùng chung (5 mã)</x:v>
      </x:c>
      <x:c r="B1120" s="11" t="str">
        <x:v>Hàn</x:v>
      </x:c>
      <x:c r="C1120" s="11" t="str">
        <x:v>Hàn: 국방부; Hàn: 국방정책; Hàn: 국방</x:v>
      </x:c>
      <x:c r="D1120" s="11" t="str">
        <x:v>Nguồn từ nguyên/chữ gốc hoặc thành tố được nêu; đọc giới hạn tại ghi chú.</x:v>
      </x:c>
      <x:c r="E1120" s="11" t="str">
        <x:v>Thành tố</x:v>
      </x:c>
      <x:c r="F1120" s="11" t="str">
        <x:v>Hàn</x:v>
      </x:c>
      <x:c r="G1120" s="11" t="str">
        <x:v>ET245</x:v>
      </x:c>
      <x:c r="H1120" s="11" t="str">
        <x:v>NIKL 온용어 – 국방 정책</x:v>
      </x:c>
      <x:c r="I1120" s="30" t="str">
        <x:v>https://kli.korean.go.kr/term/trgtWord/indexTrgtWord.do?trgtWordNo=2061695</x:v>
      </x:c>
      <x:c r="J1120" s="11" t="str">
        <x:v>원어 國防政策; xác nhận cả quốc phòng và chính sách.</x:v>
      </x:c>
      <x:c r="K1120" s="11" t="str">
        <x:v>2026-10-29 (KST)</x:v>
      </x:c>
    </x:row>
    <x:row r="1121" ht="85.5" customHeight="1">
      <x:c r="A1121" s="11" t="str">
        <x:v>Dùng chung (18 mã)</x:v>
      </x:c>
      <x:c r="B1121" s="11" t="str">
        <x:v>Hàn</x:v>
      </x:c>
      <x:c r="C1121" s="11" t="str">
        <x:v>Hàn: 국가주석; Hàn: 국가원수; Hàn: 국가기구; Hàn: 국가연합; Hàn: 국가; Hàn: 법치국가; Hàn: 국가안보보좌관; Hàn: 안보; Hàn: 식량안보; Hàn: 경제안보; Hàn: 안보리</x:v>
      </x:c>
      <x:c r="D1121" s="11" t="str">
        <x:v>Nguồn từ nguyên/chữ gốc hoặc thành tố được nêu; đọc giới hạn tại ghi chú.</x:v>
      </x:c>
      <x:c r="E1121" s="11" t="str">
        <x:v>Thành tố</x:v>
      </x:c>
      <x:c r="F1121" s="11" t="str">
        <x:v>Hàn</x:v>
      </x:c>
      <x:c r="G1121" s="11" t="str">
        <x:v>ET246</x:v>
      </x:c>
      <x:c r="H1121" s="11" t="str">
        <x:v>NIKL 온용어 – 국가 안보</x:v>
      </x:c>
      <x:c r="I1121" s="30" t="str">
        <x:v>https://kli.korean.go.kr/term/trgtWord/indexTrgtWord.do?trgtWordNo=2060607</x:v>
      </x:c>
      <x:c r="J1121" s="11" t="str">
        <x:v>원어 國家安保, 한자; chứng thực 국가 và 안보.</x:v>
      </x:c>
      <x:c r="K1121" s="11" t="str">
        <x:v>2026-10-29 (KST)</x:v>
      </x:c>
    </x:row>
    <x:row r="1122" ht="75" customHeight="1">
      <x:c r="A1122" s="11" t="str">
        <x:v>Dùng chung (12 mã)</x:v>
      </x:c>
      <x:c r="B1122" s="11" t="str">
        <x:v>Hàn</x:v>
      </x:c>
      <x:c r="C1122" s="11" t="str">
        <x:v>Hàn: 국가주석; Hàn: 국가원수; Hàn: 국가기구; Hàn: 국가연합; Hàn: 국가; Hàn: 법치국가; Hàn: 인권; Hàn: 국가안보보좌관</x:v>
      </x:c>
      <x:c r="D1122" s="11" t="str">
        <x:v>Nguồn từ nguyên/chữ gốc hoặc thành tố được nêu; đọc giới hạn tại ghi chú.</x:v>
      </x:c>
      <x:c r="E1122" s="11" t="str">
        <x:v>Thành tố</x:v>
      </x:c>
      <x:c r="F1122" s="11" t="str">
        <x:v>Hàn</x:v>
      </x:c>
      <x:c r="G1122" s="11" t="str">
        <x:v>ET247</x:v>
      </x:c>
      <x:c r="H1122" s="11" t="str">
        <x:v>NIKL 온용어 – 국가 인권 기구</x:v>
      </x:c>
      <x:c r="I1122" s="30" t="str">
        <x:v>https://kli.korean.go.kr/term/trgtWord/indexTrgtWord.do?trgtWordNo=2060668</x:v>
      </x:c>
      <x:c r="J1122" s="11" t="str">
        <x:v>원어 國家人權機構, 한자; chứng thực 국가, 인권, 기구.</x:v>
      </x:c>
      <x:c r="K1122" s="11" t="str">
        <x:v>2026-10-29 (KST)</x:v>
      </x:c>
    </x:row>
    <x:row r="1123" ht="75" customHeight="1">
      <x:c r="A1123" s="11" t="str">
        <x:v>Dùng chung (5 mã)</x:v>
      </x:c>
      <x:c r="B1123" s="11" t="str">
        <x:v>Hàn</x:v>
      </x:c>
      <x:c r="C1123" s="11" t="str">
        <x:v>Hàn: 국회의장; Hàn: 국회의원; Hàn: 국회</x:v>
      </x:c>
      <x:c r="D1123" s="11" t="str">
        <x:v>Nguồn từ nguyên/chữ gốc hoặc thành tố được nêu; đọc giới hạn tại ghi chú.</x:v>
      </x:c>
      <x:c r="E1123" s="11" t="str">
        <x:v>Mục từ</x:v>
      </x:c>
      <x:c r="F1123" s="11" t="str">
        <x:v>Hàn</x:v>
      </x:c>
      <x:c r="G1123" s="11" t="str">
        <x:v>ET248</x:v>
      </x:c>
      <x:c r="H1123" s="11" t="str">
        <x:v>NIKL 온용어 – 국회</x:v>
      </x:c>
      <x:c r="I1123" s="30" t="str">
        <x:v>https://kli.korean.go.kr/term/trgtWord/indexTrgtWord.do?trgtWordNo=2063933</x:v>
      </x:c>
      <x:c r="J1123" s="11" t="str">
        <x:v>Trường 원어 ghi 國會, 한자, đúng nghĩa cơ quan lập pháp.</x:v>
      </x:c>
      <x:c r="K1123" s="11" t="str">
        <x:v>2026-10-29 (KST)</x:v>
      </x:c>
    </x:row>
    <x:row r="1124" ht="130.5" customHeight="1">
      <x:c r="A1124" s="11" t="str">
        <x:v>Dùng chung (19 mã)</x:v>
      </x:c>
      <x:c r="B1124" s="11" t="str">
        <x:v>Hàn</x:v>
      </x:c>
      <x:c r="C1124" s="11" t="str">
        <x:v>Hàn: 인민위원장; Hàn: 인민의회; Hàn: 국가기구; Hàn: 인민혁명당; Hàn: 인민당; Hàn: 아시아; Hàn: 인민군; Hàn: 최고인민법원; Hàn: 인민위원회; Hàn: 인민외교; Hàn: 국제기구; Hàn: 비정부기구; Hàn: 세계무역기구; Hàn: 세계보건기구; Hàn: 국제해저기구; Hàn: 협력기구; Hàn: 지역기구</x:v>
      </x:c>
      <x:c r="D1124" s="11" t="str">
        <x:v>Nguồn từ nguyên/chữ gốc hoặc thành tố được nêu; đọc giới hạn tại ghi chú.</x:v>
      </x:c>
      <x:c r="E1124" s="11" t="str">
        <x:v>Thành tố</x:v>
      </x:c>
      <x:c r="F1124" s="11" t="str">
        <x:v>Hàn</x:v>
      </x:c>
      <x:c r="G1124" s="11" t="str">
        <x:v>ET249</x:v>
      </x:c>
      <x:c r="H1124" s="11" t="str">
        <x:v>NIKL 온용어 – 아시아·아프리카 인민 연대 기구</x:v>
      </x:c>
      <x:c r="I1124" s="30" t="str">
        <x:v>https://kli.korean.go.kr/term/trgtWord/indexTrgtWord.do?trgtWordNo=2316189</x:v>
      </x:c>
      <x:c r="J1124" s="11" t="str">
        <x:v>원어 Asia-Africa 人民連帶機構; Asia là phần tên ngoại lai, 인민 人民 và 기구 機構 là Hán.</x:v>
      </x:c>
      <x:c r="K1124" s="11" t="str">
        <x:v>2026-10-29 (KST)</x:v>
      </x:c>
    </x:row>
    <x:row r="1125" ht="75" customHeight="1">
      <x:c r="A1125" s="11" t="str">
        <x:v>Dùng chung (6 mã)</x:v>
      </x:c>
      <x:c r="B1125" s="11" t="str">
        <x:v>Hàn</x:v>
      </x:c>
      <x:c r="C1125" s="11" t="str">
        <x:v>Hàn: 인민의회; Hàn: 국제의회연맹; Hàn: 의회</x:v>
      </x:c>
      <x:c r="D1125" s="11" t="str">
        <x:v>Nguồn từ nguyên/chữ gốc hoặc thành tố được nêu; đọc giới hạn tại ghi chú.</x:v>
      </x:c>
      <x:c r="E1125" s="11" t="str">
        <x:v>Mục từ</x:v>
      </x:c>
      <x:c r="F1125" s="11" t="str">
        <x:v>Hàn</x:v>
      </x:c>
      <x:c r="G1125" s="11" t="str">
        <x:v>ET250</x:v>
      </x:c>
      <x:c r="H1125" s="11" t="str">
        <x:v>NIKL 온용어 – 의회</x:v>
      </x:c>
      <x:c r="I1125" s="30" t="str">
        <x:v>https://kli.korean.go.kr/term/trgtWord/indexTrgtWord.do?trgtWordNo=224230</x:v>
      </x:c>
      <x:c r="J1125" s="11" t="str">
        <x:v>원어 議會, 한자.</x:v>
      </x:c>
      <x:c r="K1125" s="11" t="str">
        <x:v>2026-10-29 (KST)</x:v>
      </x:c>
    </x:row>
    <x:row r="1126" ht="75" customHeight="1">
      <x:c r="A1126" s="11" t="str">
        <x:v>Dùng chung (4 mã)</x:v>
      </x:c>
      <x:c r="B1126" s="11" t="str">
        <x:v>Hàn</x:v>
      </x:c>
      <x:c r="C1126" s="11" t="str">
        <x:v>Hàn: 대사; Hàn: 대사관; Hàn: 대리대사; Hàn: 임시대리대사</x:v>
      </x:c>
      <x:c r="D1126" s="11" t="str">
        <x:v>Nguồn từ nguyên/chữ gốc hoặc thành tố được nêu; đọc giới hạn tại ghi chú.</x:v>
      </x:c>
      <x:c r="E1126" s="11" t="str">
        <x:v>Mục từ</x:v>
      </x:c>
      <x:c r="F1126" s="11" t="str">
        <x:v>Hàn</x:v>
      </x:c>
      <x:c r="G1126" s="11" t="str">
        <x:v>ET251</x:v>
      </x:c>
      <x:c r="H1126" s="11" t="str">
        <x:v>AKS – 대사(大使)</x:v>
      </x:c>
      <x:c r="I1126" s="30" t="str">
        <x:v>https://encykorea.aks.ac.kr/Article/E0014455</x:v>
      </x:c>
      <x:c r="J1126" s="11" t="str">
        <x:v>Đầu mục 大使, đúng nghĩa đại sứ ngoại giao.</x:v>
      </x:c>
      <x:c r="K1126" s="11" t="str">
        <x:v>2026-10-29 (KST)</x:v>
      </x:c>
    </x:row>
    <x:row r="1127" ht="75" customHeight="1">
      <x:c r="A1127" s="11" t="str">
        <x:v>Dùng chung (2 mã)</x:v>
      </x:c>
      <x:c r="B1127" s="11" t="str">
        <x:v>Hàn</x:v>
      </x:c>
      <x:c r="C1127" s="11" t="str">
        <x:v>Hàn: 대변인</x:v>
      </x:c>
      <x:c r="D1127" s="11" t="str">
        <x:v>Nguồn từ nguyên/chữ gốc hoặc thành tố được nêu; đọc giới hạn tại ghi chú.</x:v>
      </x:c>
      <x:c r="E1127" s="11" t="str">
        <x:v>Mục từ</x:v>
      </x:c>
      <x:c r="F1127" s="11" t="str">
        <x:v>Hàn</x:v>
      </x:c>
      <x:c r="G1127" s="11" t="str">
        <x:v>ET252</x:v>
      </x:c>
      <x:c r="H1127" s="11" t="str">
        <x:v>KRDict – 대변인(代辯人)</x:v>
      </x:c>
      <x:c r="I1127" s="30" t="str">
        <x:v>https://krdict.korean.go.kr/m/eng/searchResultView?ParaWordNo=62456&amp;currentPage=28&amp;exaType=&amp;font_size=12&amp;mainSearchWord=%EB%8C%80&amp;nation=eng&amp;nationCode=6&amp;proverbType=&amp;searchType=W&amp;sort=W&amp;viewType=A&amp;wordMatchFlag=N</x:v>
      </x:c>
      <x:c r="J1127" s="11" t="str">
        <x:v>Đầu mục trực tiếp ghi 代辯人.</x:v>
      </x:c>
      <x:c r="K1127" s="11" t="str">
        <x:v>2026-10-29 (KST)</x:v>
      </x:c>
    </x:row>
    <x:row r="1128" ht="75" customHeight="1">
      <x:c r="A1128" s="11" t="str">
        <x:v>Dùng chung (4 mã)</x:v>
      </x:c>
      <x:c r="B1128" s="11" t="str">
        <x:v>Hàn</x:v>
      </x:c>
      <x:c r="C1128" s="11" t="str">
        <x:v>Hàn: 부의장; Hàn: 부총리; Hàn: 부위원장</x:v>
      </x:c>
      <x:c r="D1128" s="11" t="str">
        <x:v>Nguồn từ nguyên/chữ gốc hoặc thành tố được nêu; đọc giới hạn tại ghi chú.</x:v>
      </x:c>
      <x:c r="E1128" s="11" t="str">
        <x:v>Thành tố</x:v>
      </x:c>
      <x:c r="F1128" s="11" t="str">
        <x:v>Hàn</x:v>
      </x:c>
      <x:c r="G1128" s="11" t="str">
        <x:v>ET253</x:v>
      </x:c>
      <x:c r="H1128" s="11" t="str">
        <x:v>KRDict – 부사장(副社長)</x:v>
      </x:c>
      <x:c r="I1128" s="30" t="str">
        <x:v>https://krdict.korean.go.kr/eng/dicSearch/SearchView?ParaWordNo=59273</x:v>
      </x:c>
      <x:c r="J1128" s="11" t="str">
        <x:v>Đầu mục 副社長; chứng thực tiền tố chức vụ phó 부 副.</x:v>
      </x:c>
      <x:c r="K1128" s="11" t="str">
        <x:v>2026-10-29 (KST)</x:v>
      </x:c>
    </x:row>
    <x:row r="1129" ht="75" customHeight="1">
      <x:c r="A1129" s="11" t="str">
        <x:v>Dùng chung (3 mã)</x:v>
      </x:c>
      <x:c r="B1129" s="11" t="str">
        <x:v>Hàn</x:v>
      </x:c>
      <x:c r="C1129" s="11" t="str">
        <x:v>Hàn: 부총리; Hàn: 총리</x:v>
      </x:c>
      <x:c r="D1129" s="11" t="str">
        <x:v>Nguồn từ nguyên/chữ gốc hoặc thành tố được nêu; đọc giới hạn tại ghi chú.</x:v>
      </x:c>
      <x:c r="E1129" s="11" t="str">
        <x:v>Thành tố</x:v>
      </x:c>
      <x:c r="F1129" s="11" t="str">
        <x:v>Hàn</x:v>
      </x:c>
      <x:c r="G1129" s="11" t="str">
        <x:v>ET254</x:v>
      </x:c>
      <x:c r="H1129" s="11" t="str">
        <x:v>AKS – 총리대신(總理大臣)</x:v>
      </x:c>
      <x:c r="I1129" s="30" t="str">
        <x:v>https://encykorea.aks.ac.kr/Article/E0057125</x:v>
      </x:c>
      <x:c r="J1129" s="11" t="str">
        <x:v>Đầu mục 總理大臣, tên khác 총리; xác nhận thành tố 總理 ở cấp chức vụ.</x:v>
      </x:c>
      <x:c r="K1129" s="11" t="str">
        <x:v>2026-10-29 (KST)</x:v>
      </x:c>
    </x:row>
    <x:row r="1130" ht="115.5" customHeight="1">
      <x:c r="A1130" s="11" t="str">
        <x:v>Dùng chung (15 mã)</x:v>
      </x:c>
      <x:c r="B1130" s="11" t="str">
        <x:v>Hàn</x:v>
      </x:c>
      <x:c r="C1130" s="11" t="str">
        <x:v>Hàn: 상임; Hàn: 선전교육대중동원위원회; Hàn: 상임차관; Hàn: 상임위원; Hàn: 중앙조직위원회; Hàn: 당위원회; Hàn: 전문위원회; Hàn: 인민위원회; Hàn: 상임대표부; Hàn: 평화위원회; Hàn: 위원회; Hàn: 공동위원회; Hàn: 양자협력지도위원회; Hàn: 중앙집행위원회</x:v>
      </x:c>
      <x:c r="D1130" s="11" t="str">
        <x:v>Nguồn từ nguyên/chữ gốc hoặc thành tố được nêu; đọc giới hạn tại ghi chú.</x:v>
      </x:c>
      <x:c r="E1130" s="11" t="str">
        <x:v>Thành tố</x:v>
      </x:c>
      <x:c r="F1130" s="11" t="str">
        <x:v>Hàn</x:v>
      </x:c>
      <x:c r="G1130" s="11" t="str">
        <x:v>ET255</x:v>
      </x:c>
      <x:c r="H1130" s="11" t="str">
        <x:v>NIKL 온용어 – 상임위원회</x:v>
      </x:c>
      <x:c r="I1130" s="30" t="str">
        <x:v>https://kli.korean.go.kr/term/trgtWord/indexTrgtWord.do?trgtWordNo=222636</x:v>
      </x:c>
      <x:c r="J1130" s="11" t="str">
        <x:v>원어 常任委員會; xác nhận 상임 常任 và 위원회 委員會.</x:v>
      </x:c>
      <x:c r="K1130" s="11" t="str">
        <x:v>2026-10-29 (KST)</x:v>
      </x:c>
    </x:row>
    <x:row r="1131" ht="100.5" customHeight="1">
      <x:c r="A1131" s="11" t="str">
        <x:v>Dùng chung (11 mã)</x:v>
      </x:c>
      <x:c r="B1131" s="11" t="str">
        <x:v>Hàn</x:v>
      </x:c>
      <x:c r="C1131" s="11" t="str">
        <x:v>Hàn: 선전교육대중동원위원회; Hàn: 중앙조직위원회; Hàn: 당위원회; Hàn: 전문위원회; Hàn: 인민위원회; Hàn: 평화위원회; Hàn: 위원회; Hàn: 공동위원회; Hàn: 양자협력지도위원회; Hàn: 중앙집행위원회</x:v>
      </x:c>
      <x:c r="D1131" s="11" t="str">
        <x:v>Nguồn từ nguyên/chữ gốc hoặc thành tố được nêu; đọc giới hạn tại ghi chú.</x:v>
      </x:c>
      <x:c r="E1131" s="11" t="str">
        <x:v>Thành tố</x:v>
      </x:c>
      <x:c r="F1131" s="11" t="str">
        <x:v>Hàn</x:v>
      </x:c>
      <x:c r="G1131" s="11" t="str">
        <x:v>ET256</x:v>
      </x:c>
      <x:c r="H1131" s="11" t="str">
        <x:v>NIKL 온용어 – 기소 심의 위원회</x:v>
      </x:c>
      <x:c r="I1131" s="30" t="str">
        <x:v>https://kli.korean.go.kr/term/trgtWord/indexTrgtWord.do?trgtWordNo=2078790</x:v>
      </x:c>
      <x:c r="J1131" s="11" t="str">
        <x:v>원어 起訴審議委員會, 한자; chứng thực thành tố 위원회 委員會.</x:v>
      </x:c>
      <x:c r="K1131" s="11" t="str">
        <x:v>2026-10-29 (KST)</x:v>
      </x:c>
    </x:row>
    <x:row r="1132" ht="75" customHeight="1">
      <x:c r="A1132" s="11" t="str">
        <x:v>Dùng chung (9 mã)</x:v>
      </x:c>
      <x:c r="B1132" s="11" t="str">
        <x:v>Hàn</x:v>
      </x:c>
      <x:c r="C1132" s="11" t="str">
        <x:v>Hàn: 대한민국; Hàn: 유엔; Hàn: UN</x:v>
      </x:c>
      <x:c r="D1132" s="11" t="str">
        <x:v>Nguồn từ nguyên/chữ gốc hoặc thành tố được nêu; đọc giới hạn tại ghi chú.</x:v>
      </x:c>
      <x:c r="E1132" s="11" t="str">
        <x:v>Thành tố</x:v>
      </x:c>
      <x:c r="F1132" s="11" t="str">
        <x:v>Hàn</x:v>
      </x:c>
      <x:c r="G1132" s="11" t="str">
        <x:v>ET257</x:v>
      </x:c>
      <x:c r="H1132" s="11" t="str">
        <x:v>NIKL – Chính tả tên Hàn và ngoại lai trong ngoặc</x:v>
      </x:c>
      <x:c r="I1132" s="30" t="str">
        <x:v>https://www.korean.go.kr/front/onlineQna/onlineQnaView.do?mn_id=216&amp;pageIndex=1&amp;qna_seq=328816</x:v>
      </x:c>
      <x:c r="J1132" s="11" t="str">
        <x:v>Ví dụ trực tiếp 대한민국(大韓民國).
Phân biệt 국제 연합 với ngoại lai 유엔; ví dụ 유엔(United Nations), 유엔(UN).</x:v>
      </x:c>
      <x:c r="K1132" s="11" t="str">
        <x:v>2026-10-29 (KST)</x:v>
      </x:c>
    </x:row>
    <x:row r="1133" ht="75" customHeight="1">
      <x:c r="A1133" s="11" t="str">
        <x:v>NEW_G1_FL01</x:v>
      </x:c>
      <x:c r="B1133" s="11" t="str">
        <x:v>Hàn</x:v>
      </x:c>
      <x:c r="C1133" s="11" t="str">
        <x:v>Hàn: 이재명</x:v>
      </x:c>
      <x:c r="D1133" s="11" t="str">
        <x:v>Nguồn từ nguyên/chữ gốc hoặc thành tố được nêu; đọc giới hạn tại ghi chú.</x:v>
      </x:c>
      <x:c r="E1133" s="11" t="str">
        <x:v>Mục từ</x:v>
      </x:c>
      <x:c r="F1133" s="11" t="str">
        <x:v>Hàn</x:v>
      </x:c>
      <x:c r="G1133" s="11" t="str">
        <x:v>ET258</x:v>
      </x:c>
      <x:c r="H1133" s="11" t="str">
        <x:v>Cheong Wa Dae – President Lee Jae Myung</x:v>
      </x:c>
      <x:c r="I1133" s="30" t="str">
        <x:v>https://en.president.go.kr/president</x:v>
      </x:c>
      <x:c r="J1133" s="11" t="str">
        <x:v>Hồ sơ chính thức ghi Hangul 이재명 / Hanja 李在明.</x:v>
      </x:c>
      <x:c r="K1133" s="11" t="str">
        <x:v>2026-10-29 (KST)</x:v>
      </x:c>
    </x:row>
    <x:row r="1134" ht="75" customHeight="1">
      <x:c r="A1134" s="11" t="str">
        <x:v>Dùng chung (2 mã)</x:v>
      </x:c>
      <x:c r="B1134" s="11" t="str">
        <x:v>Hàn</x:v>
      </x:c>
      <x:c r="C1134" s="11" t="str">
        <x:v>Hàn: 대통령</x:v>
      </x:c>
      <x:c r="D1134" s="11" t="str">
        <x:v>Nguồn từ nguyên/chữ gốc hoặc thành tố được nêu; đọc giới hạn tại ghi chú.</x:v>
      </x:c>
      <x:c r="E1134" s="11" t="str">
        <x:v>Mục từ</x:v>
      </x:c>
      <x:c r="F1134" s="11" t="str">
        <x:v>Hàn</x:v>
      </x:c>
      <x:c r="G1134" s="11" t="str">
        <x:v>ET259</x:v>
      </x:c>
      <x:c r="H1134" s="11" t="str">
        <x:v>KRDict – 대통령(大統領)</x:v>
      </x:c>
      <x:c r="I1134" s="30" t="str">
        <x:v>https://krdict.korean.go.kr/eng/dicSearch/SearchView?ParaWordNo=55485</x:v>
      </x:c>
      <x:c r="J1134" s="11" t="str">
        <x:v>Mục từ ghi 大統領; trường Original Language: Sino-Korean word.</x:v>
      </x:c>
      <x:c r="K1134" s="11" t="str">
        <x:v>2026-10-29 (KST)</x:v>
      </x:c>
    </x:row>
    <x:row r="1135" ht="75" customHeight="1">
      <x:c r="A1135" s="11" t="str">
        <x:v>Dùng chung (3 mã)</x:v>
      </x:c>
      <x:c r="B1135" s="11" t="str">
        <x:v>Hàn</x:v>
      </x:c>
      <x:c r="C1135" s="11" t="str">
        <x:v>Hàn: 의</x:v>
      </x:c>
      <x:c r="D1135" s="11" t="str">
        <x:v>Nguồn từ nguyên/chữ gốc hoặc thành tố được nêu; đọc giới hạn tại ghi chú.</x:v>
      </x:c>
      <x:c r="E1135" s="11" t="str">
        <x:v>Phương pháp</x:v>
      </x:c>
      <x:c r="F1135" s="11" t="str">
        <x:v>Hàn</x:v>
      </x:c>
      <x:c r="G1135" s="11" t="str">
        <x:v>ET260</x:v>
      </x:c>
      <x:c r="H1135" s="11" t="str">
        <x:v>NIKL – thuật ngữ Nam/Bắc, mục 국사</x:v>
      </x:c>
      <x:c r="I1135" s="30" t="str">
        <x:v>https://www.korean.go.kr/common/download.do?book_seq=182&amp;c_file_name=98e19b00-c19f-4c27-844f-30826d0ba2a3_0.pdf&amp;downGubun=bookDataView&amp;file_path=bookData&amp;o_file_name=%EB%82%A8%EB%B6%81%EC%96%B8%EC%96%B4-01-3.pdf</x:v>
      </x:c>
      <x:c r="J1135" s="11" t="str">
        <x:v>Chú thích4: phân tích chặt tính 의 là yếu tố thuần Hàn; nghiên cứu đó có thể bỏ 의 khi thống kê lớp từ. Ở bảng này lưu cả cấu tạo toàn biểu thức và lõi từ vựng. Đã đọc phần chỉ mục tìm kiếm.</x:v>
      </x:c>
      <x:c r="K1135" s="11" t="str">
        <x:v>2026-10-29 (KST)</x:v>
      </x:c>
    </x:row>
    <x:row r="1136" ht="75" customHeight="1">
      <x:c r="A1136" s="11" t="str">
        <x:v>Dùng chung (4 mã)</x:v>
      </x:c>
      <x:c r="B1136" s="11" t="str">
        <x:v>Hàn</x:v>
      </x:c>
      <x:c r="C1136" s="11" t="str">
        <x:v>Hàn: 의; Hàn: 헌법</x:v>
      </x:c>
      <x:c r="D1136" s="11" t="str">
        <x:v>Nguồn từ nguyên/chữ gốc hoặc thành tố được nêu; đọc giới hạn tại ghi chú.</x:v>
      </x:c>
      <x:c r="E1136" s="11" t="str">
        <x:v>Thành tố</x:v>
      </x:c>
      <x:c r="F1136" s="11" t="str">
        <x:v>Hàn</x:v>
      </x:c>
      <x:c r="G1136" s="11" t="str">
        <x:v>ET261</x:v>
      </x:c>
      <x:c r="H1136" s="11" t="str">
        <x:v>NIKL 온용어 – 실질적 의미의 헌법</x:v>
      </x:c>
      <x:c r="I1136" s="30" t="str">
        <x:v>https://kli.korean.go.kr/term/trgtWord/indexTrgtWord.do?trgtWordNo=2308610</x:v>
      </x:c>
      <x:c r="J1136" s="11" t="str">
        <x:v>원어 實質的意味 의 憲法; 의 được ghi 고유어, 憲法 được ghi 한자. Nguồn trực tiếp phân biệt trợ từ và thành tố Hán.</x:v>
      </x:c>
      <x:c r="K1136" s="11" t="str">
        <x:v>2026-10-29 (KST)</x:v>
      </x:c>
    </x:row>
    <x:row r="1137" ht="75" customHeight="1">
      <x:c r="A1137" s="11" t="str">
        <x:v>Dùng chung (8 mã)</x:v>
      </x:c>
      <x:c r="B1137" s="11" t="str">
        <x:v>Hàn</x:v>
      </x:c>
      <x:c r="C1137" s="11" t="str">
        <x:v>Hàn: 베트남</x:v>
      </x:c>
      <x:c r="D1137" s="11" t="str">
        <x:v>Nguồn từ nguyên/chữ gốc hoặc thành tố được nêu; đọc giới hạn tại ghi chú.</x:v>
      </x:c>
      <x:c r="E1137" s="11" t="str">
        <x:v>Thành tố</x:v>
      </x:c>
      <x:c r="F1137" s="11" t="str">
        <x:v>Hàn</x:v>
      </x:c>
      <x:c r="G1137" s="11" t="str">
        <x:v>ET262</x:v>
      </x:c>
      <x:c r="H1137" s="11" t="str">
        <x:v>NIKL 온용어 – 베트남 민주 공화국</x:v>
      </x:c>
      <x:c r="I1137" s="30" t="str">
        <x:v>https://kli.korean.go.kr/term/trgtWord/indexTrgtWord.do?trgtWordNo=2200883</x:v>
      </x:c>
      <x:c r="J1137" s="11" t="str">
        <x:v>원어 Vietnam 民主共和國: Vietnam được tách khỏi thành tố Hán; không coi 베트남 là âm Hán Hàn 越南.</x:v>
      </x:c>
      <x:c r="K1137" s="11" t="str">
        <x:v>2026-10-29 (KST)</x:v>
      </x:c>
    </x:row>
    <x:row r="1138" ht="75" customHeight="1">
      <x:c r="A1138" s="11" t="str">
        <x:v>Dùng chung (4 mã)</x:v>
      </x:c>
      <x:c r="B1138" s="11" t="str">
        <x:v>Hàn</x:v>
      </x:c>
      <x:c r="C1138" s="11" t="str">
        <x:v>Hàn: 공산당</x:v>
      </x:c>
      <x:c r="D1138" s="11" t="str">
        <x:v>Nguồn từ nguyên/chữ gốc hoặc thành tố được nêu; đọc giới hạn tại ghi chú.</x:v>
      </x:c>
      <x:c r="E1138" s="11" t="str">
        <x:v>Thành tố</x:v>
      </x:c>
      <x:c r="F1138" s="11" t="str">
        <x:v>Hàn</x:v>
      </x:c>
      <x:c r="G1138" s="11" t="str">
        <x:v>ET263</x:v>
      </x:c>
      <x:c r="H1138" s="11" t="str">
        <x:v>NIKL 온용어 – 공산당 선언</x:v>
      </x:c>
      <x:c r="I1138" s="30" t="str">
        <x:v>https://kli.korean.go.kr/term/trgtWord/indexTrgtWord.do?trgtWordNo=2043978</x:v>
      </x:c>
      <x:c r="J1138" s="11" t="str">
        <x:v>원어 共産黨宣言; xác nhận thành tố 공산당 共産黨.</x:v>
      </x:c>
      <x:c r="K1138" s="11" t="str">
        <x:v>2026-10-29 (KST)</x:v>
      </x:c>
    </x:row>
    <x:row r="1139" ht="75" customHeight="1">
      <x:c r="A1139" s="11" t="str">
        <x:v>Dùng chung (7 mã)</x:v>
      </x:c>
      <x:c r="B1139" s="11" t="str">
        <x:v>Hàn</x:v>
      </x:c>
      <x:c r="C1139" s="11" t="str">
        <x:v>Hàn: 중앙정치국; Hàn: 정치; Hàn: 정치적</x:v>
      </x:c>
      <x:c r="D1139" s="11" t="str">
        <x:v>Nguồn từ nguyên/chữ gốc hoặc thành tố được nêu; đọc giới hạn tại ghi chú.</x:v>
      </x:c>
      <x:c r="E1139" s="11" t="str">
        <x:v>Thành tố</x:v>
      </x:c>
      <x:c r="F1139" s="11" t="str">
        <x:v>Hàn</x:v>
      </x:c>
      <x:c r="G1139" s="11" t="str">
        <x:v>ET264</x:v>
      </x:c>
      <x:c r="H1139" s="11" t="str">
        <x:v>NIKL 온용어 – 정치 정향</x:v>
      </x:c>
      <x:c r="I1139" s="30" t="str">
        <x:v>https://kli.korean.go.kr/term/trgtWord/indexTrgtWord.do?trgtWordNo=2447501</x:v>
      </x:c>
      <x:c r="J1139" s="11" t="str">
        <x:v>원어 政治定向, 한자; chứng thực thành tố 정치 政治.</x:v>
      </x:c>
      <x:c r="K1139" s="11" t="str">
        <x:v>2026-10-29 (KST)</x:v>
      </x:c>
    </x:row>
    <x:row r="1140" ht="75" customHeight="1">
      <x:c r="A1140" s="11" t="str">
        <x:v>Dùng chung (4 mã)</x:v>
      </x:c>
      <x:c r="B1140" s="11" t="str">
        <x:v>Hàn</x:v>
      </x:c>
      <x:c r="C1140" s="11" t="str">
        <x:v>Hàn: 중앙조직위원회; Hàn: 조직; Hàn: 공식</x:v>
      </x:c>
      <x:c r="D1140" s="11" t="str">
        <x:v>Nguồn từ nguyên/chữ gốc hoặc thành tố được nêu; đọc giới hạn tại ghi chú.</x:v>
      </x:c>
      <x:c r="E1140" s="11" t="str">
        <x:v>Thành tố</x:v>
      </x:c>
      <x:c r="F1140" s="11" t="str">
        <x:v>Hàn</x:v>
      </x:c>
      <x:c r="G1140" s="11" t="str">
        <x:v>ET265</x:v>
      </x:c>
      <x:c r="H1140" s="11" t="str">
        <x:v>NIKL 온용어 – 공식적 조직</x:v>
      </x:c>
      <x:c r="I1140" s="30" t="str">
        <x:v>https://kli.korean.go.kr/term/trgtWord/indexTrgtWord.do?trgtWordNo=2044369</x:v>
      </x:c>
      <x:c r="J1140" s="11" t="str">
        <x:v>원어 公式的組織; xác nhận 조직 組織 theo nghĩa tổ chức, không dùng nghĩa mô sinh học.</x:v>
      </x:c>
      <x:c r="K1140" s="11" t="str">
        <x:v>2026-10-29 (KST)</x:v>
      </x:c>
    </x:row>
    <x:row r="1141" ht="75" customHeight="1">
      <x:c r="A1141" s="11" t="str">
        <x:v>Dùng chung (5 mã)</x:v>
      </x:c>
      <x:c r="B1141" s="11" t="str">
        <x:v>Hàn</x:v>
      </x:c>
      <x:c r="C1141" s="11" t="str">
        <x:v>Hàn: 정부; Hàn: 비정부기구</x:v>
      </x:c>
      <x:c r="D1141" s="11" t="str">
        <x:v>Nguồn từ nguyên/chữ gốc hoặc thành tố được nêu; đọc giới hạn tại ghi chú.</x:v>
      </x:c>
      <x:c r="E1141" s="11" t="str">
        <x:v>Mục từ</x:v>
      </x:c>
      <x:c r="F1141" s="11" t="str">
        <x:v>Hàn</x:v>
      </x:c>
      <x:c r="G1141" s="11" t="str">
        <x:v>ET266</x:v>
      </x:c>
      <x:c r="H1141" s="11" t="str">
        <x:v>NIKL 온용어 – 정부</x:v>
      </x:c>
      <x:c r="I1141" s="30" t="str">
        <x:v>https://kli.korean.go.kr/term/trgtWord/indexTrgtWord.do?trgtWordNo=2444272</x:v>
      </x:c>
      <x:c r="J1141" s="11" t="str">
        <x:v>Trường 원어 ghi 政府, 한자.</x:v>
      </x:c>
      <x:c r="K1141" s="11" t="str">
        <x:v>2026-10-29 (KST)</x:v>
      </x:c>
    </x:row>
    <x:row r="1142" ht="75" customHeight="1">
      <x:c r="A1142" s="11" t="str">
        <x:v>Dùng chung (2 mã)</x:v>
      </x:c>
      <x:c r="B1142" s="11" t="str">
        <x:v>Hàn</x:v>
      </x:c>
      <x:c r="C1142" s="11" t="str">
        <x:v>Hàn: UN; Hàn: UNCLOS</x:v>
      </x:c>
      <x:c r="D1142" s="11" t="str">
        <x:v>Nguồn từ nguyên/chữ gốc hoặc thành tố được nêu; đọc giới hạn tại ghi chú.</x:v>
      </x:c>
      <x:c r="E1142" s="11" t="str">
        <x:v>Thành tố</x:v>
      </x:c>
      <x:c r="F1142" s="11" t="str">
        <x:v>Hàn</x:v>
      </x:c>
      <x:c r="G1142" s="11" t="str">
        <x:v>ET267</x:v>
      </x:c>
      <x:c r="H1142" s="11" t="str">
        <x:v>National Archives – bảng chữ viết tắt quốc tế(U)</x:v>
      </x:c>
      <x:c r="I1142" s="30" t="str">
        <x:v>https://theme.archives.go.kr/next/unKorea/abbreviationTable.do</x:v>
      </x:c>
      <x:c r="J1142" s="11" t="str">
        <x:v>Ghi UN=United Nations và UNCLOS=United Nations Convention on the Law of the Sea; là bằng chứng loại chữ viết tắt, không phải chữ Hán.</x:v>
      </x:c>
      <x:c r="K1142" s="11" t="str">
        <x:v>2026-10-29 (KST)</x:v>
      </x:c>
    </x:row>
    <x:row r="1143" ht="130.5" customHeight="1">
      <x:c r="A1143" s="11" t="str">
        <x:v>Dùng chung (25 mã)</x:v>
      </x:c>
      <x:c r="B1143" s="11" t="str">
        <x:v>Hàn</x:v>
      </x:c>
      <x:c r="C1143" s="11" t="str">
        <x:v>Hàn: 국제의회연맹; Hàn: 외교정책; Hàn: 국제주의; Hàn: 국제법; Hàn: 외교관계; Hàn: 외교; Hàn: 국제; Hàn: 다자외교; Hàn: 경제외교; Hàn: 인민외교; Hàn: 국제기구; Hàn: 외교공관; Hàn: 외교단; Hàn: 국제해저기구; Hàn: 국제질서; Hàn: 국제관계; Hàn: 국제조약; Hàn: 외교차관; Hàn: 국제통합</x:v>
      </x:c>
      <x:c r="D1143" s="11" t="str">
        <x:v>Nguồn từ nguyên/chữ gốc hoặc thành tố được nêu; đọc giới hạn tại ghi chú.</x:v>
      </x:c>
      <x:c r="E1143" s="11" t="str">
        <x:v>Thành tố</x:v>
      </x:c>
      <x:c r="F1143" s="11" t="str">
        <x:v>Hàn</x:v>
      </x:c>
      <x:c r="G1143" s="11" t="str">
        <x:v>ET268</x:v>
      </x:c>
      <x:c r="H1143" s="11" t="str">
        <x:v>NIKL 온용어 – 국제 외교</x:v>
      </x:c>
      <x:c r="I1143" s="30" t="str">
        <x:v>https://kli.korean.go.kr/term/trgtWord/indexTrgtWord.do?trgtWordNo=2063099</x:v>
      </x:c>
      <x:c r="J1143" s="11" t="str">
        <x:v>Trường 원어 國際外交, 한자; chứng thực thành tố 국제/외교.</x:v>
      </x:c>
      <x:c r="K1143" s="11" t="str">
        <x:v>2026-10-29 (KST)</x:v>
      </x:c>
    </x:row>
    <x:row r="1144" ht="75" customHeight="1">
      <x:c r="A1144" s="11" t="str">
        <x:v>Dùng chung (15 mã)</x:v>
      </x:c>
      <x:c r="B1144" s="11" t="str">
        <x:v>Hàn</x:v>
      </x:c>
      <x:c r="C1144" s="11" t="str">
        <x:v>Hàn: 외교정책; Hàn: 외교관계; Hàn: 외교; Hàn: 다자외교; Hàn: 경제외교; Hàn: 인민외교; Hàn: 외교공관; Hàn: 외교단; Hàn: 외교차관</x:v>
      </x:c>
      <x:c r="D1144" s="11" t="str">
        <x:v>Nguồn từ nguyên/chữ gốc hoặc thành tố được nêu; đọc giới hạn tại ghi chú.</x:v>
      </x:c>
      <x:c r="E1144" s="11" t="str">
        <x:v>Mục từ</x:v>
      </x:c>
      <x:c r="F1144" s="11" t="str">
        <x:v>Hàn</x:v>
      </x:c>
      <x:c r="G1144" s="11" t="str">
        <x:v>ET269</x:v>
      </x:c>
      <x:c r="H1144" s="11" t="str">
        <x:v>MOFA – 외교란 무엇일까요</x:v>
      </x:c>
      <x:c r="I1144" s="30" t="str">
        <x:v>https://www.mofa.go.kr/teenager/wpge/m_5902/contents.do</x:v>
      </x:c>
      <x:c r="J1144" s="11" t="str">
        <x:v>Trực tiếp ghi 외교(外交), giải thích 外/交.</x:v>
      </x:c>
      <x:c r="K1144" s="11" t="str">
        <x:v>2026-10-29 (KST)</x:v>
      </x:c>
    </x:row>
    <x:row r="1145" ht="75" customHeight="1">
      <x:c r="A1145" s="11" t="str">
        <x:v>Dùng chung (4 mã)</x:v>
      </x:c>
      <x:c r="B1145" s="11" t="str">
        <x:v>Hàn</x:v>
      </x:c>
      <x:c r="C1145" s="11" t="str">
        <x:v>Hàn: 외교정책; Hàn: 정책; Hàn: 대외정책</x:v>
      </x:c>
      <x:c r="D1145" s="11" t="str">
        <x:v>Nguồn từ nguyên/chữ gốc hoặc thành tố được nêu; đọc giới hạn tại ghi chú.</x:v>
      </x:c>
      <x:c r="E1145" s="11" t="str">
        <x:v>Mục từ</x:v>
      </x:c>
      <x:c r="F1145" s="11" t="str">
        <x:v>Hàn</x:v>
      </x:c>
      <x:c r="G1145" s="11" t="str">
        <x:v>ET270</x:v>
      </x:c>
      <x:c r="H1145" s="11" t="str">
        <x:v>KRDict – 정책(政策)</x:v>
      </x:c>
      <x:c r="I1145" s="30" t="str">
        <x:v>https://krdict.korean.go.kr/eng/dicSearch/SearchView?ParaWordNo=75623</x:v>
      </x:c>
      <x:c r="J1145" s="11" t="str">
        <x:v>Đầu mục 政策; Original Language: Sino-Korean word.</x:v>
      </x:c>
      <x:c r="K1145" s="11" t="str">
        <x:v>2026-10-29 (KST)</x:v>
      </x:c>
    </x:row>
    <x:row r="1146" ht="75" customHeight="1">
      <x:c r="A1146" s="11" t="str">
        <x:v>Dùng chung (6 mã)</x:v>
      </x:c>
      <x:c r="B1146" s="11" t="str">
        <x:v>Hàn</x:v>
      </x:c>
      <x:c r="C1146" s="11" t="str">
        <x:v>Hàn: 다자주의; Hàn: 주의; Hàn: 국제주의; Hàn: 사회주의; Hàn: 시장경제; Hàn: 법치주의</x:v>
      </x:c>
      <x:c r="D1146" s="11" t="str">
        <x:v>Nguồn từ nguyên/chữ gốc hoặc thành tố được nêu; đọc giới hạn tại ghi chú.</x:v>
      </x:c>
      <x:c r="E1146" s="11" t="str">
        <x:v>Thành tố</x:v>
      </x:c>
      <x:c r="F1146" s="11" t="str">
        <x:v>Hàn</x:v>
      </x:c>
      <x:c r="G1146" s="11" t="str">
        <x:v>ET271</x:v>
      </x:c>
      <x:c r="H1146" s="11" t="str">
        <x:v>NIKL 온용어 – 사회주의 시장 경제</x:v>
      </x:c>
      <x:c r="I1146" s="30" t="str">
        <x:v>https://kli.korean.go.kr/term/trgtWord/indexTrgtWord.do?trgtWordNo=2241566</x:v>
      </x:c>
      <x:c r="J1146" s="11" t="str">
        <x:v>원어 社會主義市場經濟, 한자; chứng thực xã hội chủ nghĩa và kinh tế thị trường ở cấp thành tố, không đồng nhất mô hình từng nước.</x:v>
      </x:c>
      <x:c r="K1146" s="11" t="str">
        <x:v>2026-10-29 (KST)</x:v>
      </x:c>
    </x:row>
    <x:row r="1147" ht="75" customHeight="1">
      <x:c r="A1147" s="11" t="str">
        <x:v>Dùng chung (4 mã)</x:v>
      </x:c>
      <x:c r="B1147" s="11" t="str">
        <x:v>Hàn</x:v>
      </x:c>
      <x:c r="C1147" s="11" t="str">
        <x:v>Hàn: 다자주의; Hàn: 다자; Hàn: 다자외교; Hàn: 다자화</x:v>
      </x:c>
      <x:c r="D1147" s="11" t="str">
        <x:v>Nguồn từ nguyên/chữ gốc hoặc thành tố được nêu; đọc giới hạn tại ghi chú.</x:v>
      </x:c>
      <x:c r="E1147" s="11" t="str">
        <x:v>Thành tố</x:v>
      </x:c>
      <x:c r="F1147" s="11" t="str">
        <x:v>Hàn</x:v>
      </x:c>
      <x:c r="G1147" s="11" t="str">
        <x:v>ET272</x:v>
      </x:c>
      <x:c r="H1147" s="11" t="str">
        <x:v>NIKL 온용어 – 다자 무역 질서</x:v>
      </x:c>
      <x:c r="I1147" s="30" t="str">
        <x:v>https://kli.korean.go.kr/term/trgtWord/indexTrgtWord.do?trgtWordNo=223108789</x:v>
      </x:c>
      <x:c r="J1147" s="11" t="str">
        <x:v>원어 多者貿易秩序; xác nhận 다자 多者, không ghi 多字.</x:v>
      </x:c>
      <x:c r="K1147" s="11" t="str">
        <x:v>2026-10-29 (KST)</x:v>
      </x:c>
    </x:row>
    <x:row r="1148" ht="75" customHeight="1">
      <x:c r="A1148" s="11" t="str">
        <x:v>Dùng chung (3 mã)</x:v>
      </x:c>
      <x:c r="B1148" s="11" t="str">
        <x:v>Hàn</x:v>
      </x:c>
      <x:c r="C1148" s="11" t="str">
        <x:v>Hàn: 주권; Hàn: 식량안보</x:v>
      </x:c>
      <x:c r="D1148" s="11" t="str">
        <x:v>Nguồn từ nguyên/chữ gốc hoặc thành tố được nêu; đọc giới hạn tại ghi chú.</x:v>
      </x:c>
      <x:c r="E1148" s="11" t="str">
        <x:v>Thành tố</x:v>
      </x:c>
      <x:c r="F1148" s="11" t="str">
        <x:v>Hàn</x:v>
      </x:c>
      <x:c r="G1148" s="11" t="str">
        <x:v>ET273</x:v>
      </x:c>
      <x:c r="H1148" s="11" t="str">
        <x:v>NIKL 온용어 – 식량 주권</x:v>
      </x:c>
      <x:c r="I1148" s="30" t="str">
        <x:v>https://kli.korean.go.kr/term/trgtWord/indexTrgtWord.do?trgtWordNo=2302382</x:v>
      </x:c>
      <x:c r="J1148" s="11" t="str">
        <x:v>원어 食糧主權; xác nhận 식량 食糧 và 주권 主權.</x:v>
      </x:c>
      <x:c r="K1148" s="11" t="str">
        <x:v>2026-10-29 (KST)</x:v>
      </x:c>
    </x:row>
    <x:row r="1149" ht="75" customHeight="1">
      <x:c r="A1149" s="11" t="str">
        <x:v>T023</x:v>
      </x:c>
      <x:c r="B1149" s="11" t="str">
        <x:v>Hàn</x:v>
      </x:c>
      <x:c r="C1149" s="11" t="str">
        <x:v>Hàn: 민주주의</x:v>
      </x:c>
      <x:c r="D1149" s="11" t="str">
        <x:v>Nguồn từ nguyên/chữ gốc hoặc thành tố được nêu; đọc giới hạn tại ghi chú.</x:v>
      </x:c>
      <x:c r="E1149" s="11" t="str">
        <x:v>Mục từ</x:v>
      </x:c>
      <x:c r="F1149" s="11" t="str">
        <x:v>Hàn</x:v>
      </x:c>
      <x:c r="G1149" s="11" t="str">
        <x:v>ET274</x:v>
      </x:c>
      <x:c r="H1149" s="11" t="str">
        <x:v>KRDict – 민주주의</x:v>
      </x:c>
      <x:c r="I1149" s="30" t="str">
        <x:v>https://krdict.korean.go.kr/kor/dicSearch/SearchView?ParaWordNo=15777</x:v>
      </x:c>
      <x:c r="J1149" s="11" t="str">
        <x:v>Đầu mục trực tiếp ghi 民主主義.</x:v>
      </x:c>
      <x:c r="K1149" s="11" t="str">
        <x:v>2026-10-29 (KST)</x:v>
      </x:c>
    </x:row>
    <x:row r="1150" ht="75" customHeight="1">
      <x:c r="A1150" s="11" t="str">
        <x:v>Dùng chung (5 mã)</x:v>
      </x:c>
      <x:c r="B1150" s="11" t="str">
        <x:v>Hàn</x:v>
      </x:c>
      <x:c r="C1150" s="11" t="str">
        <x:v>Hàn: 대외정책; Hàn: 전략대화; Hàn: 대외; Hàn: 대</x:v>
      </x:c>
      <x:c r="D1150" s="11" t="str">
        <x:v>Nguồn từ nguyên/chữ gốc hoặc thành tố được nêu; đọc giới hạn tại ghi chú.</x:v>
      </x:c>
      <x:c r="E1150" s="11" t="str">
        <x:v>Mục từ</x:v>
      </x:c>
      <x:c r="F1150" s="11" t="str">
        <x:v>Hàn</x:v>
      </x:c>
      <x:c r="G1150" s="11" t="str">
        <x:v>ET275</x:v>
      </x:c>
      <x:c r="H1150" s="11" t="str">
        <x:v>KRDict – 대⁸(對)</x:v>
      </x:c>
      <x:c r="I1150" s="30" t="str">
        <x:v>https://krdict.korean.go.kr/kor/dicSearch/SearchView?ParaWordNo=39568</x:v>
      </x:c>
      <x:c r="J1150" s="11" t="str">
        <x:v>Đầu mục 對, danh từ phụ thuộc chỉ hai bên đối nhau; 원어 한자.</x:v>
      </x:c>
      <x:c r="K1150" s="11" t="str">
        <x:v>2026-10-29 (KST)</x:v>
      </x:c>
    </x:row>
    <x:row r="1151" ht="75" customHeight="1">
      <x:c r="A1151" s="11" t="str">
        <x:v>T021</x:v>
      </x:c>
      <x:c r="B1151" s="11" t="str">
        <x:v>Hàn</x:v>
      </x:c>
      <x:c r="C1151" s="11" t="str">
        <x:v>Hàn: 시스템</x:v>
      </x:c>
      <x:c r="D1151" s="11" t="str">
        <x:v>Nguồn từ nguyên/chữ gốc hoặc thành tố được nêu; đọc giới hạn tại ghi chú.</x:v>
      </x:c>
      <x:c r="E1151" s="11" t="str">
        <x:v>Thành tố</x:v>
      </x:c>
      <x:c r="F1151" s="11" t="str">
        <x:v>Hàn</x:v>
      </x:c>
      <x:c r="G1151" s="11" t="str">
        <x:v>ET276</x:v>
      </x:c>
      <x:c r="H1151" s="11" t="str">
        <x:v>NIKL 온용어 – 시스템 복합 체계</x:v>
      </x:c>
      <x:c r="I1151" s="30" t="str">
        <x:v>https://kli.korean.go.kr/term/trgtWord/indexTrgtWord.do?trgtWordNo=2299184</x:v>
      </x:c>
      <x:c r="J1151" s="11" t="str">
        <x:v>원어 system 複合體系; system được ghi 영어.</x:v>
      </x:c>
      <x:c r="K1151" s="11" t="str">
        <x:v>2026-10-29 (KST)</x:v>
      </x:c>
    </x:row>
    <x:row r="1152" ht="75" customHeight="1">
      <x:c r="A1152" s="11" t="str">
        <x:v>M030</x:v>
      </x:c>
      <x:c r="B1152" s="11" t="str">
        <x:v>Hàn</x:v>
      </x:c>
      <x:c r="C1152" s="11" t="str">
        <x:v>Hàn: 비자</x:v>
      </x:c>
      <x:c r="D1152" s="11" t="str">
        <x:v>Nguồn từ nguyên/chữ gốc hoặc thành tố được nêu; đọc giới hạn tại ghi chú.</x:v>
      </x:c>
      <x:c r="E1152" s="11" t="str">
        <x:v>Thành tố</x:v>
      </x:c>
      <x:c r="F1152" s="11" t="str">
        <x:v>Hàn</x:v>
      </x:c>
      <x:c r="G1152" s="11" t="str">
        <x:v>ET277</x:v>
      </x:c>
      <x:c r="H1152" s="11" t="str">
        <x:v>NIKL 온용어 – 관광 비자</x:v>
      </x:c>
      <x:c r="I1152" s="30" t="str">
        <x:v>https://kli.korean.go.kr/term/trgtWord/indexTrgtWord.do?trgtWordNo=2049065</x:v>
      </x:c>
      <x:c r="J1152" s="11" t="str">
        <x:v>원어 觀光 visa; visa được ghi 영어.</x:v>
      </x:c>
      <x:c r="K1152" s="11" t="str">
        <x:v>2026-10-29 (KST)</x:v>
      </x:c>
    </x:row>
    <x:row r="1153" ht="75" customHeight="1">
      <x:c r="A1153" s="11" t="str">
        <x:v>M050</x:v>
      </x:c>
      <x:c r="B1153" s="11" t="str">
        <x:v>Hàn</x:v>
      </x:c>
      <x:c r="C1153" s="11" t="str">
        <x:v>Hàn: 임기</x:v>
      </x:c>
      <x:c r="D1153" s="11" t="str">
        <x:v>Nguồn từ nguyên/chữ gốc hoặc thành tố được nêu; đọc giới hạn tại ghi chú.</x:v>
      </x:c>
      <x:c r="E1153" s="11" t="str">
        <x:v>Mục từ</x:v>
      </x:c>
      <x:c r="F1153" s="11" t="str">
        <x:v>Hàn</x:v>
      </x:c>
      <x:c r="G1153" s="11" t="str">
        <x:v>ET278</x:v>
      </x:c>
      <x:c r="H1153" s="11" t="str">
        <x:v>KRDict – 임기(任期)</x:v>
      </x:c>
      <x:c r="I1153" s="30" t="str">
        <x:v>https://krdict.korean.go.kr/ind/dicSearch/SearchView?ParaWordNo=73107&amp;blockCount=10&amp;currentPage=1&amp;exaType=&amp;mainSearchWord=%EB%81%9D%EB%82%98%EB%8B%A4&amp;myViewWord=82109&amp;nation=ind&amp;nationCode=4&amp;proverbType=&amp;searchType=E&amp;sort=W&amp;viewType=A&amp;wordMatchFlag=N</x:v>
      </x:c>
      <x:c r="J1153" s="11" t="str">
        <x:v>Đầu mục 任期; chữ Hán không phụ thuộc ngôn ngữ giao diện Indonesia.</x:v>
      </x:c>
      <x:c r="K1153" s="11" t="str">
        <x:v>2026-10-29 (KST)</x:v>
      </x:c>
    </x:row>
    <x:row r="1154" ht="75" customHeight="1">
      <x:c r="A1154" s="11" t="str">
        <x:v>Dùng chung (4 mã)</x:v>
      </x:c>
      <x:c r="B1154" s="11" t="str">
        <x:v>Hàn</x:v>
      </x:c>
      <x:c r="C1154" s="11" t="str">
        <x:v>Hàn: 사법; Hàn: 사법부; Hàn: 사법공조</x:v>
      </x:c>
      <x:c r="D1154" s="11" t="str">
        <x:v>Nguồn từ nguyên/chữ gốc hoặc thành tố được nêu; đọc giới hạn tại ghi chú.</x:v>
      </x:c>
      <x:c r="E1154" s="11" t="str">
        <x:v>Mục từ</x:v>
      </x:c>
      <x:c r="F1154" s="11" t="str">
        <x:v>Hàn</x:v>
      </x:c>
      <x:c r="G1154" s="11" t="str">
        <x:v>ET279</x:v>
      </x:c>
      <x:c r="H1154" s="11" t="str">
        <x:v>KRDict – 사법(司法)</x:v>
      </x:c>
      <x:c r="I1154" s="30" t="str">
        <x:v>https://krdict.korean.go.kr/eng/dicSearch/SearchView?ParaWordNo=61371</x:v>
      </x:c>
      <x:c r="J1154" s="11" t="str">
        <x:v>Đầu mục trực tiếp ghi 司法.</x:v>
      </x:c>
      <x:c r="K1154" s="11" t="str">
        <x:v>2026-10-29 (KST)</x:v>
      </x:c>
    </x:row>
    <x:row r="1155" ht="75" customHeight="1">
      <x:c r="A1155" s="11" t="str">
        <x:v>Dùng chung (15 mã)</x:v>
      </x:c>
      <x:c r="B1155" s="11" t="str">
        <x:v>Hàn</x:v>
      </x:c>
      <x:c r="C1155" s="11" t="str">
        <x:v>Hàn: 아세안; Hàn: 지역; Hàn: 포럼; Hàn: 국가안보보좌관; Hàn: 지역기구; Hàn: 안보; Hàn: 식량안보; Hàn: 경제안보; Hàn: 안보리</x:v>
      </x:c>
      <x:c r="D1155" s="11" t="str">
        <x:v>Nguồn từ nguyên/chữ gốc hoặc thành tố được nêu; đọc giới hạn tại ghi chú.</x:v>
      </x:c>
      <x:c r="E1155" s="11" t="str">
        <x:v>Thành tố</x:v>
      </x:c>
      <x:c r="F1155" s="11" t="str">
        <x:v>Hàn</x:v>
      </x:c>
      <x:c r="G1155" s="11" t="str">
        <x:v>ET280</x:v>
      </x:c>
      <x:c r="H1155" s="11" t="str">
        <x:v>NIKL 온용어 – 아세안 지역 안보 포럼</x:v>
      </x:c>
      <x:c r="I1155" s="30" t="str">
        <x:v>https://kli.korean.go.kr/term/trgtWord/indexTrgtWord.do?trgtWordNo=2315740</x:v>
      </x:c>
      <x:c r="J1155" s="11" t="str">
        <x:v>원어 ASEAN 地域安保 forum; ASEAN/forum được ghi 영어, 地域安保 ghi 한자. Dùng ở cấp thành tố, không thêm 안보 vào nguyên mục M010.</x:v>
      </x:c>
      <x:c r="K1155" s="11" t="str">
        <x:v>2026-10-29 (KST)</x:v>
      </x:c>
    </x:row>
    <x:row r="1156" ht="75" customHeight="1">
      <x:c r="A1156" s="11" t="str">
        <x:v>M010</x:v>
      </x:c>
      <x:c r="B1156" s="11" t="str">
        <x:v>Hàn</x:v>
      </x:c>
      <x:c r="C1156" s="11" t="str">
        <x:v>Hàn: 포럼</x:v>
      </x:c>
      <x:c r="D1156" s="11" t="str">
        <x:v>Nguồn từ nguyên/chữ gốc hoặc thành tố được nêu; đọc giới hạn tại ghi chú.</x:v>
      </x:c>
      <x:c r="E1156" s="11" t="str">
        <x:v>Mục từ</x:v>
      </x:c>
      <x:c r="F1156" s="11" t="str">
        <x:v>Hàn</x:v>
      </x:c>
      <x:c r="G1156" s="11" t="str">
        <x:v>ET281</x:v>
      </x:c>
      <x:c r="H1156" s="11" t="str">
        <x:v>NIKL – 포럼</x:v>
      </x:c>
      <x:c r="I1156" s="30" t="str">
        <x:v>https://www.korean.go.kr/front/imprv/refineView.do?imprv_refine_seq=19506&amp;mn_id=158</x:v>
      </x:c>
      <x:c r="J1156" s="11" t="str">
        <x:v>원어 forum(영), xác nhận thành tố ngoại lai.</x:v>
      </x:c>
      <x:c r="K1156" s="11" t="str">
        <x:v>2026-10-29 (KST)</x:v>
      </x:c>
    </x:row>
    <x:row r="1157" ht="75" customHeight="1">
      <x:c r="A1157" s="11" t="str">
        <x:v>Dùng chung (12 mã)</x:v>
      </x:c>
      <x:c r="B1157" s="11" t="str">
        <x:v>Hàn</x:v>
      </x:c>
      <x:c r="C1157" s="11" t="str">
        <x:v>Hàn: 협력; Hàn: 협력기구; Hàn: 양자협력지도위원회</x:v>
      </x:c>
      <x:c r="D1157" s="11" t="str">
        <x:v>Nguồn từ nguyên/chữ gốc hoặc thành tố được nêu; đọc giới hạn tại ghi chú.</x:v>
      </x:c>
      <x:c r="E1157" s="11" t="str">
        <x:v>Mục từ</x:v>
      </x:c>
      <x:c r="F1157" s="11" t="str">
        <x:v>Hàn</x:v>
      </x:c>
      <x:c r="G1157" s="11" t="str">
        <x:v>ET282</x:v>
      </x:c>
      <x:c r="H1157" s="11" t="str">
        <x:v>NIKL – 협력(協力)</x:v>
      </x:c>
      <x:c r="I1157" s="30" t="str">
        <x:v>https://www.korean.go.kr/front/onlineQna/onlineQnaView.do?mn_id=216&amp;pageIndex=1&amp;qna_seq=327882</x:v>
      </x:c>
      <x:c r="J1157" s="11" t="str">
        <x:v>Trích mục 표준국어대사전 ghi 협력(協力), nghĩa hợp sức hỗ trợ nhau.</x:v>
      </x:c>
      <x:c r="K1157" s="11" t="str">
        <x:v>2026-10-29 (KST)</x:v>
      </x:c>
    </x:row>
    <x:row r="1158" ht="75" customHeight="1">
      <x:c r="A1158" s="11" t="str">
        <x:v>Dùng chung (4 mã)</x:v>
      </x:c>
      <x:c r="B1158" s="11" t="str">
        <x:v>Hàn</x:v>
      </x:c>
      <x:c r="C1158" s="11" t="str">
        <x:v>Hàn: 전략대화; Hàn: 대화</x:v>
      </x:c>
      <x:c r="D1158" s="11" t="str">
        <x:v>Nguồn từ nguyên/chữ gốc hoặc thành tố được nêu; đọc giới hạn tại ghi chú.</x:v>
      </x:c>
      <x:c r="E1158" s="11" t="str">
        <x:v>Thành tố</x:v>
      </x:c>
      <x:c r="F1158" s="11" t="str">
        <x:v>Hàn</x:v>
      </x:c>
      <x:c r="G1158" s="11" t="str">
        <x:v>ET283</x:v>
      </x:c>
      <x:c r="H1158" s="11" t="str">
        <x:v>NIKL 온용어 – 남북 대화</x:v>
      </x:c>
      <x:c r="I1158" s="30" t="str">
        <x:v>https://kli.korean.go.kr/term/trgtWord/indexTrgtWord.do?trgtWordNo=2088568</x:v>
      </x:c>
      <x:c r="J1158" s="11" t="str">
        <x:v>원어 南北對話; xác nhận 대화 對話 trong nghĩa đối thoại.</x:v>
      </x:c>
      <x:c r="K1158" s="11" t="str">
        <x:v>2026-10-29 (KST)</x:v>
      </x:c>
    </x:row>
    <x:row r="1159" ht="75" customHeight="1">
      <x:c r="A1159" s="11" t="str">
        <x:v>Dùng chung (2 mã)</x:v>
      </x:c>
      <x:c r="B1159" s="11" t="str">
        <x:v>Hàn</x:v>
      </x:c>
      <x:c r="C1159" s="11" t="str">
        <x:v>Hàn: 선거</x:v>
      </x:c>
      <x:c r="D1159" s="11" t="str">
        <x:v>Nguồn từ nguyên/chữ gốc hoặc thành tố được nêu; đọc giới hạn tại ghi chú.</x:v>
      </x:c>
      <x:c r="E1159" s="11" t="str">
        <x:v>Mục từ</x:v>
      </x:c>
      <x:c r="F1159" s="11" t="str">
        <x:v>Hàn</x:v>
      </x:c>
      <x:c r="G1159" s="11" t="str">
        <x:v>ET284</x:v>
      </x:c>
      <x:c r="H1159" s="11" t="str">
        <x:v>KRDict – 선거(選擧)</x:v>
      </x:c>
      <x:c r="I1159" s="30" t="str">
        <x:v>https://krdict.korean.go.kr/kor/dicSearch/SearchView?ParaWordNo=16617&amp;_csrf=9f15b3b0-d699-4ff0-bccc-e846478b0737&amp;mainSearchWord=&amp;nationCode=</x:v>
      </x:c>
      <x:c r="J1159" s="11" t="str">
        <x:v>Đầu mục 選擧; 원어 한자.</x:v>
      </x:c>
      <x:c r="K1159" s="11" t="str">
        <x:v>2026-10-29 (KST)</x:v>
      </x:c>
    </x:row>
    <x:row r="1160" ht="75" customHeight="1">
      <x:c r="A1160" s="11" t="str">
        <x:v>Dùng chung (3 mã)</x:v>
      </x:c>
      <x:c r="B1160" s="11" t="str">
        <x:v>Hàn</x:v>
      </x:c>
      <x:c r="C1160" s="11" t="str">
        <x:v>Hàn: 할; Hàn: 한</x:v>
      </x:c>
      <x:c r="D1160" s="11" t="str">
        <x:v>Nguồn từ nguyên/chữ gốc hoặc thành tố được nêu; đọc giới hạn tại ghi chú.</x:v>
      </x:c>
      <x:c r="E1160" s="11" t="str">
        <x:v>Thành tố</x:v>
      </x:c>
      <x:c r="F1160" s="11" t="str">
        <x:v>Hàn</x:v>
      </x:c>
      <x:c r="G1160" s="11" t="str">
        <x:v>ET285</x:v>
      </x:c>
      <x:c r="H1160" s="11" t="str">
        <x:v>KRDict – 대변하다</x:v>
      </x:c>
      <x:c r="I1160" s="30" t="str">
        <x:v>https://krdict.korean.go.kr/eng/dicSearch/SearchView?ParaWordNo=62540&amp;nation=eng&amp;nationCode=6</x:v>
      </x:c>
      <x:c r="J1160" s="11" t="str">
        <x:v>Trường 원어 tách 代辯 là Sino-Korean word và 하다 là Native word; dùng chứng thực yếu tố 하- trong động từ, không phải nguyên mục 지명하다/예방하다.</x:v>
      </x:c>
      <x:c r="K1160" s="11" t="str">
        <x:v>2026-10-29 (KST)</x:v>
      </x:c>
    </x:row>
    <x:row r="1161" ht="85.5" customHeight="1">
      <x:c r="A1161" s="11" t="str">
        <x:v>Dùng chung (4 mã)</x:v>
      </x:c>
      <x:c r="B1161" s="11" t="str">
        <x:v>Hàn</x:v>
      </x:c>
      <x:c r="C1161" s="11" t="str">
        <x:v>Phương pháp phân tích nguồn gốc</x:v>
      </x:c>
      <x:c r="D1161" s="11" t="str">
        <x:v>Nguồn từ nguyên/chữ gốc hoặc thành tố được nêu; đọc giới hạn tại ghi chú.</x:v>
      </x:c>
      <x:c r="E1161" s="11" t="str">
        <x:v>Phương pháp</x:v>
      </x:c>
      <x:c r="F1161" s="11" t="str">
        <x:v>Hàn</x:v>
      </x:c>
      <x:c r="G1161" s="11" t="str">
        <x:v>ET286</x:v>
      </x:c>
      <x:c r="H1161" s="11" t="str">
        <x:v>AKS – 한자어(漢字語)</x:v>
      </x:c>
      <x:c r="I1161" s="30" t="str">
        <x:v>https://encykorea.aks.ac.kr/Article/E0061930</x:v>
      </x:c>
      <x:c r="J1161" s="11" t="str">
        <x:v>Phân loại Hán Hàn theo thành tố chữ Hán có âm đọc Hàn; kể cả từ tạo ở Hàn/Nhật. Nêu cấu tạo Hán Hàn + 하다 có yếu tố bản địa. Đây là căn cứ phương pháp, không phải bằng chứng riêng từng mục.
Định nghĩa Hán Hàn theo thành tố chữ Hán và âm đọc Hàn; bao gồm từ tạo ở Hàn hoặc Nhật. Căn cứ phương pháp.</x:v>
      </x:c>
      <x:c r="K1161" s="11" t="str">
        <x:v>2026-10-29 (KST)</x:v>
      </x:c>
    </x:row>
    <x:row r="1162" ht="75" customHeight="1">
      <x:c r="A1162" s="11" t="str">
        <x:v>Dùng chung (2 mã)</x:v>
      </x:c>
      <x:c r="B1162" s="11" t="str">
        <x:v>Hàn</x:v>
      </x:c>
      <x:c r="C1162" s="11" t="str">
        <x:v>Hàn: 입법; Hàn: 입법기관</x:v>
      </x:c>
      <x:c r="D1162" s="11" t="str">
        <x:v>Nguồn từ nguyên/chữ gốc hoặc thành tố được nêu; đọc giới hạn tại ghi chú.</x:v>
      </x:c>
      <x:c r="E1162" s="11" t="str">
        <x:v>Mục từ</x:v>
      </x:c>
      <x:c r="F1162" s="11" t="str">
        <x:v>Hàn</x:v>
      </x:c>
      <x:c r="G1162" s="11" t="str">
        <x:v>ET287</x:v>
      </x:c>
      <x:c r="H1162" s="11" t="str">
        <x:v>KRDict – 입법(立法)</x:v>
      </x:c>
      <x:c r="I1162" s="30" t="str">
        <x:v>https://krdict.korean.go.kr/eng/dicSearch/SearchView?ParaWordNo=91533</x:v>
      </x:c>
      <x:c r="J1162" s="11" t="str">
        <x:v>Đầu mục ghi 立法; trường Original Language: Sino-Korean word.</x:v>
      </x:c>
      <x:c r="K1162" s="11" t="str">
        <x:v>2026-10-29 (KST)</x:v>
      </x:c>
    </x:row>
    <x:row r="1163" ht="75" customHeight="1">
      <x:c r="A1163" s="11" t="str">
        <x:v>T032</x:v>
      </x:c>
      <x:c r="B1163" s="11" t="str">
        <x:v>Hàn</x:v>
      </x:c>
      <x:c r="C1163" s="11" t="str">
        <x:v>Hàn: 부패</x:v>
      </x:c>
      <x:c r="D1163" s="11" t="str">
        <x:v>Nguồn từ nguyên/chữ gốc hoặc thành tố được nêu; đọc giới hạn tại ghi chú.</x:v>
      </x:c>
      <x:c r="E1163" s="11" t="str">
        <x:v>Thành tố</x:v>
      </x:c>
      <x:c r="F1163" s="11" t="str">
        <x:v>Hàn</x:v>
      </x:c>
      <x:c r="G1163" s="11" t="str">
        <x:v>ET288</x:v>
      </x:c>
      <x:c r="H1163" s="11" t="str">
        <x:v>NIKL 온용어 – 부패행위</x:v>
      </x:c>
      <x:c r="I1163" s="30" t="str">
        <x:v>https://kli.korean.go.kr/term/trgtWord/indexTrgtWord.do?trgtWordNo=222280</x:v>
      </x:c>
      <x:c r="J1163" s="11" t="str">
        <x:v>원어 腐敗行爲; xác nhận 부패 腐敗 theo nghĩa tham nhũng.</x:v>
      </x:c>
      <x:c r="K1163" s="11" t="str">
        <x:v>2026-10-29 (KST)</x:v>
      </x:c>
    </x:row>
    <x:row r="1164" ht="75" customHeight="1">
      <x:c r="A1164" s="11" t="str">
        <x:v>T032</x:v>
      </x:c>
      <x:c r="B1164" s="11" t="str">
        <x:v>Hàn</x:v>
      </x:c>
      <x:c r="C1164" s="11" t="str">
        <x:v>Hàn: 및</x:v>
      </x:c>
      <x:c r="D1164" s="11" t="str">
        <x:v>Nguồn từ nguyên/chữ gốc hoặc thành tố được nêu; đọc giới hạn tại ghi chú.</x:v>
      </x:c>
      <x:c r="E1164" s="11" t="str">
        <x:v>Thành tố</x:v>
      </x:c>
      <x:c r="F1164" s="11" t="str">
        <x:v>Hàn</x:v>
      </x:c>
      <x:c r="G1164" s="11" t="str">
        <x:v>ET289</x:v>
      </x:c>
      <x:c r="H1164" s="11" t="str">
        <x:v>NIKL – 및 và 통해, trả lời 26/02/2026</x:v>
      </x:c>
      <x:c r="I1164" s="30" t="str">
        <x:v>https://m.korean.go.kr/front/onlineQna/onlineQnaView.do?mn_id=216&amp;pageIndex=1&amp;qna_seq=327672</x:v>
      </x:c>
      <x:c r="J1164" s="11" t="str">
        <x:v>Xác nhận 및 là 고유어 theo trường từ nguyên của 표준국어대사전.</x:v>
      </x:c>
      <x:c r="K1164" s="11" t="str">
        <x:v>2026-10-29 (KST)</x:v>
      </x:c>
    </x:row>
    <x:row r="1165" ht="75" customHeight="1">
      <x:c r="A1165" s="11" t="str">
        <x:v>Dùng chung (3 mã)</x:v>
      </x:c>
      <x:c r="B1165" s="11" t="str">
        <x:v>Hàn</x:v>
      </x:c>
      <x:c r="C1165" s="11" t="str">
        <x:v>Hàn: 거버넌스</x:v>
      </x:c>
      <x:c r="D1165" s="11" t="str">
        <x:v>Nguồn từ nguyên/chữ gốc hoặc thành tố được nêu; đọc giới hạn tại ghi chú.</x:v>
      </x:c>
      <x:c r="E1165" s="11" t="str">
        <x:v>Mục từ</x:v>
      </x:c>
      <x:c r="F1165" s="11" t="str">
        <x:v>Hàn</x:v>
      </x:c>
      <x:c r="G1165" s="11" t="str">
        <x:v>ET290</x:v>
      </x:c>
      <x:c r="H1165" s="11" t="str">
        <x:v>NIKL 온용어 – 거버넌스</x:v>
      </x:c>
      <x:c r="I1165" s="30" t="str">
        <x:v>https://kli.korean.go.kr/term/trgtWord/indexTrgtWord.do?trgtWordNo=202048</x:v>
      </x:c>
      <x:c r="J1165" s="11" t="str">
        <x:v>원어 governance, 영어.</x:v>
      </x:c>
      <x:c r="K1165" s="11" t="str">
        <x:v>2026-10-29 (KST)</x:v>
      </x:c>
    </x:row>
    <x:row r="1166" ht="75" customHeight="1">
      <x:c r="A1166" s="11" t="str">
        <x:v>T144</x:v>
      </x:c>
      <x:c r="B1166" s="11" t="str">
        <x:v>Hàn</x:v>
      </x:c>
      <x:c r="C1166" s="11" t="str">
        <x:v>Hàn: 수교</x:v>
      </x:c>
      <x:c r="D1166" s="11" t="str">
        <x:v>Nguồn từ nguyên/chữ gốc hoặc thành tố được nêu; đọc giới hạn tại ghi chú.</x:v>
      </x:c>
      <x:c r="E1166" s="11" t="str">
        <x:v>Thành tố</x:v>
      </x:c>
      <x:c r="F1166" s="11" t="str">
        <x:v>Hàn</x:v>
      </x:c>
      <x:c r="G1166" s="11" t="str">
        <x:v>ET291</x:v>
      </x:c>
      <x:c r="H1166" s="11" t="str">
        <x:v>NIKL – 국어순화자료, 수교하다</x:v>
      </x:c>
      <x:c r="I1166" s="30" t="str">
        <x:v>https://www.korean.go.kr/nkview/kclean/kclean_7.htm</x:v>
      </x:c>
      <x:c r="J1166" s="11" t="str">
        <x:v>Ghi 수교하다 [修交-] = thiết lập quan hệ ngoại giao; phân biệt với 수교 手交.</x:v>
      </x:c>
      <x:c r="K1166" s="11" t="str">
        <x:v>2026-10-29 (KST)</x:v>
      </x:c>
    </x:row>
    <x:row r="1167" ht="75" customHeight="1">
      <x:c r="A1167" s="11" t="str">
        <x:v>Dùng chung (4 mã)</x:v>
      </x:c>
      <x:c r="B1167" s="11" t="str">
        <x:v>Hàn</x:v>
      </x:c>
      <x:c r="C1167" s="11" t="str">
        <x:v>Hàn: 해양; Hàn: 해양법협약</x:v>
      </x:c>
      <x:c r="D1167" s="11" t="str">
        <x:v>Nguồn từ nguyên/chữ gốc hoặc thành tố được nêu; đọc giới hạn tại ghi chú.</x:v>
      </x:c>
      <x:c r="E1167" s="11" t="str">
        <x:v>Thành tố</x:v>
      </x:c>
      <x:c r="F1167" s="11" t="str">
        <x:v>Hàn</x:v>
      </x:c>
      <x:c r="G1167" s="11" t="str">
        <x:v>ET292</x:v>
      </x:c>
      <x:c r="H1167" s="11" t="str">
        <x:v>NIKL 온용어 – 해양 에너지</x:v>
      </x:c>
      <x:c r="I1167" s="30" t="str">
        <x:v>https://kli.korean.go.kr/term/trgtWord/indexTrgtWord.do?trgtWordNo=101058</x:v>
      </x:c>
      <x:c r="J1167" s="11" t="str">
        <x:v>원어 海洋 energy, tách 한자/영어; xác nhận 해양 海洋.</x:v>
      </x:c>
      <x:c r="K1167" s="11" t="str">
        <x:v>2026-10-29 (KST)</x:v>
      </x:c>
    </x:row>
    <x:row r="1168" ht="75" customHeight="1">
      <x:c r="A1168" s="11" t="str">
        <x:v>Dùng chung (3 mã)</x:v>
      </x:c>
      <x:c r="B1168" s="11" t="str">
        <x:v>Hàn</x:v>
      </x:c>
      <x:c r="C1168" s="11" t="str">
        <x:v>Hàn: 대표단; Hàn: 대표단장</x:v>
      </x:c>
      <x:c r="D1168" s="11" t="str">
        <x:v>Nguồn từ nguyên/chữ gốc hoặc thành tố được nêu; đọc giới hạn tại ghi chú.</x:v>
      </x:c>
      <x:c r="E1168" s="11" t="str">
        <x:v>Mục từ</x:v>
      </x:c>
      <x:c r="F1168" s="11" t="str">
        <x:v>Hàn</x:v>
      </x:c>
      <x:c r="G1168" s="11" t="str">
        <x:v>ET293</x:v>
      </x:c>
      <x:c r="H1168" s="11" t="str">
        <x:v>KRDict – 대표단(代表團), trang kết quả</x:v>
      </x:c>
      <x:c r="I1168" s="30" t="str">
        <x:v>https://krdict.korean.go.kr/m/eng/searchResult?ParaWordNo=46963&amp;currentPage=49&amp;exaType=&amp;font_size=12&amp;mainSearchWord=%EB%8C%80&amp;nation=eng&amp;nationCode=6&amp;proverbType=&amp;searchType=W&amp;sort=W&amp;viewType=A&amp;wordMatchFlag=N</x:v>
      </x:c>
      <x:c r="J1168" s="11" t="str">
        <x:v>Trang kết quả có mục 대표단(代表團), nhóm người đại diện.</x:v>
      </x:c>
      <x:c r="K1168" s="11" t="str">
        <x:v>2026-10-29 (KST)</x:v>
      </x:c>
    </x:row>
    <x:row r="1169" ht="75" customHeight="1">
      <x:c r="A1169" s="11" t="str">
        <x:v>M020</x:v>
      </x:c>
      <x:c r="B1169" s="11" t="str">
        <x:v>Hàn</x:v>
      </x:c>
      <x:c r="C1169" s="11" t="str">
        <x:v>Hàn: 양해각서</x:v>
      </x:c>
      <x:c r="D1169" s="11" t="str">
        <x:v>Nguồn từ nguyên/chữ gốc hoặc thành tố được nêu; đọc giới hạn tại ghi chú.</x:v>
      </x:c>
      <x:c r="E1169" s="11" t="str">
        <x:v>Mục từ</x:v>
      </x:c>
      <x:c r="F1169" s="11" t="str">
        <x:v>Hàn</x:v>
      </x:c>
      <x:c r="G1169" s="11" t="str">
        <x:v>ET294</x:v>
      </x:c>
      <x:c r="H1169" s="11" t="str">
        <x:v>NIKL qua Digital Jiphyeonjeon – 양해 각서</x:v>
      </x:c>
      <x:c r="I1169" s="30" t="str">
        <x:v>https://k-knowledge.kr/srch/read.jsp?id=268464619</x:v>
      </x:c>
      <x:c r="J1169" s="11" t="str">
        <x:v>Nguồn NIKL, trường nguyên dạng ghi 諒解覺書(한자). Chỉ dùng thông tin cấu tạo, không suy mọi MOU đều có hiệu lực như điều ước.</x:v>
      </x:c>
      <x:c r="K1169" s="11" t="str">
        <x:v>2026-10-29 (KST)</x:v>
      </x:c>
    </x:row>
    <x:row r="1170" ht="75" customHeight="1">
      <x:c r="A1170" s="11" t="str">
        <x:v>T054</x:v>
      </x:c>
      <x:c r="B1170" s="11" t="str">
        <x:v>Hàn</x:v>
      </x:c>
      <x:c r="C1170" s="11" t="str">
        <x:v>Hàn: 강령</x:v>
      </x:c>
      <x:c r="D1170" s="11" t="str">
        <x:v>Nguồn từ nguyên/chữ gốc hoặc thành tố được nêu; đọc giới hạn tại ghi chú.</x:v>
      </x:c>
      <x:c r="E1170" s="11" t="str">
        <x:v>Mục từ</x:v>
      </x:c>
      <x:c r="F1170" s="11" t="str">
        <x:v>Hàn</x:v>
      </x:c>
      <x:c r="G1170" s="11" t="str">
        <x:v>ET295</x:v>
      </x:c>
      <x:c r="H1170" s="11" t="str">
        <x:v>KRDict – 강령(綱領)</x:v>
      </x:c>
      <x:c r="I1170" s="30" t="str">
        <x:v>https://krdict.korean.go.kr/eng/dicSearch/SearchView?ParaWordNo=17528</x:v>
      </x:c>
      <x:c r="J1170" s="11" t="str">
        <x:v>Đầu mục ghi 綱領; trường Original Language: Sino-Korean word.</x:v>
      </x:c>
      <x:c r="K1170" s="11" t="str">
        <x:v>2026-10-29 (KST)</x:v>
      </x:c>
    </x:row>
    <x:row r="1171" ht="75" customHeight="1">
      <x:c r="A1171" s="11" t="str">
        <x:v>C001</x:v>
      </x:c>
      <x:c r="B1171" s="11" t="str">
        <x:v>Hàn</x:v>
      </x:c>
      <x:c r="C1171" s="11" t="str">
        <x:v>Hàn: 외교관</x:v>
      </x:c>
      <x:c r="D1171" s="11" t="str">
        <x:v>Nguồn từ nguyên/chữ gốc hoặc thành tố được nêu; đọc giới hạn tại ghi chú.</x:v>
      </x:c>
      <x:c r="E1171" s="11" t="str">
        <x:v>Mục từ</x:v>
      </x:c>
      <x:c r="F1171" s="11" t="str">
        <x:v>Hàn</x:v>
      </x:c>
      <x:c r="G1171" s="11" t="str">
        <x:v>ET296</x:v>
      </x:c>
      <x:c r="H1171" s="11" t="str">
        <x:v>KRDict – 외교관(外交官)</x:v>
      </x:c>
      <x:c r="I1171" s="30" t="str">
        <x:v>https://krdict.korean.go.kr/eng/dicSearch/SearchView?ParaWordNo=67853&amp;nation=eng</x:v>
      </x:c>
      <x:c r="J1171" s="11" t="str">
        <x:v>Mục từ ghi 外交官; trường Original Language: Sino-Korean word.</x:v>
      </x:c>
      <x:c r="K1171" s="11" t="str">
        <x:v>2026-10-29 (KST)</x:v>
      </x:c>
    </x:row>
    <x:row r="1172" ht="75" customHeight="1">
      <x:c r="A1172" s="11" t="str">
        <x:v>Dùng chung (3 mã)</x:v>
      </x:c>
      <x:c r="B1172" s="11" t="str">
        <x:v>Hàn</x:v>
      </x:c>
      <x:c r="C1172" s="11" t="str">
        <x:v>Hàn: 상주대표; Hàn: 대표단장; Hàn: 상임대표부</x:v>
      </x:c>
      <x:c r="D1172" s="11" t="str">
        <x:v>Nguồn từ nguyên/chữ gốc hoặc thành tố được nêu; đọc giới hạn tại ghi chú.</x:v>
      </x:c>
      <x:c r="E1172" s="11" t="str">
        <x:v>Mục từ</x:v>
      </x:c>
      <x:c r="F1172" s="11" t="str">
        <x:v>Hàn</x:v>
      </x:c>
      <x:c r="G1172" s="11" t="str">
        <x:v>ET297</x:v>
      </x:c>
      <x:c r="H1172" s="11" t="str">
        <x:v>KRDict – 대표(代表)</x:v>
      </x:c>
      <x:c r="I1172" s="30" t="str">
        <x:v>https://krdict.korean.go.kr/eng/dicSearch/SearchView?ParaWordNo=66263</x:v>
      </x:c>
      <x:c r="J1172" s="11" t="str">
        <x:v>Đầu mục 代表; Original Language: Sino-Korean word; có nghĩa người đại diện.</x:v>
      </x:c>
      <x:c r="K1172" s="11" t="str">
        <x:v>2026-10-29 (KST)</x:v>
      </x:c>
    </x:row>
    <x:row r="1173" ht="75" customHeight="1">
      <x:c r="A1173" s="11" t="str">
        <x:v>C016</x:v>
      </x:c>
      <x:c r="B1173" s="11" t="str">
        <x:v>Hàn</x:v>
      </x:c>
      <x:c r="C1173" s="11" t="str">
        <x:v>Hàn: 국가안보보좌관</x:v>
      </x:c>
      <x:c r="D1173" s="11" t="str">
        <x:v>Nguồn từ nguyên/chữ gốc hoặc thành tố được nêu; đọc giới hạn tại ghi chú.</x:v>
      </x:c>
      <x:c r="E1173" s="11" t="str">
        <x:v>Thành tố</x:v>
      </x:c>
      <x:c r="F1173" s="11" t="str">
        <x:v>Hàn</x:v>
      </x:c>
      <x:c r="G1173" s="11" t="str">
        <x:v>ET298</x:v>
      </x:c>
      <x:c r="H1173" s="11" t="str">
        <x:v>NIKL 온용어 – 정책 특별 보좌관</x:v>
      </x:c>
      <x:c r="I1173" s="30" t="str">
        <x:v>https://kli.korean.go.kr/term/trgtWord/indexTrgtWord.do?trgtWordNo=2447175</x:v>
      </x:c>
      <x:c r="J1173" s="11" t="str">
        <x:v>원어 政策特別補佐官; xác nhận 보좌관 viết 補佐官 theo nguồn này.</x:v>
      </x:c>
      <x:c r="K1173" s="11" t="str">
        <x:v>2026-10-29 (KST)</x:v>
      </x:c>
    </x:row>
    <x:row r="1174" ht="75" customHeight="1">
      <x:c r="A1174" s="11" t="str">
        <x:v>Dùng chung (8 mã)</x:v>
      </x:c>
      <x:c r="B1174" s="11" t="str">
        <x:v>Hàn</x:v>
      </x:c>
      <x:c r="C1174" s="11" t="str">
        <x:v>Hàn: 국가안보보좌관; Hàn: 안보; Hàn: 식량안보; Hàn: 경제안보; Hàn: 안보리</x:v>
      </x:c>
      <x:c r="D1174" s="11" t="str">
        <x:v>Nguồn từ nguyên/chữ gốc hoặc thành tố được nêu; đọc giới hạn tại ghi chú.</x:v>
      </x:c>
      <x:c r="E1174" s="11" t="str">
        <x:v>Mục từ</x:v>
      </x:c>
      <x:c r="F1174" s="11" t="str">
        <x:v>Hàn</x:v>
      </x:c>
      <x:c r="G1174" s="11" t="str">
        <x:v>ET299</x:v>
      </x:c>
      <x:c r="H1174" s="11" t="str">
        <x:v>NIKL 온용어 – 안보</x:v>
      </x:c>
      <x:c r="I1174" s="30" t="str">
        <x:v>https://kli.korean.go.kr/term/trgtWord/indexTrgtWord.do?trgtWordNo=2320327</x:v>
      </x:c>
      <x:c r="J1174" s="11" t="str">
        <x:v>원어 安保, 한자; giải thích rút gọn của 안전 보장.</x:v>
      </x:c>
      <x:c r="K1174" s="11" t="str">
        <x:v>2026-10-29 (KST)</x:v>
      </x:c>
    </x:row>
    <x:row r="1175" ht="75" customHeight="1">
      <x:c r="A1175" s="11" t="str">
        <x:v>C021</x:v>
      </x:c>
      <x:c r="B1175" s="11" t="str">
        <x:v>Hàn</x:v>
      </x:c>
      <x:c r="C1175" s="11" t="str">
        <x:v>Hàn: 정당</x:v>
      </x:c>
      <x:c r="D1175" s="11" t="str">
        <x:v>Nguồn từ nguyên/chữ gốc hoặc thành tố được nêu; đọc giới hạn tại ghi chú.</x:v>
      </x:c>
      <x:c r="E1175" s="11" t="str">
        <x:v>Mục từ</x:v>
      </x:c>
      <x:c r="F1175" s="11" t="str">
        <x:v>Hàn</x:v>
      </x:c>
      <x:c r="G1175" s="11" t="str">
        <x:v>ET300</x:v>
      </x:c>
      <x:c r="H1175" s="11" t="str">
        <x:v>NIKL 온용어 – 정당</x:v>
      </x:c>
      <x:c r="I1175" s="30" t="str">
        <x:v>https://kli.korean.go.kr/term/trgtWord/indexTrgtWord.do?trgtWordNo=2442874</x:v>
      </x:c>
      <x:c r="J1175" s="11" t="str">
        <x:v>원어 政黨, 한자.</x:v>
      </x:c>
      <x:c r="K1175" s="11" t="str">
        <x:v>2026-10-29 (KST)</x:v>
      </x:c>
    </x:row>
    <x:row r="1176" ht="75" customHeight="1">
      <x:c r="A1176" s="11" t="str">
        <x:v>Dùng chung (2 mã)</x:v>
      </x:c>
      <x:c r="B1176" s="11" t="str">
        <x:v>Hàn</x:v>
      </x:c>
      <x:c r="C1176" s="11" t="str">
        <x:v>Hàn: 상하이; Hàn: 교토</x:v>
      </x:c>
      <x:c r="D1176" s="11" t="str">
        <x:v>Nguồn từ nguyên/chữ gốc hoặc thành tố được nêu; đọc giới hạn tại ghi chú.</x:v>
      </x:c>
      <x:c r="E1176" s="11" t="str">
        <x:v>Thành tố; Phương pháp</x:v>
      </x:c>
      <x:c r="F1176" s="11" t="str">
        <x:v>Hàn</x:v>
      </x:c>
      <x:c r="G1176" s="11" t="str">
        <x:v>ET301</x:v>
      </x:c>
      <x:c r="H1176" s="11" t="str">
        <x:v>NIKL – Quy tắc tên người và địa danh Đông Á</x:v>
      </x:c>
      <x:c r="I1176" s="30" t="str">
        <x:v>https://www.korean.go.kr/front/page/pageView.do?page_id=P000146</x:v>
      </x:c>
      <x:c r="J1176" s="11" t="str">
        <x:v>Ví dụ trực tiếp 京都: 교토/경도, 上海: 상하이/상해; âm phiên Nhật/Trung phân biệt với âm Hán Hàn.
Phân biệt cách ghi theo nguyên âm tên nước ngoài với âm Hán Hàn, có ví dụ 上海 상하이/상해 và 京都 교토/경도.</x:v>
      </x:c>
      <x:c r="K1176" s="11" t="str">
        <x:v>2026-10-29 (KST)</x:v>
      </x:c>
    </x:row>
    <x:row r="1177" ht="75" customHeight="1">
      <x:c r="A1177" s="11" t="str">
        <x:v>C072</x:v>
      </x:c>
      <x:c r="B1177" s="11" t="str">
        <x:v>Hàn</x:v>
      </x:c>
      <x:c r="C1177" s="11" t="str">
        <x:v>Hàn: 에너지</x:v>
      </x:c>
      <x:c r="D1177" s="11" t="str">
        <x:v>Nguồn từ nguyên/chữ gốc hoặc thành tố được nêu; đọc giới hạn tại ghi chú.</x:v>
      </x:c>
      <x:c r="E1177" s="11" t="str">
        <x:v>Thành tố</x:v>
      </x:c>
      <x:c r="F1177" s="11" t="str">
        <x:v>Hàn</x:v>
      </x:c>
      <x:c r="G1177" s="11" t="str">
        <x:v>ET302</x:v>
      </x:c>
      <x:c r="H1177" s="11" t="str">
        <x:v>NIKL 온용어 – 최종 에너지</x:v>
      </x:c>
      <x:c r="I1177" s="30" t="str">
        <x:v>https://kli.korean.go.kr/term/trgtWord/indexTrgtWord.do?trgtWordNo=101719</x:v>
      </x:c>
      <x:c r="J1177" s="11" t="str">
        <x:v>원어 最終 energy; energy được ghi 영어.</x:v>
      </x:c>
      <x:c r="K1177" s="11" t="str">
        <x:v>2026-10-29 (KST)</x:v>
      </x:c>
    </x:row>
    <x:row r="1178" ht="75" customHeight="1">
      <x:c r="A1178" s="11" t="str">
        <x:v>Dùng chung (2 mã)</x:v>
      </x:c>
      <x:c r="B1178" s="11" t="str">
        <x:v>Hàn</x:v>
      </x:c>
      <x:c r="C1178" s="11" t="str">
        <x:v>Hàn: 사이버</x:v>
      </x:c>
      <x:c r="D1178" s="11" t="str">
        <x:v>Nguồn từ nguyên/chữ gốc hoặc thành tố được nêu; đọc giới hạn tại ghi chú.</x:v>
      </x:c>
      <x:c r="E1178" s="11" t="str">
        <x:v>Thành tố</x:v>
      </x:c>
      <x:c r="F1178" s="11" t="str">
        <x:v>Hàn</x:v>
      </x:c>
      <x:c r="G1178" s="11" t="str">
        <x:v>ET303</x:v>
      </x:c>
      <x:c r="H1178" s="11" t="str">
        <x:v>NIKL – 사이버(cyber-)</x:v>
      </x:c>
      <x:c r="I1178" s="30" t="str">
        <x:v>https://m.korean.go.kr/nkview/nknews/199908/13_7.htm</x:v>
      </x:c>
      <x:c r="J1178" s="11" t="str">
        <x:v>Bài về ngoại lai trong báo chí ghi 사이버(cyber-) và đề xuất 가상(공간).</x:v>
      </x:c>
      <x:c r="K1178" s="11" t="str">
        <x:v>2026-10-29 (KST)</x:v>
      </x:c>
    </x:row>
    <x:row r="1179" ht="75" customHeight="1">
      <x:c r="A1179" s="11" t="str">
        <x:v>C085</x:v>
      </x:c>
      <x:c r="B1179" s="11" t="str">
        <x:v>Hàn</x:v>
      </x:c>
      <x:c r="C1179" s="11" t="str">
        <x:v>Hàn: 글로벌</x:v>
      </x:c>
      <x:c r="D1179" s="11" t="str">
        <x:v>Nguồn từ nguyên/chữ gốc hoặc thành tố được nêu; đọc giới hạn tại ghi chú.</x:v>
      </x:c>
      <x:c r="E1179" s="11" t="str">
        <x:v>Thành tố</x:v>
      </x:c>
      <x:c r="F1179" s="11" t="str">
        <x:v>Hàn</x:v>
      </x:c>
      <x:c r="G1179" s="11" t="str">
        <x:v>ET304</x:v>
      </x:c>
      <x:c r="H1179" s="11" t="str">
        <x:v>NIKL 온용어 – 글로벌 경영</x:v>
      </x:c>
      <x:c r="I1179" s="30" t="str">
        <x:v>https://kli.korean.go.kr/term/trgtWord/indexTrgtWord.do?trgtWordNo=2071902</x:v>
      </x:c>
      <x:c r="J1179" s="11" t="str">
        <x:v>원어 global 經營; phân biệt global tiếng Anh và 經營 Hán.</x:v>
      </x:c>
      <x:c r="K1179" s="11" t="str">
        <x:v>2026-10-29 (KST)</x:v>
      </x:c>
    </x:row>
    <x:row r="1180" ht="75" customHeight="1">
      <x:c r="A1180" s="11" t="str">
        <x:v>C088</x:v>
      </x:c>
      <x:c r="B1180" s="11" t="str">
        <x:v>Hàn</x:v>
      </x:c>
      <x:c r="C1180" s="11" t="str">
        <x:v>Hàn: 소프트파워</x:v>
      </x:c>
      <x:c r="D1180" s="11" t="str">
        <x:v>Nguồn từ nguyên/chữ gốc hoặc thành tố được nêu; đọc giới hạn tại ghi chú.</x:v>
      </x:c>
      <x:c r="E1180" s="11" t="str">
        <x:v>Mục từ</x:v>
      </x:c>
      <x:c r="F1180" s="11" t="str">
        <x:v>Hàn</x:v>
      </x:c>
      <x:c r="G1180" s="11" t="str">
        <x:v>ET305</x:v>
      </x:c>
      <x:c r="H1180" s="11" t="str">
        <x:v>NIKL – 소프트 파워</x:v>
      </x:c>
      <x:c r="I1180" s="30" t="str">
        <x:v>https://www.korean.go.kr/front/board/boardStandardView.do?b_seq=753&amp;board_id=6&amp;mn_id=19&amp;pageIndex=15&amp;searchCondition=&amp;searchKeyword=</x:v>
      </x:c>
      <x:c r="J1180" s="11" t="str">
        <x:v>Bảng 대상어(원어) ghi 소프트 파워(soft power); coi là ngoại ngữ cần từ thay thế Hàn.</x:v>
      </x:c>
      <x:c r="K1180" s="11" t="str">
        <x:v>2026-10-29 (KST)</x:v>
      </x:c>
    </x:row>
    <x:row r="1181" ht="75" customHeight="1">
      <x:c r="A1181" s="11" t="str">
        <x:v>C092</x:v>
      </x:c>
      <x:c r="B1181" s="11" t="str">
        <x:v>Hàn</x:v>
      </x:c>
      <x:c r="C1181" s="11" t="str">
        <x:v>Hàn: 다변화</x:v>
      </x:c>
      <x:c r="D1181" s="11" t="str">
        <x:v>Nguồn từ nguyên/chữ gốc hoặc thành tố được nêu; đọc giới hạn tại ghi chú.</x:v>
      </x:c>
      <x:c r="E1181" s="11" t="str">
        <x:v>Thành tố</x:v>
      </x:c>
      <x:c r="F1181" s="11" t="str">
        <x:v>Hàn</x:v>
      </x:c>
      <x:c r="G1181" s="11" t="str">
        <x:v>ET306</x:v>
      </x:c>
      <x:c r="H1181" s="11" t="str">
        <x:v>NIKL qua Digital Jiphyeonjeon – 수입선 다변화 제도</x:v>
      </x:c>
      <x:c r="I1181" s="30" t="str">
        <x:v>https://k-knowledge.kr/srch/read.jsp?id=268508030</x:v>
      </x:c>
      <x:c r="J1181" s="11" t="str">
        <x:v>Nguyên dạng 輸入先多邊化制度, xác nhận thành tố 다변화 多邊化.</x:v>
      </x:c>
      <x:c r="K1181" s="11" t="str">
        <x:v>2026-10-29 (KST)</x:v>
      </x:c>
    </x:row>
    <x:row r="1182" ht="75" customHeight="1">
      <x:c r="A1182" s="11" t="str">
        <x:v>Dùng chung (2 mã)</x:v>
      </x:c>
      <x:c r="B1182" s="11" t="str">
        <x:v>Hàn</x:v>
      </x:c>
      <x:c r="C1182" s="11" t="str">
        <x:v>Hàn: 양자; Hàn: 양자협력지도위원회</x:v>
      </x:c>
      <x:c r="D1182" s="11" t="str">
        <x:v>Nguồn từ nguyên/chữ gốc hoặc thành tố được nêu; đọc giới hạn tại ghi chú.</x:v>
      </x:c>
      <x:c r="E1182" s="11" t="str">
        <x:v>Mục từ</x:v>
      </x:c>
      <x:c r="F1182" s="11" t="str">
        <x:v>Hàn</x:v>
      </x:c>
      <x:c r="G1182" s="11" t="str">
        <x:v>ET307</x:v>
      </x:c>
      <x:c r="H1182" s="11" t="str">
        <x:v>KRDict – 양자¹(兩者), trang kết quả</x:v>
      </x:c>
      <x:c r="I1182" s="30" t="str">
        <x:v>https://krdict.korean.go.kr/m/eng/searchResult?ParaWordNo=90642&amp;currentPage=13&amp;exaType=&amp;font_size=12&amp;mainSearchWord=%EC%96%91&amp;nation=eng&amp;nationCode=6&amp;proverbType=&amp;searchType=W&amp;sort=W&amp;viewType=A&amp;wordMatchFlag=N</x:v>
      </x:c>
      <x:c r="J1182" s="11" t="str">
        <x:v>Trang kết quả có mục 양자¹(兩者), chỉ hai bên có quan hệ; không phải 양자 陽子/量子.</x:v>
      </x:c>
      <x:c r="K1182" s="11" t="str">
        <x:v>2026-10-29 (KST)</x:v>
      </x:c>
    </x:row>
    <x:row r="1183" ht="75" customHeight="1">
      <x:c r="A1183" s="11" t="str">
        <x:v>Dùng chung (2 mã)</x:v>
      </x:c>
      <x:c r="B1183" s="11" t="str">
        <x:v>Hàn</x:v>
      </x:c>
      <x:c r="C1183" s="11" t="str">
        <x:v>Hàn: 간</x:v>
      </x:c>
      <x:c r="D1183" s="11" t="str">
        <x:v>Nguồn từ nguyên/chữ gốc hoặc thành tố được nêu; đọc giới hạn tại ghi chú.</x:v>
      </x:c>
      <x:c r="E1183" s="11" t="str">
        <x:v>Mục từ</x:v>
      </x:c>
      <x:c r="F1183" s="11" t="str">
        <x:v>Hàn</x:v>
      </x:c>
      <x:c r="G1183" s="11" t="str">
        <x:v>ET308</x:v>
      </x:c>
      <x:c r="H1183" s="11" t="str">
        <x:v>KRDict – 간⁴(間)</x:v>
      </x:c>
      <x:c r="I1183" s="30" t="str">
        <x:v>https://krdict.korean.go.kr/eng/dicSearch/SearchView?ParaWordNo=29630</x:v>
      </x:c>
      <x:c r="J1183" s="11" t="str">
        <x:v>Đầu mục 間, danh từ phụ thuộc chỉ quan hệ giữa các bên; Sino-Korean word.</x:v>
      </x:c>
      <x:c r="K1183" s="11" t="str">
        <x:v>2026-10-29 (KST)</x:v>
      </x:c>
    </x:row>
    <x:row r="1184" ht="75" customHeight="1">
      <x:c r="A1184" s="11" t="str">
        <x:v>C110</x:v>
      </x:c>
      <x:c r="B1184" s="11" t="str">
        <x:v>Hàn</x:v>
      </x:c>
      <x:c r="C1184" s="11" t="str">
        <x:v>Hàn: 비준</x:v>
      </x:c>
      <x:c r="D1184" s="11" t="str">
        <x:v>Nguồn từ nguyên/chữ gốc hoặc thành tố được nêu; đọc giới hạn tại ghi chú.</x:v>
      </x:c>
      <x:c r="E1184" s="11" t="str">
        <x:v>Mục từ</x:v>
      </x:c>
      <x:c r="F1184" s="11" t="str">
        <x:v>Hàn</x:v>
      </x:c>
      <x:c r="G1184" s="11" t="str">
        <x:v>ET309</x:v>
      </x:c>
      <x:c r="H1184" s="11" t="str">
        <x:v>KRDict – 비준(批准)</x:v>
      </x:c>
      <x:c r="I1184" s="30" t="str">
        <x:v>https://krdict.korean.go.kr/eng/dicSearch/SearchView?ParaWordNo=60759</x:v>
      </x:c>
      <x:c r="J1184" s="11" t="str">
        <x:v>Đầu mục ghi 批准; trường Original Language: Sino-Korean word.</x:v>
      </x:c>
      <x:c r="K1184" s="11" t="str">
        <x:v>2026-10-29 (KST)</x:v>
      </x:c>
    </x:row>
    <x:row r="1185" ht="75" customHeight="1">
      <x:c r="A1185" s="11" t="str">
        <x:v>Dùng chung (6 mã)</x:v>
      </x:c>
      <x:c r="B1185" s="11" t="str">
        <x:v>Hàn</x:v>
      </x:c>
      <x:c r="C1185" s="11" t="str">
        <x:v>Hàn: 협정; Hàn: 자유무역협정; Hàn: 투자보호협정; Hàn: 환태평양경제동반자협정</x:v>
      </x:c>
      <x:c r="D1185" s="11" t="str">
        <x:v>Nguồn từ nguyên/chữ gốc hoặc thành tố được nêu; đọc giới hạn tại ghi chú.</x:v>
      </x:c>
      <x:c r="E1185" s="11" t="str">
        <x:v>Mục từ</x:v>
      </x:c>
      <x:c r="F1185" s="11" t="str">
        <x:v>Hàn</x:v>
      </x:c>
      <x:c r="G1185" s="11" t="str">
        <x:v>ET310</x:v>
      </x:c>
      <x:c r="H1185" s="11" t="str">
        <x:v>KRDict – 협정(協定)</x:v>
      </x:c>
      <x:c r="I1185" s="30" t="str">
        <x:v>https://krdict.korean.go.kr/eng/dicSearch/SearchView?ParaWordNo=86041&amp;captchaNumber=&amp;comment_user_name=&amp;nation=eng&amp;nationCode=6&amp;viewTypes=on&amp;wordComment=</x:v>
      </x:c>
      <x:c r="J1185" s="11" t="str">
        <x:v>Đầu mục ghi 協定; Original Language: Sino-Korean word.</x:v>
      </x:c>
      <x:c r="K1185" s="11" t="str">
        <x:v>2026-10-29 (KST)</x:v>
      </x:c>
    </x:row>
    <x:row r="1186" ht="75" customHeight="1">
      <x:c r="A1186" s="11" t="str">
        <x:v>Phương pháp</x:v>
      </x:c>
      <x:c r="B1186" s="11" t="str">
        <x:v>Phương pháp</x:v>
      </x:c>
      <x:c r="C1186" s="11" t="str">
        <x:v>Phương pháp phân tích nguồn gốc</x:v>
      </x:c>
      <x:c r="D1186" s="11" t="str">
        <x:v>Âm/chữ hoặc thành tố Hán Việt; không tự xác nhận nghĩa chuyên ngành.</x:v>
      </x:c>
      <x:c r="E1186" s="11" t="str">
        <x:v>Phương pháp</x:v>
      </x:c>
      <x:c r="F1186" s="11" t="str">
        <x:v>Phương pháp</x:v>
      </x:c>
      <x:c r="G1186" s="11" t="str">
        <x:v>ET311</x:v>
      </x:c>
      <x:c r="H1186" s="11" t="str">
        <x:v>Từ điển Hán Nôm Thi Viện — nguồn tra âm Hán Việt và chữ Hán</x:v>
      </x:c>
      <x:c r="I1186" s="30" t="str">
        <x:v>https://hvdic.thivien.net/</x:v>
      </x:c>
      <x:c r="J1186" s="11" t="str">
        <x:v>Trang giới thiệu nêu các nguồn biên soạn như Thiều Chửu, Trần Văn Chánh, Nguyễn Quốc Hùng và các nguồn chữ Nôm. Từng mục phải đọc thông tin nguồn riêng. Dùng tra thành tố Hán Việt; không tự xác nhận thuật ngữ chính trị–ngoại giao hay từ nguyên tiếng Hàn.</x:v>
      </x:c>
      <x:c r="K1186" s="11" t="str">
        <x:v>2026-10-29 (KST)</x:v>
      </x:c>
    </x:row>
    <x:row r="1187" ht="75" customHeight="1">
      <x:c r="A1187" s="11" t="str">
        <x:v>Phương pháp</x:v>
      </x:c>
      <x:c r="B1187" s="11" t="str">
        <x:v>Phương pháp</x:v>
      </x:c>
      <x:c r="C1187" s="11" t="str">
        <x:v>Phương pháp phân tích nguồn gốc</x:v>
      </x:c>
      <x:c r="D1187" s="11" t="str">
        <x:v>Căn cứ phương pháp; không xác nhận riêng từng dòng.</x:v>
      </x:c>
      <x:c r="E1187" s="11" t="str">
        <x:v>Phương pháp</x:v>
      </x:c>
      <x:c r="F1187" s="11" t="str">
        <x:v>Phương pháp</x:v>
      </x:c>
      <x:c r="G1187" s="11" t="str">
        <x:v>ET312</x:v>
      </x:c>
      <x:c r="H1187" s="11" t="str">
        <x:v>Hà Quang Năng — Đặc điểm của thuật ngữ tiếng Việt, phần 1; Tạp chí Từ điển học &amp; Bách khoa thư, bản đăng tại HNUE</x:v>
      </x:c>
      <x:c r="I1187" s="30" t="str">
        <x:v>https://nguvan.hnue.edu.vn/Nghi%C3%AAn-c%E1%BB%A9u/p/796</x:v>
      </x:c>
      <x:c r="J1187" s="11" t="str">
        <x:v>Trình bày nguồn gốc thành tố thuật ngữ tiếng Việt và các kiểu kết hợp. Chỉ dùng làm căn cứ phương pháp, không chứng minh từng dòng.</x:v>
      </x:c>
      <x:c r="K1187" s="11" t="str">
        <x:v>2026-10-29 (KST)</x:v>
      </x:c>
    </x:row>
    <x:row r="1188" ht="75" customHeight="1">
      <x:c r="A1188" s="11" t="str">
        <x:v>Phương pháp</x:v>
      </x:c>
      <x:c r="B1188" s="11" t="str">
        <x:v>Phương pháp</x:v>
      </x:c>
      <x:c r="C1188" s="11" t="str">
        <x:v>Phương pháp phân tích nguồn gốc</x:v>
      </x:c>
      <x:c r="D1188" s="11" t="str">
        <x:v>Căn cứ phương pháp; không xác nhận riêng từng dòng.</x:v>
      </x:c>
      <x:c r="E1188" s="11" t="str">
        <x:v>Phương pháp</x:v>
      </x:c>
      <x:c r="F1188" s="11" t="str">
        <x:v>Phương pháp</x:v>
      </x:c>
      <x:c r="G1188" s="11" t="str">
        <x:v>ET313</x:v>
      </x:c>
      <x:c r="H1188" s="11" t="str">
        <x:v>국립국어원 — 번역 차용한 단어도 외래어로 볼 수 있나요? 09/03/2026</x:v>
      </x:c>
      <x:c r="I1188" s="30" t="str">
        <x:v>https://korean.go.kr/front/onlineQna/onlineQnaView.do?mn_id=216&amp;pageIndex=10&amp;qna_seq=327982</x:v>
      </x:c>
      <x:c r="J1188" s="11" t="str">
        <x:v>Hướng dẫn phân biệt 고유어, 한자어 và 외래어 bằng trường 원어. Dịch khái niệm phương Tây bằng hình vị Hán không biến thành từ vay âm phương Tây.</x:v>
      </x:c>
      <x:c r="K1188" s="11" t="str">
        <x:v>2026-10-29 (KST)</x:v>
      </x:c>
    </x:row>
    <x:row r="1189" ht="75" customHeight="1">
      <x:c r="A1189" s="11" t="str">
        <x:v>Phương pháp</x:v>
      </x:c>
      <x:c r="B1189" s="11" t="str">
        <x:v>Phương pháp</x:v>
      </x:c>
      <x:c r="C1189" s="11" t="str">
        <x:v>Phương pháp phân tích nguồn gốc</x:v>
      </x:c>
      <x:c r="D1189" s="11" t="str">
        <x:v>Căn cứ phương pháp; không xác nhận riêng từng dòng.</x:v>
      </x:c>
      <x:c r="E1189" s="11" t="str">
        <x:v>Phương pháp</x:v>
      </x:c>
      <x:c r="F1189" s="11" t="str">
        <x:v>Phương pháp</x:v>
      </x:c>
      <x:c r="G1189" s="11" t="str">
        <x:v>ET314</x:v>
      </x:c>
      <x:c r="H1189" s="11" t="str">
        <x:v>Mark Alves — Vietnamese vocabulary, World Loanword Database, 2009; bộ dữ liệu CLDF v4.2</x:v>
      </x:c>
      <x:c r="I1189" s="30" t="str">
        <x:v>https://wold.clld.org/vocabulary/24</x:v>
      </x:c>
      <x:c r="J1189" s="11" t="str">
        <x:v>Phân biệt nguồn gốc bản địa, Hán Việt, lớp vay mượn Hán khác và mức chắc chắn. Mỗi mục phải đọc cùng nghĩa và ghi chú thành tố; nhãn của cả cụm không tự áp cho từng thành tố.</x:v>
      </x:c>
      <x:c r="K1189" s="11" t="str">
        <x:v>2026-10-29 (KST)</x:v>
      </x:c>
    </x:row>
    <x:row r="1190" ht="75" customHeight="1">
      <x:c r="A1190" s="11" t="str">
        <x:v>Phương pháp</x:v>
      </x:c>
      <x:c r="B1190" s="11" t="str">
        <x:v>Phương pháp</x:v>
      </x:c>
      <x:c r="C1190" s="11" t="str">
        <x:v>Phương pháp phân tích nguồn gốc</x:v>
      </x:c>
      <x:c r="D1190" s="11" t="str">
        <x:v>Căn cứ phương pháp; không xác nhận riêng từng dòng.</x:v>
      </x:c>
      <x:c r="E1190" s="11" t="str">
        <x:v>Phương pháp</x:v>
      </x:c>
      <x:c r="F1190" s="11" t="str">
        <x:v>Phương pháp</x:v>
      </x:c>
      <x:c r="G1190" s="11" t="str">
        <x:v>ET315</x:v>
      </x:c>
      <x:c r="H1190" s="11" t="str">
        <x:v>Lexibank — WOLD v4.2; nguồn: Haspelmath &amp; Tadmor, biên tập, 2009; phần tiếng Việt: Mark Alves</x:v>
      </x:c>
      <x:c r="I1190" s="30" t="str">
        <x:v>https://github.com/lexibank/wold/tree/v4.2/cldf</x:v>
      </x:c>
      <x:c r="J1190" s="11" t="str">
        <x:v>Đã đọc bảng forms.csv và parameters.csv công khai, lọc Language_ID=Vietnamese và nối theo Parameter_ID để kiểm đúng nghĩa. Giữ phân biệt clearly/probably/perhaps/no evidence for borrowing.</x:v>
      </x:c>
      <x:c r="K1190" s="11" t="str">
        <x:v>2026-10-29 (KST)</x:v>
      </x:c>
    </x:row>
  </x:sheetData>
  <x:pageMargins left="0.7" right="0.7" top="0.75" bottom="0.75" header="0.3" footer="0.3"/>
  <x:tableParts count="1">
    <x:tablePart xmlns:r="http://schemas.openxmlformats.org/officeDocument/2006/relationships" r:id="R305c7051bb684f69"/>
  </x:tableParts>
</x:worksheet>
</file>

<file path=xl/worksheets/sheet5.xml><?xml version="1.0" encoding="utf-8"?>
<x:worksheet xmlns:x="http://schemas.openxmlformats.org/spreadsheetml/2006/main">
  <x:sheetPr>
    <x:tabColor rgb="FF28776D"/>
  </x:sheetPr>
  <x:sheetViews>
    <x:sheetView showGridLines="0" workbookViewId="0">
      <x:pane xSplit="3" ySplit="5" topLeftCell="D6" activePane="bottomRight" state="frozen"/>
    </x:sheetView>
  </x:sheetViews>
  <x:sheetFormatPr defaultRowHeight="15"/>
  <x:cols>
    <x:col min="1" max="1" width="7" hidden="0" customWidth="1"/>
    <x:col min="2" max="2" width="18" hidden="0" customWidth="1"/>
    <x:col min="3" max="3" width="32" hidden="0" customWidth="1"/>
    <x:col min="4" max="4" width="35" hidden="0" customWidth="1"/>
    <x:col min="5" max="5" width="31" hidden="0" customWidth="1"/>
    <x:col min="6" max="6" width="35" hidden="0" customWidth="1"/>
    <x:col min="7" max="7" width="28" hidden="0" customWidth="1"/>
    <x:col min="8" max="8" width="37" hidden="0" customWidth="1"/>
    <x:col min="9" max="9" width="70" hidden="0" customWidth="1"/>
    <x:col min="10" max="10" width="31" hidden="0" customWidth="1"/>
    <x:col min="11" max="11" width="30" hidden="0" customWidth="1"/>
    <x:col min="12" max="12" width="31" hidden="0" customWidth="1"/>
    <x:col min="13" max="13" width="30" hidden="0" customWidth="1"/>
    <x:col min="14" max="14" width="36" hidden="0" customWidth="1"/>
    <x:col min="15" max="15" width="36" hidden="0" customWidth="1"/>
    <x:col min="16" max="16" width="58" hidden="0" customWidth="1"/>
    <x:col min="17" max="17" width="58" hidden="0" customWidth="1"/>
    <x:col min="18" max="18" width="23" hidden="0" customWidth="1"/>
    <x:col min="19" max="19" width="36" hidden="0" customWidth="1"/>
    <x:col min="20" max="20" width="20" hidden="0" customWidth="1"/>
  </x:cols>
  <x:sheetData>
    <x:row r="1">
      <x:c r="A1" s="2"/>
      <x:c r="B1" s="2"/>
      <x:c r="C1" s="2"/>
      <x:c r="D1" s="2"/>
      <x:c r="E1" s="2"/>
      <x:c r="F1" s="2"/>
      <x:c r="G1" s="2"/>
      <x:c r="H1" s="2"/>
      <x:c r="I1" s="2"/>
      <x:c r="J1" s="2"/>
      <x:c r="K1" s="2"/>
      <x:c r="L1" s="2"/>
      <x:c r="M1" s="2"/>
      <x:c r="N1" s="2"/>
      <x:c r="O1" s="2"/>
      <x:c r="P1" s="2"/>
      <x:c r="Q1" s="2"/>
      <x:c r="R1" s="2"/>
      <x:c r="S1" s="2"/>
      <x:c r="T1" s="2"/>
    </x:row>
    <x:row r="2" ht="27.75" customHeight="1">
      <x:c r="A2" s="12" t="str">
        <x:v>Đối chiếu Việt–Anh và Hàn–Anh: bằng chứng và kết luận</x:v>
      </x:c>
      <x:c r="B2" s="2"/>
      <x:c r="C2" s="2"/>
      <x:c r="D2" s="2"/>
      <x:c r="E2" s="2"/>
      <x:c r="F2" s="2"/>
      <x:c r="G2" s="2"/>
      <x:c r="H2" s="2"/>
      <x:c r="I2" s="2"/>
      <x:c r="J2" s="2"/>
      <x:c r="K2" s="2"/>
      <x:c r="L2" s="2"/>
      <x:c r="M2" s="2"/>
      <x:c r="N2" s="2"/>
      <x:c r="O2" s="2"/>
      <x:c r="P2" s="2"/>
      <x:c r="Q2" s="2"/>
      <x:c r="R2" s="2"/>
      <x:c r="S2" s="2"/>
      <x:c r="T2" s="2"/>
    </x:row>
    <x:row r="3" ht="18.75" customHeight="1">
      <x:c r="A3" s="13" t="str">
        <x:v>266 dòng được rà theo từng nhánh | Ngày đối chiếu: 29/10/2026 (giờ Hàn Quốc). Số dòng bao gồm mã trùng khái niệm.</x:v>
      </x:c>
      <x:c r="B3" s="13"/>
      <x:c r="C3" s="13"/>
      <x:c r="D3" s="13"/>
      <x:c r="E3" s="13"/>
      <x:c r="F3" s="13"/>
      <x:c r="G3" s="13"/>
      <x:c r="H3" s="13"/>
      <x:c r="I3" s="13"/>
      <x:c r="J3" s="13"/>
      <x:c r="K3" s="13"/>
      <x:c r="L3" s="13"/>
      <x:c r="M3" s="13"/>
      <x:c r="N3" s="13"/>
      <x:c r="O3" s="13"/>
      <x:c r="P3" s="13"/>
      <x:c r="Q3" s="13"/>
      <x:c r="R3" s="13"/>
      <x:c r="S3" s="13"/>
      <x:c r="T3" s="13"/>
    </x:row>
    <x:row r="4" ht="18.75" customHeight="1">
      <x:c r="A4" s="13" t="str">
        <x:v>Dấu *: tiếng Anh chưa có nguồn ánh xạ. Lọc H = “Xác nhận — cùng biểu thức Anh”; tra mã EB ở K/M tại trang Nguồn kiểm tra.</x:v>
      </x:c>
      <x:c r="B4" s="13"/>
      <x:c r="C4" s="13"/>
      <x:c r="D4" s="13"/>
      <x:c r="E4" s="13"/>
      <x:c r="F4" s="13"/>
      <x:c r="G4" s="13"/>
      <x:c r="H4" s="13"/>
      <x:c r="I4" s="13"/>
      <x:c r="J4" s="13"/>
      <x:c r="K4" s="13"/>
      <x:c r="L4" s="13"/>
      <x:c r="M4" s="13"/>
      <x:c r="N4" s="13"/>
      <x:c r="O4" s="13"/>
      <x:c r="P4" s="13"/>
      <x:c r="Q4" s="13"/>
      <x:c r="R4" s="13"/>
      <x:c r="S4" s="13"/>
      <x:c r="T4" s="13"/>
    </x:row>
    <x:row r="5" ht="36.75" customHeight="1">
      <x:c r="A5" s="36" t="str">
        <x:v>STT</x:v>
      </x:c>
      <x:c r="B5" s="36" t="str">
        <x:v>Mã</x:v>
      </x:c>
      <x:c r="C5" s="36" t="str">
        <x:v>Thuật ngữ Việt</x:v>
      </x:c>
      <x:c r="D5" s="36" t="str">
        <x:v>Anh từ nhánh Việt</x:v>
      </x:c>
      <x:c r="E5" s="36" t="str">
        <x:v>Thuật ngữ Hàn</x:v>
      </x:c>
      <x:c r="F5" s="36" t="str">
        <x:v>Anh từ nhánh Hàn</x:v>
      </x:c>
      <x:c r="G5" s="36" t="str">
        <x:v>So khớp tiếng Anh</x:v>
      </x:c>
      <x:c r="H5" s="36" t="str">
        <x:v>Kết luận tương ứng</x:v>
      </x:c>
      <x:c r="I5" s="36" t="str">
        <x:v>Điều kiện / nhận xét</x:v>
      </x:c>
      <x:c r="J5" s="36" t="str">
        <x:v>Chứng cứ Việt–Anh</x:v>
      </x:c>
      <x:c r="K5" s="36" t="str">
        <x:v>Nguồn Việt–Anh</x:v>
      </x:c>
      <x:c r="L5" s="36" t="str">
        <x:v>Chứng cứ Hàn–Anh</x:v>
      </x:c>
      <x:c r="M5" s="36" t="str">
        <x:v>Nguồn Hàn–Anh</x:v>
      </x:c>
      <x:c r="N5" s="36" t="str">
        <x:v>Dạng Việt trong nguồn</x:v>
      </x:c>
      <x:c r="O5" s="36" t="str">
        <x:v>Dạng Hàn trong nguồn</x:v>
      </x:c>
      <x:c r="P5" s="36" t="str">
        <x:v>Nghĩa ở nhánh Việt–Anh</x:v>
      </x:c>
      <x:c r="Q5" s="36" t="str">
        <x:v>Nghĩa ở nhánh Hàn–Anh</x:v>
      </x:c>
      <x:c r="R5" s="36" t="str">
        <x:v>Nhóm chính</x:v>
      </x:c>
      <x:c r="S5" s="36" t="str">
        <x:v>Tư cách đơn vị</x:v>
      </x:c>
      <x:c r="T5" s="36" t="str">
        <x:v>Mã liên kết khái niệm</x:v>
      </x:c>
    </x:row>
    <x:row r="6" ht="67.5" customHeight="1">
      <x:c r="A6" s="11" t="n">
        <x:v>1</x:v>
      </x:c>
      <x:c r="B6" s="11" t="str">
        <x:v>T085</x:v>
      </x:c>
      <x:c r="C6" s="11" t="str">
        <x:v>Bí thư Trung ương Đảng</x:v>
      </x:c>
      <x:c r="D6" s="11" t="str">
        <x:v>Secretary of the Party Central Committee</x:v>
      </x:c>
      <x:c r="E6" s="11" t="str">
        <x:v>당 중앙위원회 서기</x:v>
      </x:c>
      <x:c r="F6" s="11" t="str">
        <x:v>Secretary of the Party Central Committee</x:v>
      </x:c>
      <x:c r="G6" s="38" t="str">
        <x:v>Trùng biểu thức Anh</x:v>
      </x:c>
      <x:c r="H6" s="39" t="str">
        <x:v>Xác nhận — cùng biểu thức Anh</x:v>
      </x:c>
      <x:c r="I6" s="11" t="str">
        <x:v>Xác nhận nghĩa theo thể chế Việt Nam và ngữ cảnh 18/02/2026. </x:v>
      </x:c>
      <x:c r="J6" s="11" t="str">
        <x:v>Đối chiếu văn bản song song</x:v>
      </x:c>
      <x:c r="K6" s="37" t="str">
        <x:v>EB001
Nguồn kiểm tra, dòng 645</x:v>
      </x:c>
      <x:c r="L6" s="11" t="str">
        <x:v>Đối chiếu văn bản song song</x:v>
      </x:c>
      <x:c r="M6" s="37" t="str">
        <x:v>EB002
Nguồn kiểm tra, dòng 646</x:v>
      </x:c>
      <x:c r="N6" s="11" t="str">
        <x:v>Bí thư Trung ương Đảng</x:v>
      </x:c>
      <x:c r="O6" s="11" t="str">
        <x:v>당 중앙위원회 서기</x:v>
      </x:c>
      <x:c r="P6" s="11" t="str">
        <x:v>Chức danh Bí thư ở Trung ương Đảng, tham gia Ban Bí thư theo cơ cấu tổ chức được dẫn.</x:v>
      </x:c>
      <x:c r="Q6" s="11" t="str">
        <x:v>Chức danh Bí thư ở Trung ương Đảng, tham gia Ban Bí thư theo cơ cấu tổ chức được dẫn.</x:v>
      </x:c>
      <x:c r="R6" s="11" t="str">
        <x:v>N1</x:v>
      </x:c>
      <x:c r="S6" s="11" t="str">
        <x:v>Giữ làm đơn vị nghiên cứu</x:v>
      </x:c>
      <x:c r="T6" s="11" t="str">
        <x:v>T085</x:v>
      </x:c>
    </x:row>
    <x:row r="7" ht="67.5" customHeight="1">
      <x:c r="A7" s="11" t="n">
        <x:v>2</x:v>
      </x:c>
      <x:c r="B7" s="11" t="str">
        <x:v>T078</x:v>
      </x:c>
      <x:c r="C7" s="11" t="str">
        <x:v>Bộ trưởng</x:v>
      </x:c>
      <x:c r="D7" s="11" t="str">
        <x:v>minister</x:v>
      </x:c>
      <x:c r="E7" s="11" t="str">
        <x:v>장관</x:v>
      </x:c>
      <x:c r="F7" s="11" t="str">
        <x:v>minister</x:v>
      </x:c>
      <x:c r="G7" s="38" t="str">
        <x:v>Trùng biểu thức Anh</x:v>
      </x:c>
      <x:c r="H7" s="39" t="str">
        <x:v>Xác nhận — cùng biểu thức Anh</x:v>
      </x:c>
      <x:c r="I7" s="11" t="str">
        <x:v>Hai nguồn ánh xạ trực tiếp qua cùng từ Anh; xác nhận nghĩa chức danh/tư cách đã chọn, không xác nhận mọi cách dùng ngoài chuyên ngành.</x:v>
      </x:c>
      <x:c r="J7" s="11" t="str">
        <x:v>Đối dịch trong từ điển</x:v>
      </x:c>
      <x:c r="K7" s="37" t="str">
        <x:v>EB003
Nguồn kiểm tra, dòng 647</x:v>
      </x:c>
      <x:c r="L7" s="11" t="str">
        <x:v>Đối dịch tường minh trong nguồn</x:v>
      </x:c>
      <x:c r="M7" s="37" t="str">
        <x:v>EB004
Nguồn kiểm tra, dòng 648</x:v>
      </x:c>
      <x:c r="N7" s="11" t="str">
        <x:v>Bộ trưởng</x:v>
      </x:c>
      <x:c r="O7" s="11" t="str">
        <x:v>장관</x:v>
      </x:c>
      <x:c r="P7" s="11" t="str">
        <x:v>Người đứng đầu một bộ, phụ trách quản lý lĩnh vực được giao.</x:v>
      </x:c>
      <x:c r="Q7" s="11" t="str">
        <x:v>Người đứng đầu một bộ, phụ trách quản lý lĩnh vực được giao.</x:v>
      </x:c>
      <x:c r="R7" s="11" t="str">
        <x:v>N1</x:v>
      </x:c>
      <x:c r="S7" s="11" t="str">
        <x:v>Giữ làm đơn vị nghiên cứu</x:v>
      </x:c>
      <x:c r="T7" s="11" t="str">
        <x:v>T078</x:v>
      </x:c>
    </x:row>
    <x:row r="8" ht="67.5" customHeight="1">
      <x:c r="A8" s="11" t="n">
        <x:v>3</x:v>
      </x:c>
      <x:c r="B8" s="11" t="str">
        <x:v>T103</x:v>
      </x:c>
      <x:c r="C8" s="11" t="str">
        <x:v>Bộ trưởng Bộ Công an</x:v>
      </x:c>
      <x:c r="D8" s="11" t="str">
        <x:v>Minister of Public Security</x:v>
      </x:c>
      <x:c r="E8" s="11" t="str">
        <x:v>공안부 장관</x:v>
      </x:c>
      <x:c r="F8" s="11" t="str">
        <x:v>Minister of Public Security</x:v>
      </x:c>
      <x:c r="G8" s="38" t="str">
        <x:v>Trùng biểu thức Anh</x:v>
      </x:c>
      <x:c r="H8" s="39" t="str">
        <x:v>Xác nhận — cùng biểu thức Anh</x:v>
      </x:c>
      <x:c r="I8" s="11" t="str">
        <x:v>Xác nhận nghĩa theo thể chế Việt Nam và ngữ cảnh 18/02/2026. </x:v>
      </x:c>
      <x:c r="J8" s="11" t="str">
        <x:v>Đối chiếu văn bản song song</x:v>
      </x:c>
      <x:c r="K8" s="37" t="str">
        <x:v>EB005
Nguồn kiểm tra, dòng 649</x:v>
      </x:c>
      <x:c r="L8" s="11" t="str">
        <x:v>Đối chiếu văn bản song song</x:v>
      </x:c>
      <x:c r="M8" s="37" t="str">
        <x:v>EB006
Nguồn kiểm tra, dòng 650</x:v>
      </x:c>
      <x:c r="N8" s="11" t="str">
        <x:v>Bộ trưởng Bộ Công an</x:v>
      </x:c>
      <x:c r="O8" s="11" t="str">
        <x:v>공안부 장관</x:v>
      </x:c>
      <x:c r="P8" s="11" t="str">
        <x:v>Chức danh người đứng đầu Bộ Công an.</x:v>
      </x:c>
      <x:c r="Q8" s="11" t="str">
        <x:v>Chức danh người đứng đầu Bộ Công an.</x:v>
      </x:c>
      <x:c r="R8" s="11" t="str">
        <x:v>N1</x:v>
      </x:c>
      <x:c r="S8" s="11" t="str">
        <x:v>Giữ làm đơn vị nghiên cứu</x:v>
      </x:c>
      <x:c r="T8" s="11" t="str">
        <x:v>T103</x:v>
      </x:c>
    </x:row>
    <x:row r="9" ht="67.5" customHeight="1">
      <x:c r="A9" s="11" t="n">
        <x:v>4</x:v>
      </x:c>
      <x:c r="B9" s="11" t="str">
        <x:v>T100</x:v>
      </x:c>
      <x:c r="C9" s="11" t="str">
        <x:v>Bộ trưởng Bộ Ngoại giao</x:v>
      </x:c>
      <x:c r="D9" s="11" t="str">
        <x:v>Minister of Foreign Affairs</x:v>
      </x:c>
      <x:c r="E9" s="11" t="str">
        <x:v>외교부 장관</x:v>
      </x:c>
      <x:c r="F9" s="11" t="str">
        <x:v>Minister of Foreign Affairs</x:v>
      </x:c>
      <x:c r="G9" s="38" t="str">
        <x:v>Trùng biểu thức Anh</x:v>
      </x:c>
      <x:c r="H9" s="39" t="str">
        <x:v>Xác nhận — cùng biểu thức Anh</x:v>
      </x:c>
      <x:c r="I9" s="11" t="str">
        <x:v>Xác nhận trong cuộc gặp 03/04/2026 và đúng thể chế được nêu. Không bỏ thành tố First/Permanent khi gộp với Thứ trưởng chung.</x:v>
      </x:c>
      <x:c r="J9" s="11" t="str">
        <x:v>Đối chiếu văn bản song song</x:v>
      </x:c>
      <x:c r="K9" s="37" t="str">
        <x:v>EB007
Nguồn kiểm tra, dòng 651</x:v>
      </x:c>
      <x:c r="L9" s="11" t="str">
        <x:v>Đối chiếu văn bản song song</x:v>
      </x:c>
      <x:c r="M9" s="37" t="str">
        <x:v>EB008
Nguồn kiểm tra, dòng 652</x:v>
      </x:c>
      <x:c r="N9" s="11" t="str">
        <x:v>Bộ trưởng Bộ Ngoại giao</x:v>
      </x:c>
      <x:c r="O9" s="11" t="str">
        <x:v>외교부 장관</x:v>
      </x:c>
      <x:c r="P9" s="11" t="str">
        <x:v>Chức danh người đứng đầu Bộ Ngoại giao.</x:v>
      </x:c>
      <x:c r="Q9" s="11" t="str">
        <x:v>Chức danh người đứng đầu Bộ Ngoại giao.</x:v>
      </x:c>
      <x:c r="R9" s="11" t="str">
        <x:v>N1</x:v>
      </x:c>
      <x:c r="S9" s="11" t="str">
        <x:v>Giữ làm đơn vị nghiên cứu</x:v>
      </x:c>
      <x:c r="T9" s="11" t="str">
        <x:v>T100</x:v>
      </x:c>
    </x:row>
    <x:row r="10" ht="67.5" customHeight="1">
      <x:c r="A10" s="11" t="n">
        <x:v>5</x:v>
      </x:c>
      <x:c r="B10" s="11" t="str">
        <x:v>T101</x:v>
      </x:c>
      <x:c r="C10" s="11" t="str">
        <x:v>Bộ trưởng Bộ Quốc phòng</x:v>
      </x:c>
      <x:c r="D10" s="11" t="str">
        <x:v>Minister of National Defence</x:v>
      </x:c>
      <x:c r="E10" s="11" t="str">
        <x:v>국방부 장관</x:v>
      </x:c>
      <x:c r="F10" s="11" t="str">
        <x:v>Minister of National Defence</x:v>
      </x:c>
      <x:c r="G10" s="38" t="str">
        <x:v>Trùng biểu thức Anh</x:v>
      </x:c>
      <x:c r="H10" s="39" t="str">
        <x:v>Xác nhận — cùng biểu thức Anh</x:v>
      </x:c>
      <x:c r="I10" s="11" t="str">
        <x:v>Xác nhận nghĩa theo thể chế Việt Nam và ngữ cảnh 18/02/2026. </x:v>
      </x:c>
      <x:c r="J10" s="11" t="str">
        <x:v>Đối chiếu văn bản song song</x:v>
      </x:c>
      <x:c r="K10" s="37" t="str">
        <x:v>EB009
Nguồn kiểm tra, dòng 653</x:v>
      </x:c>
      <x:c r="L10" s="11" t="str">
        <x:v>Đối chiếu văn bản song song</x:v>
      </x:c>
      <x:c r="M10" s="37" t="str">
        <x:v>EB010
Nguồn kiểm tra, dòng 654</x:v>
      </x:c>
      <x:c r="N10" s="11" t="str">
        <x:v>Bộ trưởng Bộ Quốc phòng</x:v>
      </x:c>
      <x:c r="O10" s="11" t="str">
        <x:v>국방부 장관</x:v>
      </x:c>
      <x:c r="P10" s="11" t="str">
        <x:v>Chức danh người đứng đầu Bộ Quốc phòng.</x:v>
      </x:c>
      <x:c r="Q10" s="11" t="str">
        <x:v>Chức danh người đứng đầu Bộ Quốc phòng.</x:v>
      </x:c>
      <x:c r="R10" s="11" t="str">
        <x:v>N1</x:v>
      </x:c>
      <x:c r="S10" s="11" t="str">
        <x:v>Giữ làm đơn vị nghiên cứu</x:v>
      </x:c>
      <x:c r="T10" s="11" t="str">
        <x:v>T101</x:v>
      </x:c>
    </x:row>
    <x:row r="11" ht="67.5" customHeight="1">
      <x:c r="A11" s="11" t="n">
        <x:v>6</x:v>
      </x:c>
      <x:c r="B11" s="11" t="str">
        <x:v>T076</x:v>
      </x:c>
      <x:c r="C11" s="11" t="str">
        <x:v>Chủ tịch nước</x:v>
      </x:c>
      <x:c r="D11" s="11" t="str">
        <x:v>President of the Socialist Republic of Viet Nam</x:v>
      </x:c>
      <x:c r="E11" s="11" t="str">
        <x:v>국가주석</x:v>
      </x:c>
      <x:c r="F11" s="40" t="str">
        <x:v>President (of Viet Nam) *</x:v>
      </x:c>
      <x:c r="G11" s="40" t="str">
        <x:v>Chưa đủ hai nguồn để so khớp</x:v>
      </x:c>
      <x:c r="H11" s="41" t="str">
        <x:v>Ứng viên — còn thiếu chứng cứ</x:v>
      </x:c>
      <x:c r="I11" s="11" t="str">
        <x:v>Đường Việt–Anh có bảng lịch sử; 국가주석 cần nguồn Hàn–Anh riêng đúng nguyên thủ Việt Nam. president đa nghĩa không đủ nối với 국가주석.</x:v>
      </x:c>
      <x:c r="J11" s="11" t="str">
        <x:v>Đối dịch tường minh trong nguồn</x:v>
      </x:c>
      <x:c r="K11" s="37" t="str">
        <x:v>EB011
Nguồn kiểm tra, dòng 655</x:v>
      </x:c>
      <x:c r="L11" s="11" t="str">
        <x:v>* Nhãn tham chiếu từ bảng trước</x:v>
      </x:c>
      <x:c r="M11" s="11" t="str">
        <x:v>Chưa có nguồn ánh xạ</x:v>
      </x:c>
      <x:c r="N11" s="11" t="str">
        <x:v>Chủ tịch nước</x:v>
      </x:c>
      <x:c r="O11" s="11" t="str">
        <x:v>국가주석</x:v>
      </x:c>
      <x:c r="P11" s="11" t="str">
        <x:v>Nguyên thủ Việt Nam, đại diện Nhà nước về đối nội và đối ngoại.</x:v>
      </x:c>
      <x:c r="Q11" s="11" t="str">
        <x:v>Nguyên thủ Việt Nam, đại diện Nhà nước về đối nội và đối ngoại.</x:v>
      </x:c>
      <x:c r="R11" s="11" t="str">
        <x:v>N1</x:v>
      </x:c>
      <x:c r="S11" s="11" t="str">
        <x:v>Giữ làm đơn vị nghiên cứu</x:v>
      </x:c>
      <x:c r="T11" s="11" t="str">
        <x:v>T076</x:v>
      </x:c>
    </x:row>
    <x:row r="12" ht="67.5" customHeight="1">
      <x:c r="A12" s="11" t="n">
        <x:v>7</x:v>
      </x:c>
      <x:c r="B12" s="11" t="str">
        <x:v>T077</x:v>
      </x:c>
      <x:c r="C12" s="11" t="str">
        <x:v>Chủ tịch Quốc hội</x:v>
      </x:c>
      <x:c r="D12" s="40" t="str">
        <x:v>Chairperson of the National Assembly *</x:v>
      </x:c>
      <x:c r="E12" s="11" t="str">
        <x:v>국회의장</x:v>
      </x:c>
      <x:c r="F12" s="40" t="str">
        <x:v>Chairperson of the National Assembly *</x:v>
      </x:c>
      <x:c r="G12" s="40" t="str">
        <x:v>Chưa đủ hai nguồn để so khớp</x:v>
      </x:c>
      <x:c r="H12" s="41" t="str">
        <x:v>Chưa đủ căn cứ đối chiếu</x:v>
      </x:c>
      <x:c r="I12" s="11" t="str">
        <x:v>Chairperson/Chairman/President/Speaker of the National Assembly tùy thông lệ cơ quan và thời điểm. Chưa xác minh hai đường cho nhãn chính xác quốc회의장 trong corpus.</x:v>
      </x:c>
      <x:c r="J12" s="11" t="str">
        <x:v>* Nhãn tham chiếu từ bảng trước</x:v>
      </x:c>
      <x:c r="K12" s="11" t="str">
        <x:v>Chưa có nguồn ánh xạ</x:v>
      </x:c>
      <x:c r="L12" s="11" t="str">
        <x:v>* Nhãn tham chiếu từ bảng trước</x:v>
      </x:c>
      <x:c r="M12" s="11" t="str">
        <x:v>Chưa có nguồn ánh xạ</x:v>
      </x:c>
      <x:c r="N12" s="11" t="str">
        <x:v>Chủ tịch Quốc hội</x:v>
      </x:c>
      <x:c r="O12" s="11" t="str">
        <x:v>국회의장</x:v>
      </x:c>
      <x:c r="P12" s="11" t="str">
        <x:v>Chức danh lãnh đạo Quốc hội, chủ trì phiên họp và các nhiệm vụ theo thẩm quyền.</x:v>
      </x:c>
      <x:c r="Q12" s="11" t="str">
        <x:v>Chức danh lãnh đạo Quốc hội, chủ trì phiên họp và các nhiệm vụ theo thẩm quyền.</x:v>
      </x:c>
      <x:c r="R12" s="11" t="str">
        <x:v>N1</x:v>
      </x:c>
      <x:c r="S12" s="11" t="str">
        <x:v>Giữ làm đơn vị nghiên cứu</x:v>
      </x:c>
      <x:c r="T12" s="11" t="str">
        <x:v>T077</x:v>
      </x:c>
    </x:row>
    <x:row r="13" ht="67.5" customHeight="1">
      <x:c r="A13" s="11" t="n">
        <x:v>8</x:v>
      </x:c>
      <x:c r="B13" s="11" t="str">
        <x:v>T089</x:v>
      </x:c>
      <x:c r="C13" s="11" t="str">
        <x:v>Chủ tịch Ủy ban nhân dân</x:v>
      </x:c>
      <x:c r="D13" s="11" t="str">
        <x:v>Chairman/Chairwoman of the People’s Committee</x:v>
      </x:c>
      <x:c r="E13" s="11" t="str">
        <x:v>인민위원장</x:v>
      </x:c>
      <x:c r="F13" s="40" t="str">
        <x:v>Chairperson of the People's Committee *</x:v>
      </x:c>
      <x:c r="G13" s="40" t="str">
        <x:v>Chưa đủ hai nguồn để so khớp</x:v>
      </x:c>
      <x:c r="H13" s="41" t="str">
        <x:v>Ứng viên — còn thiếu chứng cứ</x:v>
      </x:c>
      <x:c r="I13" s="11" t="str">
        <x:v>Nhãn 인민위원장 có thể được rút gọn theo corpus; chưa xác minh độc lập nó gọi đúng Chủ tịch Ủy ban nhân dân Việt Nam qua tiếng Anh.</x:v>
      </x:c>
      <x:c r="J13" s="11" t="str">
        <x:v>Đối dịch tường minh trong nguồn</x:v>
      </x:c>
      <x:c r="K13" s="37" t="str">
        <x:v>EB012
Nguồn kiểm tra, dòng 656</x:v>
      </x:c>
      <x:c r="L13" s="11" t="str">
        <x:v>* Nhãn tham chiếu từ bảng trước</x:v>
      </x:c>
      <x:c r="M13" s="11" t="str">
        <x:v>Chưa có nguồn ánh xạ</x:v>
      </x:c>
      <x:c r="N13" s="11" t="str">
        <x:v>Chủ tịch Ủy ban nhân dân</x:v>
      </x:c>
      <x:c r="O13" s="11" t="str">
        <x:v>인민위원장</x:v>
      </x:c>
      <x:c r="P13" s="11" t="str">
        <x:v>Chức danh người đứng đầu Ủy ban nhân dân của một cấp chính quyền địa phương.</x:v>
      </x:c>
      <x:c r="Q13" s="11" t="str">
        <x:v>Chức danh người đứng đầu Ủy ban nhân dân của một cấp chính quyền địa phương.</x:v>
      </x:c>
      <x:c r="R13" s="11" t="str">
        <x:v>N1</x:v>
      </x:c>
      <x:c r="S13" s="11" t="str">
        <x:v>Giữ làm đơn vị nghiên cứu</x:v>
      </x:c>
      <x:c r="T13" s="11" t="str">
        <x:v>T089</x:v>
      </x:c>
    </x:row>
    <x:row r="14" ht="67.5" customHeight="1">
      <x:c r="A14" s="11" t="n">
        <x:v>9</x:v>
      </x:c>
      <x:c r="B14" s="11" t="str">
        <x:v>T003</x:v>
      </x:c>
      <x:c r="C14" s="11" t="str">
        <x:v>cử tri</x:v>
      </x:c>
      <x:c r="D14" s="11" t="str">
        <x:v>voter</x:v>
      </x:c>
      <x:c r="E14" s="11" t="str">
        <x:v>유권자</x:v>
      </x:c>
      <x:c r="F14" s="11" t="str">
        <x:v>voter</x:v>
      </x:c>
      <x:c r="G14" s="38" t="str">
        <x:v>Trùng biểu thức Anh</x:v>
      </x:c>
      <x:c r="H14" s="39" t="str">
        <x:v>Xác nhận — cùng biểu thức Anh</x:v>
      </x:c>
      <x:c r="I14" s="11" t="str">
        <x:v>Hai nguồn ánh xạ trực tiếp qua cùng từ Anh; xác nhận nghĩa chức danh/tư cách đã chọn, không xác nhận mọi cách dùng ngoài chuyên ngành.</x:v>
      </x:c>
      <x:c r="J14" s="11" t="str">
        <x:v>Đối dịch tường minh trong nguồn</x:v>
      </x:c>
      <x:c r="K14" s="37" t="str">
        <x:v>EB013
Nguồn kiểm tra, dòng 657</x:v>
      </x:c>
      <x:c r="L14" s="11" t="str">
        <x:v>Đối dịch trong từ điển</x:v>
      </x:c>
      <x:c r="M14" s="37" t="str">
        <x:v>EB014
Nguồn kiểm tra, dòng 658</x:v>
      </x:c>
      <x:c r="N14" s="11" t="str">
        <x:v>cử tri</x:v>
      </x:c>
      <x:c r="O14" s="11" t="str">
        <x:v>유권자</x:v>
      </x:c>
      <x:c r="P14" s="11" t="str">
        <x:v>Người đáp ứng điều kiện pháp luật để bỏ phiếu trong cuộc bầu cử.</x:v>
      </x:c>
      <x:c r="Q14" s="11" t="str">
        <x:v>Người đáp ứng điều kiện pháp luật để bỏ phiếu trong cuộc bầu cử.</x:v>
      </x:c>
      <x:c r="R14" s="11" t="str">
        <x:v>N1</x:v>
      </x:c>
      <x:c r="S14" s="11" t="str">
        <x:v>Giữ làm đơn vị nghiên cứu</x:v>
      </x:c>
      <x:c r="T14" s="11" t="str">
        <x:v>T003</x:v>
      </x:c>
    </x:row>
    <x:row r="15" ht="67.5" customHeight="1">
      <x:c r="A15" s="11" t="n">
        <x:v>10</x:v>
      </x:c>
      <x:c r="B15" s="11" t="str">
        <x:v>T090</x:v>
      </x:c>
      <x:c r="C15" s="11" t="str">
        <x:v>đại biểu Hội đồng nhân dân</x:v>
      </x:c>
      <x:c r="D15" s="40" t="str">
        <x:v>People's Council deputy *</x:v>
      </x:c>
      <x:c r="E15" s="11" t="str">
        <x:v>인민의회 의원</x:v>
      </x:c>
      <x:c r="F15" s="40" t="str">
        <x:v>People's Council deputy *</x:v>
      </x:c>
      <x:c r="G15" s="40" t="str">
        <x:v>Chưa đủ hai nguồn để so khớp</x:v>
      </x:c>
      <x:c r="H15" s="41" t="str">
        <x:v>Chưa đủ căn cứ đối chiếu</x:v>
      </x:c>
      <x:c r="I15" s="11" t="str">
        <x:v>People’s Council deputy là đề xuất theo cơ quan Việt Nam; chưa có mapping độc lập cho toàn cụm 인민의회 의원 và toàn cụm Việt.</x:v>
      </x:c>
      <x:c r="J15" s="11" t="str">
        <x:v>* Nhãn tham chiếu từ bảng trước</x:v>
      </x:c>
      <x:c r="K15" s="11" t="str">
        <x:v>Chưa có nguồn ánh xạ</x:v>
      </x:c>
      <x:c r="L15" s="11" t="str">
        <x:v>* Nhãn tham chiếu từ bảng trước</x:v>
      </x:c>
      <x:c r="M15" s="11" t="str">
        <x:v>Chưa có nguồn ánh xạ</x:v>
      </x:c>
      <x:c r="N15" s="11" t="str">
        <x:v>đại biểu Hội đồng nhân dân</x:v>
      </x:c>
      <x:c r="O15" s="11" t="str">
        <x:v>인민의회 의원</x:v>
      </x:c>
      <x:c r="P15" s="11" t="str">
        <x:v>Người được bầu làm thành viên Hội đồng nhân dân, đại diện nhân dân địa phương.</x:v>
      </x:c>
      <x:c r="Q15" s="11" t="str">
        <x:v>Người được bầu làm thành viên Hội đồng nhân dân, đại diện nhân dân địa phương.</x:v>
      </x:c>
      <x:c r="R15" s="11" t="str">
        <x:v>N1</x:v>
      </x:c>
      <x:c r="S15" s="11" t="str">
        <x:v>Giữ làm đơn vị nghiên cứu</x:v>
      </x:c>
      <x:c r="T15" s="11" t="str">
        <x:v>T090</x:v>
      </x:c>
    </x:row>
    <x:row r="16" ht="67.5" customHeight="1">
      <x:c r="A16" s="11" t="n">
        <x:v>11</x:v>
      </x:c>
      <x:c r="B16" s="11" t="str">
        <x:v>T081</x:v>
      </x:c>
      <x:c r="C16" s="11" t="str">
        <x:v>đại biểu Quốc hội</x:v>
      </x:c>
      <x:c r="D16" s="40" t="str">
        <x:v>National Assembly deputy *</x:v>
      </x:c>
      <x:c r="E16" s="11" t="str">
        <x:v>국회의원</x:v>
      </x:c>
      <x:c r="F16" s="40" t="str">
        <x:v>National Assembly deputy *</x:v>
      </x:c>
      <x:c r="G16" s="40" t="str">
        <x:v>Chưa đủ hai nguồn để so khớp</x:v>
      </x:c>
      <x:c r="H16" s="41" t="str">
        <x:v>Chưa đủ căn cứ đối chiếu</x:v>
      </x:c>
      <x:c r="I16" s="11" t="str">
        <x:v>Đã rà nguồn định nghĩa Hàn cũ về 국회의원, nhưng nghĩa đơn ngữ không phải mapping sang National Assembly deputy/member. Chưa xác minh hai đường trong lượt này.</x:v>
      </x:c>
      <x:c r="J16" s="11" t="str">
        <x:v>* Nhãn tham chiếu từ bảng trước</x:v>
      </x:c>
      <x:c r="K16" s="11" t="str">
        <x:v>Chưa có nguồn ánh xạ</x:v>
      </x:c>
      <x:c r="L16" s="11" t="str">
        <x:v>* Nhãn tham chiếu từ bảng trước</x:v>
      </x:c>
      <x:c r="M16" s="11" t="str">
        <x:v>Chưa có nguồn ánh xạ</x:v>
      </x:c>
      <x:c r="N16" s="11" t="str">
        <x:v>đại biểu Quốc hội</x:v>
      </x:c>
      <x:c r="O16" s="11" t="str">
        <x:v>국회의원</x:v>
      </x:c>
      <x:c r="P16" s="11" t="str">
        <x:v>Thành viên Quốc hội được bầu để đại diện nhân dân và thực hiện nhiệm vụ đại biểu.</x:v>
      </x:c>
      <x:c r="Q16" s="11" t="str">
        <x:v>Thành viên Quốc hội được bầu để đại diện nhân dân và thực hiện nhiệm vụ đại biểu.</x:v>
      </x:c>
      <x:c r="R16" s="11" t="str">
        <x:v>N1</x:v>
      </x:c>
      <x:c r="S16" s="11" t="str">
        <x:v>Giữ làm đơn vị nghiên cứu</x:v>
      </x:c>
      <x:c r="T16" s="11" t="str">
        <x:v>T081</x:v>
      </x:c>
    </x:row>
    <x:row r="17" ht="67.5" customHeight="1">
      <x:c r="A17" s="11" t="n">
        <x:v>12</x:v>
      </x:c>
      <x:c r="B17" s="11" t="str">
        <x:v>T079</x:v>
      </x:c>
      <x:c r="C17" s="11" t="str">
        <x:v>Đại sứ</x:v>
      </x:c>
      <x:c r="D17" s="11" t="str">
        <x:v>ambassador</x:v>
      </x:c>
      <x:c r="E17" s="11" t="str">
        <x:v>대사</x:v>
      </x:c>
      <x:c r="F17" s="11" t="str">
        <x:v>ambassador</x:v>
      </x:c>
      <x:c r="G17" s="38" t="str">
        <x:v>Trùng biểu thức Anh</x:v>
      </x:c>
      <x:c r="H17" s="39" t="str">
        <x:v>Xác nhận — cùng biểu thức Anh</x:v>
      </x:c>
      <x:c r="I17" s="11" t="str">
        <x:v>Hai nguồn ánh xạ trực tiếp qua cùng từ Anh; xác nhận nghĩa chức danh/tư cách đã chọn, không xác nhận mọi cách dùng ngoài chuyên ngành.</x:v>
      </x:c>
      <x:c r="J17" s="11" t="str">
        <x:v>Đối dịch trong từ điển</x:v>
      </x:c>
      <x:c r="K17" s="37" t="str">
        <x:v>EB015
Nguồn kiểm tra, dòng 659</x:v>
      </x:c>
      <x:c r="L17" s="11" t="str">
        <x:v>Đối dịch trong từ điển</x:v>
      </x:c>
      <x:c r="M17" s="37" t="str">
        <x:v>EB016
Nguồn kiểm tra, dòng 660</x:v>
      </x:c>
      <x:c r="N17" s="11" t="str">
        <x:v>Đại sứ</x:v>
      </x:c>
      <x:c r="O17" s="11" t="str">
        <x:v>대사</x:v>
      </x:c>
      <x:c r="P17" s="11" t="str">
        <x:v>Chức danh ngoại giao cấp đại sứ, đại diện quốc gia tại nước khác hoặc tổ chức quốc tế theo bổ nhiệm.</x:v>
      </x:c>
      <x:c r="Q17" s="11" t="str">
        <x:v>Chức danh ngoại giao cấp đại sứ, đại diện quốc gia tại nước khác hoặc tổ chức quốc tế theo bổ nhiệm.</x:v>
      </x:c>
      <x:c r="R17" s="11" t="str">
        <x:v>N1</x:v>
      </x:c>
      <x:c r="S17" s="11" t="str">
        <x:v>Giữ làm đơn vị nghiên cứu</x:v>
      </x:c>
      <x:c r="T17" s="11" t="str">
        <x:v>T079</x:v>
      </x:c>
    </x:row>
    <x:row r="18" ht="67.5" customHeight="1">
      <x:c r="A18" s="11" t="n">
        <x:v>13</x:v>
      </x:c>
      <x:c r="B18" s="11" t="str">
        <x:v>T002</x:v>
      </x:c>
      <x:c r="C18" s="11" t="str">
        <x:v>đảng viên</x:v>
      </x:c>
      <x:c r="D18" s="40" t="str">
        <x:v>Party member *</x:v>
      </x:c>
      <x:c r="E18" s="11" t="str">
        <x:v>당원</x:v>
      </x:c>
      <x:c r="F18" s="40" t="str">
        <x:v>Party member *</x:v>
      </x:c>
      <x:c r="G18" s="40" t="str">
        <x:v>Chưa đủ hai nguồn để so khớp</x:v>
      </x:c>
      <x:c r="H18" s="41" t="str">
        <x:v>Chưa đủ căn cứ đối chiếu</x:v>
      </x:c>
      <x:c r="I18" s="11" t="str">
        <x:v>Party member là bản dịch dự kiến; nguồn đơn ngữ về tư cách 당원 không tự xác nhận Việt–Anh và Hàn–Anh.</x:v>
      </x:c>
      <x:c r="J18" s="11" t="str">
        <x:v>* Nhãn tham chiếu từ bảng trước</x:v>
      </x:c>
      <x:c r="K18" s="11" t="str">
        <x:v>Chưa có nguồn ánh xạ</x:v>
      </x:c>
      <x:c r="L18" s="11" t="str">
        <x:v>* Nhãn tham chiếu từ bảng trước</x:v>
      </x:c>
      <x:c r="M18" s="11" t="str">
        <x:v>Chưa có nguồn ánh xạ</x:v>
      </x:c>
      <x:c r="N18" s="11" t="str">
        <x:v>đảng viên</x:v>
      </x:c>
      <x:c r="O18" s="11" t="str">
        <x:v>당원</x:v>
      </x:c>
      <x:c r="P18" s="11" t="str">
        <x:v>Người có tư cách thành viên chính đảng.</x:v>
      </x:c>
      <x:c r="Q18" s="11" t="str">
        <x:v>Người có tư cách thành viên chính đảng.</x:v>
      </x:c>
      <x:c r="R18" s="11" t="str">
        <x:v>N1</x:v>
      </x:c>
      <x:c r="S18" s="11" t="str">
        <x:v>Giữ làm đơn vị nghiên cứu</x:v>
      </x:c>
      <x:c r="T18" s="11" t="str">
        <x:v>T002</x:v>
      </x:c>
    </x:row>
    <x:row r="19" ht="67.5" customHeight="1">
      <x:c r="A19" s="11" t="n">
        <x:v>14</x:v>
      </x:c>
      <x:c r="B19" s="11" t="str">
        <x:v>M011</x:v>
      </x:c>
      <x:c r="C19" s="11" t="str">
        <x:v>nguyên thủ quốc gia</x:v>
      </x:c>
      <x:c r="D19" s="40" t="str">
        <x:v>Head of State *</x:v>
      </x:c>
      <x:c r="E19" s="11" t="str">
        <x:v>국가원수</x:v>
      </x:c>
      <x:c r="F19" s="11" t="str">
        <x:v>head of state</x:v>
      </x:c>
      <x:c r="G19" s="40" t="str">
        <x:v>Chưa đủ hai nguồn để so khớp</x:v>
      </x:c>
      <x:c r="H19" s="41" t="str">
        <x:v>Ứng viên — còn thiếu chứng cứ</x:v>
      </x:c>
      <x:c r="I19" s="11" t="str">
        <x:v>Đường Hàn–Anh có thesaurus chính thức; đường Việt–Anh vẫn chỉ là đề xuất cũ. Không dùng head of state đơn ngữ để tự xác nhận nguyên thủ quốc gia.</x:v>
      </x:c>
      <x:c r="J19" s="11" t="str">
        <x:v>* Nhãn tham chiếu từ bảng trước</x:v>
      </x:c>
      <x:c r="K19" s="11" t="str">
        <x:v>Chưa có nguồn ánh xạ</x:v>
      </x:c>
      <x:c r="L19" s="11" t="str">
        <x:v>Đối dịch tường minh trong nguồn</x:v>
      </x:c>
      <x:c r="M19" s="37" t="str">
        <x:v>EB017
Nguồn kiểm tra, dòng 661</x:v>
      </x:c>
      <x:c r="N19" s="11" t="str">
        <x:v>nguyên thủ quốc gia</x:v>
      </x:c>
      <x:c r="O19" s="11" t="str">
        <x:v>국가 원수</x:v>
      </x:c>
      <x:c r="P19" s="11" t="str">
        <x:v>Người giữ tư cách đứng đầu và đại diện Nhà nước theo thể chế của quốc gia.</x:v>
      </x:c>
      <x:c r="Q19" s="11" t="str">
        <x:v>Người giữ tư cách đứng đầu và đại diện Nhà nước theo thể chế của quốc gia.</x:v>
      </x:c>
      <x:c r="R19" s="11" t="str">
        <x:v>N1</x:v>
      </x:c>
      <x:c r="S19" s="11" t="str">
        <x:v>Giữ làm đơn vị nghiên cứu</x:v>
      </x:c>
      <x:c r="T19" s="11" t="str">
        <x:v>M011</x:v>
      </x:c>
    </x:row>
    <x:row r="20" ht="67.5" customHeight="1">
      <x:c r="A20" s="11" t="n">
        <x:v>15</x:v>
      </x:c>
      <x:c r="B20" s="11" t="str">
        <x:v>T093</x:v>
      </x:c>
      <x:c r="C20" s="11" t="str">
        <x:v>người phát ngôn</x:v>
      </x:c>
      <x:c r="D20" s="11" t="str">
        <x:v>spokesman</x:v>
      </x:c>
      <x:c r="E20" s="11" t="str">
        <x:v>대변인</x:v>
      </x:c>
      <x:c r="F20" s="11" t="str">
        <x:v>spokesperson</x:v>
      </x:c>
      <x:c r="G20" s="42" t="str">
        <x:v>Biến thể / có nhãn Anh chung</x:v>
      </x:c>
      <x:c r="H20" s="43" t="str">
        <x:v>Tương ứng — biến thể Anh</x:v>
      </x:c>
      <x:c r="I20" s="11" t="str">
        <x:v>spokesman/spokesperson là hai dạng Anh dùng cho vai trò phát ngôn đã chọn; nguồn Việt dùng nhãn không chỉ nam giới. Ưu tiên spokesperson khi trình bày trung tính giới.</x:v>
      </x:c>
      <x:c r="J20" s="11" t="str">
        <x:v>Đối dịch trong từ điển</x:v>
      </x:c>
      <x:c r="K20" s="37" t="str">
        <x:v>EB018
Nguồn kiểm tra, dòng 662</x:v>
      </x:c>
      <x:c r="L20" s="11" t="str">
        <x:v>Đối dịch trong từ điển</x:v>
      </x:c>
      <x:c r="M20" s="37" t="str">
        <x:v>EB019
Nguồn kiểm tra, dòng 663</x:v>
      </x:c>
      <x:c r="N20" s="11" t="str">
        <x:v>người phát ngôn</x:v>
      </x:c>
      <x:c r="O20" s="11" t="str">
        <x:v>대변인</x:v>
      </x:c>
      <x:c r="P20" s="11" t="str">
        <x:v>Người được giao phát biểu quan điểm hoặc thông tin chính thức thay mặt một chủ thể.</x:v>
      </x:c>
      <x:c r="Q20" s="11" t="str">
        <x:v>Người được giao phát biểu quan điểm hoặc thông tin chính thức thay mặt một chủ thể.</x:v>
      </x:c>
      <x:c r="R20" s="11" t="str">
        <x:v>N1</x:v>
      </x:c>
      <x:c r="S20" s="11" t="str">
        <x:v>Giữ làm đơn vị nghiên cứu</x:v>
      </x:c>
      <x:c r="T20" s="11" t="str">
        <x:v>T093</x:v>
      </x:c>
    </x:row>
    <x:row r="21" ht="67.5" customHeight="1">
      <x:c r="A21" s="11" t="n">
        <x:v>16</x:v>
      </x:c>
      <x:c r="B21" s="11" t="str">
        <x:v>T097</x:v>
      </x:c>
      <x:c r="C21" s="11" t="str">
        <x:v>người phát ngôn Bộ Ngoại giao</x:v>
      </x:c>
      <x:c r="D21" s="40" t="str">
        <x:v>Spokesperson of the Ministry of Foreign Affairs *</x:v>
      </x:c>
      <x:c r="E21" s="11" t="str">
        <x:v>외교부 대변인</x:v>
      </x:c>
      <x:c r="F21" s="40" t="str">
        <x:v>Spokesperson of the Ministry of Foreign Affairs *</x:v>
      </x:c>
      <x:c r="G21" s="40" t="str">
        <x:v>Chưa đủ hai nguồn để so khớp</x:v>
      </x:c>
      <x:c r="H21" s="41" t="str">
        <x:v>Chưa đủ căn cứ đối chiếu</x:v>
      </x:c>
      <x:c r="I21" s="11" t="str">
        <x:v>Không lấy hai mục từ riêng spokesperson và Ministry of Foreign Affairs làm xác nhận tự động của toàn cụm. Cần bài song song nói đúng người phát ngôn Bộ Ngoại giao.</x:v>
      </x:c>
      <x:c r="J21" s="11" t="str">
        <x:v>* Nhãn tham chiếu từ bảng trước</x:v>
      </x:c>
      <x:c r="K21" s="11" t="str">
        <x:v>Chưa có nguồn ánh xạ</x:v>
      </x:c>
      <x:c r="L21" s="11" t="str">
        <x:v>* Nhãn tham chiếu từ bảng trước</x:v>
      </x:c>
      <x:c r="M21" s="11" t="str">
        <x:v>Chưa có nguồn ánh xạ</x:v>
      </x:c>
      <x:c r="N21" s="11" t="str">
        <x:v>người phát ngôn Bộ Ngoại giao</x:v>
      </x:c>
      <x:c r="O21" s="11" t="str">
        <x:v>외교부 대변인</x:v>
      </x:c>
      <x:c r="P21" s="11" t="str">
        <x:v>Người được giao công bố thông tin và phát biểu chính thức thay mặt Bộ Ngoại giao.</x:v>
      </x:c>
      <x:c r="Q21" s="11" t="str">
        <x:v>Người được giao công bố thông tin và phát biểu chính thức thay mặt Bộ Ngoại giao.</x:v>
      </x:c>
      <x:c r="R21" s="11" t="str">
        <x:v>N1</x:v>
      </x:c>
      <x:c r="S21" s="11" t="str">
        <x:v>Giữ làm đơn vị nghiên cứu</x:v>
      </x:c>
      <x:c r="T21" s="11" t="str">
        <x:v>T097</x:v>
      </x:c>
    </x:row>
    <x:row r="22" ht="67.5" customHeight="1">
      <x:c r="A22" s="11" t="n">
        <x:v>17</x:v>
      </x:c>
      <x:c r="B22" s="11" t="str">
        <x:v>T088</x:v>
      </x:c>
      <x:c r="C22" s="11" t="str">
        <x:v>Phó Chủ tịch Quốc hội</x:v>
      </x:c>
      <x:c r="D22" s="40" t="str">
        <x:v>Vice Chairperson of the National Assembly *</x:v>
      </x:c>
      <x:c r="E22" s="11" t="str">
        <x:v>국회 부의장</x:v>
      </x:c>
      <x:c r="F22" s="40" t="str">
        <x:v>Vice Chairperson of the National Assembly *</x:v>
      </x:c>
      <x:c r="G22" s="40" t="str">
        <x:v>Chưa đủ hai nguồn để so khớp</x:v>
      </x:c>
      <x:c r="H22" s="41" t="str">
        <x:v>Chưa đủ căn cứ đối chiếu</x:v>
      </x:c>
      <x:c r="I22" s="11" t="str">
        <x:v>Vice Chairperson, Vice Chairman, Deputy Speaker là các khả năng theo thể chế; chưa có mapping đủ cho hai đường của toàn chức danh.</x:v>
      </x:c>
      <x:c r="J22" s="11" t="str">
        <x:v>* Nhãn tham chiếu từ bảng trước</x:v>
      </x:c>
      <x:c r="K22" s="11" t="str">
        <x:v>Chưa có nguồn ánh xạ</x:v>
      </x:c>
      <x:c r="L22" s="11" t="str">
        <x:v>* Nhãn tham chiếu từ bảng trước</x:v>
      </x:c>
      <x:c r="M22" s="11" t="str">
        <x:v>Chưa có nguồn ánh xạ</x:v>
      </x:c>
      <x:c r="N22" s="11" t="str">
        <x:v>Phó Chủ tịch Quốc hội</x:v>
      </x:c>
      <x:c r="O22" s="11" t="str">
        <x:v>국회 부의장</x:v>
      </x:c>
      <x:c r="P22" s="11" t="str">
        <x:v>Chức danh cấp phó, giúp Chủ tịch Quốc hội theo phân công.</x:v>
      </x:c>
      <x:c r="Q22" s="11" t="str">
        <x:v>Chức danh cấp phó, giúp Chủ tịch Quốc hội theo phân công.</x:v>
      </x:c>
      <x:c r="R22" s="11" t="str">
        <x:v>N1</x:v>
      </x:c>
      <x:c r="S22" s="11" t="str">
        <x:v>Giữ làm đơn vị nghiên cứu</x:v>
      </x:c>
      <x:c r="T22" s="11" t="str">
        <x:v>T088</x:v>
      </x:c>
    </x:row>
    <x:row r="23" ht="67.5" customHeight="1">
      <x:c r="A23" s="11" t="n">
        <x:v>18</x:v>
      </x:c>
      <x:c r="B23" s="11" t="str">
        <x:v>T082</x:v>
      </x:c>
      <x:c r="C23" s="11" t="str">
        <x:v>Phó Thủ tướng</x:v>
      </x:c>
      <x:c r="D23" s="11" t="str">
        <x:v>Deputy Prime Minister</x:v>
      </x:c>
      <x:c r="E23" s="11" t="str">
        <x:v>부총리</x:v>
      </x:c>
      <x:c r="F23" s="11" t="str">
        <x:v>Deputy Prime Minister</x:v>
      </x:c>
      <x:c r="G23" s="38" t="str">
        <x:v>Trùng biểu thức Anh</x:v>
      </x:c>
      <x:c r="H23" s="39" t="str">
        <x:v>Xác nhận — cùng biểu thức Anh</x:v>
      </x:c>
      <x:c r="I23" s="11" t="str">
        <x:v>Hai đường mapping xác nhận chức danh chung Phó Thủ tướng; quyền hạn cụ thể vẫn theo mỗi thể chế.</x:v>
      </x:c>
      <x:c r="J23" s="11" t="str">
        <x:v>Đối dịch tường minh trong nguồn</x:v>
      </x:c>
      <x:c r="K23" s="37" t="str">
        <x:v>EB020
Nguồn kiểm tra, dòng 664</x:v>
      </x:c>
      <x:c r="L23" s="11" t="str">
        <x:v>Đối chiếu văn bản song song</x:v>
      </x:c>
      <x:c r="M23" s="37" t="str">
        <x:v>EB021
Nguồn kiểm tra, dòng 665</x:v>
      </x:c>
      <x:c r="N23" s="11" t="str">
        <x:v>Phó Thủ tướng</x:v>
      </x:c>
      <x:c r="O23" s="11" t="str">
        <x:v>부총리</x:v>
      </x:c>
      <x:c r="P23" s="11" t="str">
        <x:v>Chức danh giúp Thủ tướng và phụ trách những công việc được phân công.</x:v>
      </x:c>
      <x:c r="Q23" s="11" t="str">
        <x:v>Chức danh giúp Thủ tướng và phụ trách những công việc được phân công.</x:v>
      </x:c>
      <x:c r="R23" s="11" t="str">
        <x:v>N1</x:v>
      </x:c>
      <x:c r="S23" s="11" t="str">
        <x:v>Giữ làm đơn vị nghiên cứu</x:v>
      </x:c>
      <x:c r="T23" s="11" t="str">
        <x:v>T082</x:v>
      </x:c>
    </x:row>
    <x:row r="24" ht="72" customHeight="1">
      <x:c r="A24" s="11" t="n">
        <x:v>19</x:v>
      </x:c>
      <x:c r="B24" s="11" t="str">
        <x:v>M036</x:v>
      </x:c>
      <x:c r="C24" s="11" t="str">
        <x:v>Phó Thủ tướng Thường trực</x:v>
      </x:c>
      <x:c r="D24" s="11" t="str">
        <x:v>Permanent Deputy Prime Minister</x:v>
      </x:c>
      <x:c r="E24" s="11" t="str">
        <x:v>상임 부총리</x:v>
      </x:c>
      <x:c r="F24" s="40" t="str">
        <x:v>Standing Deputy Prime Minister *</x:v>
      </x:c>
      <x:c r="G24" s="40" t="str">
        <x:v>Chưa đủ hai nguồn để so khớp</x:v>
      </x:c>
      <x:c r="H24" s="41" t="str">
        <x:v>Ứng viên — còn thiếu chứng cứ</x:v>
      </x:c>
      <x:c r="I24" s="11" t="str">
        <x:v>Bản hướng dẫn lịch sử Việt dùng Permanent Deputy Prime Minister, hồ sơ cũ gợi ý Standing Deputy Prime Minister. Chưa xác minh mapping Hàn 상임 부총리; không tự đồng nhất hai biến thể.</x:v>
      </x:c>
      <x:c r="J24" s="11" t="str">
        <x:v>Đối dịch tường minh trong nguồn</x:v>
      </x:c>
      <x:c r="K24" s="37" t="str">
        <x:v>EB022
Nguồn kiểm tra, dòng 666</x:v>
      </x:c>
      <x:c r="L24" s="11" t="str">
        <x:v>* Nhãn tham chiếu từ bảng trước</x:v>
      </x:c>
      <x:c r="M24" s="11" t="str">
        <x:v>Chưa có nguồn ánh xạ</x:v>
      </x:c>
      <x:c r="N24" s="11" t="str">
        <x:v>Phó Thủ tướng Thường trực</x:v>
      </x:c>
      <x:c r="O24" s="11" t="str">
        <x:v>상임 부총리</x:v>
      </x:c>
      <x:c r="P24" s="11" t="str">
        <x:v>Phó Thủ tướng được giao nhiệm vụ Thường trực theo phân công của Chính phủ.</x:v>
      </x:c>
      <x:c r="Q24" s="11" t="str">
        <x:v>Phó Thủ tướng được giao nhiệm vụ Thường trực theo phân công của Chính phủ.</x:v>
      </x:c>
      <x:c r="R24" s="11" t="str">
        <x:v>N1</x:v>
      </x:c>
      <x:c r="S24" s="11" t="str">
        <x:v>Giữ làm đơn vị nghiên cứu</x:v>
      </x:c>
      <x:c r="T24" s="11" t="str">
        <x:v>M036</x:v>
      </x:c>
    </x:row>
    <x:row r="25" ht="67.5" customHeight="1">
      <x:c r="A25" s="11" t="n">
        <x:v>20</x:v>
      </x:c>
      <x:c r="B25" s="11" t="str">
        <x:v>M052</x:v>
      </x:c>
      <x:c r="C25" s="11" t="str">
        <x:v>Phó Trưởng Ban Tuyên giáo và Dân vận Trung ương</x:v>
      </x:c>
      <x:c r="D25" s="11" t="str">
        <x:v>Deputy Head of the PCC’s Commission for Communication, Education and Mass Mobilisation</x:v>
      </x:c>
      <x:c r="E25" s="11" t="str">
        <x:v>중앙위 선전교육대중동원위원회 부위원장</x:v>
      </x:c>
      <x:c r="F25" s="11" t="str">
        <x:v>Deputy Head of the PCC’s Commission for Communication, Education and Mass Mobilisation</x:v>
      </x:c>
      <x:c r="G25" s="38" t="str">
        <x:v>Trùng biểu thức Anh</x:v>
      </x:c>
      <x:c r="H25" s="39" t="str">
        <x:v>Xác nhận — cùng biểu thức Anh</x:v>
      </x:c>
      <x:c r="I25" s="11" t="str">
        <x:v>Xác nhận theo chức danh trong ngữ cảnh 30/12/2025. Tên cơ quan mang giá trị lịch sử; không suy tên này còn là tên đương thời tháng 10/2026.</x:v>
      </x:c>
      <x:c r="J25" s="11" t="str">
        <x:v>Đối chiếu văn bản song song</x:v>
      </x:c>
      <x:c r="K25" s="37" t="str">
        <x:v>EB023
Nguồn kiểm tra, dòng 667</x:v>
      </x:c>
      <x:c r="L25" s="11" t="str">
        <x:v>Đối chiếu văn bản song song</x:v>
      </x:c>
      <x:c r="M25" s="37" t="str">
        <x:v>EB024
Nguồn kiểm tra, dòng 668</x:v>
      </x:c>
      <x:c r="N25" s="11" t="str">
        <x:v>Phó Trưởng Ban Tuyên giáo và Dân vận Trung ương</x:v>
      </x:c>
      <x:c r="O25" s="11" t="str">
        <x:v>중앙위 선전교육대중동원위원회 부위원장</x:v>
      </x:c>
      <x:c r="P25" s="11" t="str">
        <x:v>Chức danh cấp phó của người đứng đầu Ban Tuyên giáo và Dân vận Trung ương.</x:v>
      </x:c>
      <x:c r="Q25" s="11" t="str">
        <x:v>Chức danh cấp phó của người đứng đầu Ban Tuyên giáo và Dân vận Trung ương.</x:v>
      </x:c>
      <x:c r="R25" s="11" t="str">
        <x:v>N1</x:v>
      </x:c>
      <x:c r="S25" s="11" t="str">
        <x:v>Giữ làm đơn vị nghiên cứu</x:v>
      </x:c>
      <x:c r="T25" s="11" t="str">
        <x:v>M052</x:v>
      </x:c>
    </x:row>
    <x:row r="26" ht="72" customHeight="1">
      <x:c r="A26" s="11" t="n">
        <x:v>21</x:v>
      </x:c>
      <x:c r="B26" s="11" t="str">
        <x:v>NEW_G1_FL01</x:v>
      </x:c>
      <x:c r="C26" s="11" t="str">
        <x:v>phu nhân Tổng thống Hàn Quốc</x:v>
      </x:c>
      <x:c r="D26" s="40" t="str">
        <x:v>wife of the President of the Republic of Korea *</x:v>
      </x:c>
      <x:c r="E26" s="11" t="str">
        <x:v>대한민국 이재명 대통령의 부인</x:v>
      </x:c>
      <x:c r="F26" s="40" t="str">
        <x:v>wife of President Lee Jae Myung of the Republic of Korea *</x:v>
      </x:c>
      <x:c r="G26" s="44" t="str">
        <x:v>Khác biểu thức / phạm vi</x:v>
      </x:c>
      <x:c r="H26" s="45" t="str">
        <x:v>Lệch nghĩa / phạm vi</x:v>
      </x:c>
      <x:c r="I26" s="11" t="str">
        <x:v>Cụm Hàn chứa tên riêng Lee Jae Myung, còn nhãn Việt khái quát vợ Tổng thống Hàn Quốc. Đây là biểu thức mô tả; chưa chứng minh là thuật ngữ chức vụ First Lady. Không tự thay wife/spouse bằng First Lady.</x:v>
      </x:c>
      <x:c r="J26" s="11" t="str">
        <x:v>* Nhãn tham chiếu từ bảng trước</x:v>
      </x:c>
      <x:c r="K26" s="11" t="str">
        <x:v>Chưa có nguồn ánh xạ</x:v>
      </x:c>
      <x:c r="L26" s="11" t="str">
        <x:v>* Nhãn tham chiếu từ bảng trước</x:v>
      </x:c>
      <x:c r="M26" s="11" t="str">
        <x:v>Chưa có nguồn ánh xạ</x:v>
      </x:c>
      <x:c r="N26" s="11" t="str">
        <x:v>phu nhân Tổng thống Hàn Quốc</x:v>
      </x:c>
      <x:c r="O26" s="11" t="str">
        <x:v>대한민국 이재명 대통령의 부인</x:v>
      </x:c>
      <x:c r="P26" s="11" t="str">
        <x:v>Cách gọi người vợ của Tổng thống Hàn Quốc trong ngữ cảnh lễ tân của bài; không tự chỉ một chức vụ.</x:v>
      </x:c>
      <x:c r="Q26" s="11" t="str">
        <x:v>Cách gọi người vợ của Tổng thống Hàn Quốc trong ngữ cảnh lễ tân của bài; không tự chỉ một chức vụ.</x:v>
      </x:c>
      <x:c r="R26" s="11" t="str">
        <x:v>N1</x:v>
      </x:c>
      <x:c r="S26" s="11" t="str">
        <x:v>Biểu thức ngữ liệu, chưa là mục từ chuẩn</x:v>
      </x:c>
      <x:c r="T26" s="11" t="str">
        <x:v>NEW_G1_FL01</x:v>
      </x:c>
    </x:row>
    <x:row r="27" ht="67.5" customHeight="1">
      <x:c r="A27" s="11" t="n">
        <x:v>22</x:v>
      </x:c>
      <x:c r="B27" s="11" t="str">
        <x:v>T099</x:v>
      </x:c>
      <x:c r="C27" s="11" t="str">
        <x:v>Thị trưởng</x:v>
      </x:c>
      <x:c r="D27" s="11" t="str">
        <x:v>mayor</x:v>
      </x:c>
      <x:c r="E27" s="11" t="str">
        <x:v>시장</x:v>
      </x:c>
      <x:c r="F27" s="11" t="str">
        <x:v>mayor</x:v>
      </x:c>
      <x:c r="G27" s="38" t="str">
        <x:v>Trùng biểu thức Anh</x:v>
      </x:c>
      <x:c r="H27" s="39" t="str">
        <x:v>Xác nhận — cùng biểu thức Anh</x:v>
      </x:c>
      <x:c r="I27" s="11" t="str">
        <x:v>Hai nguồn ánh xạ trực tiếp qua cùng từ Anh; xác nhận nghĩa chức danh/tư cách đã chọn, không xác nhận mọi cách dùng ngoài chuyên ngành.</x:v>
      </x:c>
      <x:c r="J27" s="11" t="str">
        <x:v>Đối dịch trong từ điển</x:v>
      </x:c>
      <x:c r="K27" s="37" t="str">
        <x:v>EB025
Nguồn kiểm tra, dòng 669</x:v>
      </x:c>
      <x:c r="L27" s="11" t="str">
        <x:v>Đối dịch trong từ điển</x:v>
      </x:c>
      <x:c r="M27" s="37" t="str">
        <x:v>EB026
Nguồn kiểm tra, dòng 670</x:v>
      </x:c>
      <x:c r="N27" s="11" t="str">
        <x:v>Thị trưởng</x:v>
      </x:c>
      <x:c r="O27" s="11" t="str">
        <x:v>시장</x:v>
      </x:c>
      <x:c r="P27" s="11" t="str">
        <x:v>Người đứng đầu chính quyền thành phố theo thể chế của nước được nói tới.</x:v>
      </x:c>
      <x:c r="Q27" s="11" t="str">
        <x:v>Người đứng đầu chính quyền thành phố theo thể chế của nước được nói tới.</x:v>
      </x:c>
      <x:c r="R27" s="11" t="str">
        <x:v>N1</x:v>
      </x:c>
      <x:c r="S27" s="11" t="str">
        <x:v>Giữ làm đơn vị nghiên cứu</x:v>
      </x:c>
      <x:c r="T27" s="11" t="str">
        <x:v>T099</x:v>
      </x:c>
    </x:row>
    <x:row r="28" ht="67.5" customHeight="1">
      <x:c r="A28" s="11" t="n">
        <x:v>23</x:v>
      </x:c>
      <x:c r="B28" s="11" t="str">
        <x:v>T074</x:v>
      </x:c>
      <x:c r="C28" s="11" t="str">
        <x:v>Thủ tướng</x:v>
      </x:c>
      <x:c r="D28" s="11" t="str">
        <x:v>prime minister</x:v>
      </x:c>
      <x:c r="E28" s="11" t="str">
        <x:v>총리</x:v>
      </x:c>
      <x:c r="F28" s="11" t="str">
        <x:v>Prime Minister</x:v>
      </x:c>
      <x:c r="G28" s="38" t="str">
        <x:v>Trùng biểu thức Anh</x:v>
      </x:c>
      <x:c r="H28" s="39" t="str">
        <x:v>Xác nhận — cùng biểu thức Anh</x:v>
      </x:c>
      <x:c r="I28" s="11" t="str">
        <x:v>Xác nhận ở cấp tên chức danh chung Thủ tướng/총리; không suy quyền lực hiến định các nước giống nhau.</x:v>
      </x:c>
      <x:c r="J28" s="11" t="str">
        <x:v>Đối dịch trong từ điển</x:v>
      </x:c>
      <x:c r="K28" s="37" t="str">
        <x:v>EB027
Nguồn kiểm tra, dòng 671</x:v>
      </x:c>
      <x:c r="L28" s="11" t="str">
        <x:v>Đối dịch tường minh trong nguồn</x:v>
      </x:c>
      <x:c r="M28" s="37" t="str">
        <x:v>EB028
Nguồn kiểm tra, dòng 672</x:v>
      </x:c>
      <x:c r="N28" s="11" t="str">
        <x:v>Thủ tướng</x:v>
      </x:c>
      <x:c r="O28" s="11" t="str">
        <x:v>일본 총리</x:v>
      </x:c>
      <x:c r="P28" s="11" t="str">
        <x:v>Người đứng đầu Chính phủ theo thể chế được nói tới.</x:v>
      </x:c>
      <x:c r="Q28" s="11" t="str">
        <x:v>Người đứng đầu Chính phủ theo thể chế được nói tới.</x:v>
      </x:c>
      <x:c r="R28" s="11" t="str">
        <x:v>N1</x:v>
      </x:c>
      <x:c r="S28" s="11" t="str">
        <x:v>Giữ làm đơn vị nghiên cứu</x:v>
      </x:c>
      <x:c r="T28" s="11" t="str">
        <x:v>T074</x:v>
      </x:c>
    </x:row>
    <x:row r="29" ht="72" customHeight="1">
      <x:c r="A29" s="11" t="n">
        <x:v>24</x:v>
      </x:c>
      <x:c r="B29" s="11" t="str">
        <x:v>T087</x:v>
      </x:c>
      <x:c r="C29" s="11" t="str">
        <x:v>Thứ trưởng</x:v>
      </x:c>
      <x:c r="D29" s="11" t="str">
        <x:v>Deputy Minister</x:v>
      </x:c>
      <x:c r="E29" s="11" t="str">
        <x:v>차관</x:v>
      </x:c>
      <x:c r="F29" s="11" t="str">
        <x:v>Vice Minister</x:v>
      </x:c>
      <x:c r="G29" s="40" t="str">
        <x:v>Biến thể / có nhãn Anh chung</x:v>
      </x:c>
      <x:c r="H29" s="41" t="str">
        <x:v>Có điều kiện — chưa chốt</x:v>
      </x:c>
      <x:c r="I29" s="11" t="str">
        <x:v>Thứ trưởng→Deputy Minister và 차관→Vice Minister đều có nguồn; khác thông lệ đặt tên theo thể chế. Chưa dùng chứng cứ chức trách đủ để xác nhận toàn bộ cặp ở mức tương đương thể chế.</x:v>
      </x:c>
      <x:c r="J29" s="11" t="str">
        <x:v>Đối dịch tường minh trong nguồn</x:v>
      </x:c>
      <x:c r="K29" s="37" t="str">
        <x:v>EB029
Nguồn kiểm tra, dòng 673</x:v>
      </x:c>
      <x:c r="L29" s="11" t="str">
        <x:v>Đối dịch tường minh trong nguồn</x:v>
      </x:c>
      <x:c r="M29" s="37" t="str">
        <x:v>EB030
Nguồn kiểm tra, dòng 674</x:v>
      </x:c>
      <x:c r="N29" s="11" t="str">
        <x:v>Thứ trưởng</x:v>
      </x:c>
      <x:c r="O29" s="11" t="str">
        <x:v>차관</x:v>
      </x:c>
      <x:c r="P29" s="11" t="str">
        <x:v>Chức danh lãnh đạo cấp phó trong bộ, giúp Bộ trưởng theo phân công.</x:v>
      </x:c>
      <x:c r="Q29" s="11" t="str">
        <x:v>Chức danh lãnh đạo cấp phó trong bộ, giúp Bộ trưởng theo phân công.</x:v>
      </x:c>
      <x:c r="R29" s="11" t="str">
        <x:v>N1</x:v>
      </x:c>
      <x:c r="S29" s="11" t="str">
        <x:v>Giữ làm đơn vị nghiên cứu</x:v>
      </x:c>
      <x:c r="T29" s="11" t="str">
        <x:v>T087</x:v>
      </x:c>
    </x:row>
    <x:row r="30" ht="72" customHeight="1">
      <x:c r="A30" s="11" t="n">
        <x:v>25</x:v>
      </x:c>
      <x:c r="B30" s="11" t="str">
        <x:v>T102</x:v>
      </x:c>
      <x:c r="C30" s="11" t="str">
        <x:v>Thứ trưởng Bộ Ngoại giao</x:v>
      </x:c>
      <x:c r="D30" s="40" t="str">
        <x:v>Deputy Minister of Foreign Affairs *</x:v>
      </x:c>
      <x:c r="E30" s="11" t="str">
        <x:v>외교부 차관</x:v>
      </x:c>
      <x:c r="F30" s="40" t="str">
        <x:v>Vice Minister of Foreign Affairs *</x:v>
      </x:c>
      <x:c r="G30" s="40" t="str">
        <x:v>Chưa đủ hai nguồn để so khớp</x:v>
      </x:c>
      <x:c r="H30" s="41" t="str">
        <x:v>Chưa đủ căn cứ đối chiếu</x:v>
      </x:c>
      <x:c r="I30" s="11" t="str">
        <x:v>Chưa xác minh toàn cụm ngoại giao riêng. Deputy Minister (thông lệ Việt) và Vice Minister (thông lệ Hàn) cần so theo chức trách; không ghép nguồn 차관 với nguồn Ministry để thành bằng chứng toàn cụm.</x:v>
      </x:c>
      <x:c r="J30" s="11" t="str">
        <x:v>* Nhãn tham chiếu từ bảng trước</x:v>
      </x:c>
      <x:c r="K30" s="11" t="str">
        <x:v>Chưa có nguồn ánh xạ</x:v>
      </x:c>
      <x:c r="L30" s="11" t="str">
        <x:v>* Nhãn tham chiếu từ bảng trước</x:v>
      </x:c>
      <x:c r="M30" s="11" t="str">
        <x:v>Chưa có nguồn ánh xạ</x:v>
      </x:c>
      <x:c r="N30" s="11" t="str">
        <x:v>Thứ trưởng Bộ Ngoại giao</x:v>
      </x:c>
      <x:c r="O30" s="11" t="str">
        <x:v>외교부 차관</x:v>
      </x:c>
      <x:c r="P30" s="11" t="str">
        <x:v>Chức danh lãnh đạo cấp phó trong Bộ Ngoại giao, giúp Bộ trưởng.</x:v>
      </x:c>
      <x:c r="Q30" s="11" t="str">
        <x:v>Chức danh lãnh đạo cấp phó trong Bộ Ngoại giao, giúp Bộ trưởng.</x:v>
      </x:c>
      <x:c r="R30" s="11" t="str">
        <x:v>N1</x:v>
      </x:c>
      <x:c r="S30" s="11" t="str">
        <x:v>Giữ làm đơn vị nghiên cứu</x:v>
      </x:c>
      <x:c r="T30" s="11" t="str">
        <x:v>T102</x:v>
      </x:c>
    </x:row>
    <x:row r="31" ht="67.5" customHeight="1">
      <x:c r="A31" s="11" t="n">
        <x:v>26</x:v>
      </x:c>
      <x:c r="B31" s="11" t="str">
        <x:v>T184</x:v>
      </x:c>
      <x:c r="C31" s="11" t="str">
        <x:v>Thứ trưởng Thứ nhất Bộ Ngoại giao</x:v>
      </x:c>
      <x:c r="D31" s="11" t="str">
        <x:v>First Vice Minister of Foreign Affairs</x:v>
      </x:c>
      <x:c r="E31" s="11" t="str">
        <x:v>외교부 제1차관</x:v>
      </x:c>
      <x:c r="F31" s="11" t="str">
        <x:v>First Vice Minister of Foreign Affairs</x:v>
      </x:c>
      <x:c r="G31" s="38" t="str">
        <x:v>Trùng biểu thức Anh</x:v>
      </x:c>
      <x:c r="H31" s="39" t="str">
        <x:v>Xác nhận — cùng biểu thức Anh</x:v>
      </x:c>
      <x:c r="I31" s="11" t="str">
        <x:v>Xác nhận trong cuộc gặp 03/04/2026 và đúng thể chế được nêu. Không bỏ thành tố First/Permanent khi gộp với Thứ trưởng chung.</x:v>
      </x:c>
      <x:c r="J31" s="11" t="str">
        <x:v>Đối chiếu văn bản song song</x:v>
      </x:c>
      <x:c r="K31" s="37" t="str">
        <x:v>EB031
Nguồn kiểm tra, dòng 675</x:v>
      </x:c>
      <x:c r="L31" s="11" t="str">
        <x:v>Đối chiếu văn bản song song</x:v>
      </x:c>
      <x:c r="M31" s="37" t="str">
        <x:v>EB032
Nguồn kiểm tra, dòng 676</x:v>
      </x:c>
      <x:c r="N31" s="11" t="str">
        <x:v>Thứ trưởng Thứ nhất Bộ Ngoại giao</x:v>
      </x:c>
      <x:c r="O31" s="11" t="str">
        <x:v>외교부 제1차관</x:v>
      </x:c>
      <x:c r="P31" s="11" t="str">
        <x:v>Thứ trưởng mang thứ bậc “Thứ nhất” trong cơ cấu Bộ Ngoại giao của quốc gia được nói tới.</x:v>
      </x:c>
      <x:c r="Q31" s="11" t="str">
        <x:v>Thứ trưởng mang thứ bậc “Thứ nhất” trong cơ cấu Bộ Ngoại giao của quốc gia được nói tới.</x:v>
      </x:c>
      <x:c r="R31" s="11" t="str">
        <x:v>N1</x:v>
      </x:c>
      <x:c r="S31" s="11" t="str">
        <x:v>Giữ làm đơn vị nghiên cứu</x:v>
      </x:c>
      <x:c r="T31" s="11" t="str">
        <x:v>T184</x:v>
      </x:c>
    </x:row>
    <x:row r="32" ht="67.5" customHeight="1">
      <x:c r="A32" s="11" t="n">
        <x:v>27</x:v>
      </x:c>
      <x:c r="B32" s="11" t="str">
        <x:v>T185</x:v>
      </x:c>
      <x:c r="C32" s="11" t="str">
        <x:v>Thứ trưởng Thường trực Bộ Ngoại giao</x:v>
      </x:c>
      <x:c r="D32" s="11" t="str">
        <x:v>Permanent Deputy Minister of Foreign Affairs</x:v>
      </x:c>
      <x:c r="E32" s="11" t="str">
        <x:v>외교부 상임차관</x:v>
      </x:c>
      <x:c r="F32" s="11" t="str">
        <x:v>Permanent Deputy Minister of Foreign Affairs</x:v>
      </x:c>
      <x:c r="G32" s="38" t="str">
        <x:v>Trùng biểu thức Anh</x:v>
      </x:c>
      <x:c r="H32" s="39" t="str">
        <x:v>Xác nhận — cùng biểu thức Anh</x:v>
      </x:c>
      <x:c r="I32" s="11" t="str">
        <x:v>Xác nhận trong cuộc gặp 03/04/2026 và đúng thể chế được nêu. Không bỏ thành tố First/Permanent khi gộp với Thứ trưởng chung.</x:v>
      </x:c>
      <x:c r="J32" s="11" t="str">
        <x:v>Đối chiếu văn bản song song</x:v>
      </x:c>
      <x:c r="K32" s="37" t="str">
        <x:v>EB033
Nguồn kiểm tra, dòng 677</x:v>
      </x:c>
      <x:c r="L32" s="11" t="str">
        <x:v>Đối chiếu văn bản song song</x:v>
      </x:c>
      <x:c r="M32" s="37" t="str">
        <x:v>EB034
Nguồn kiểm tra, dòng 678</x:v>
      </x:c>
      <x:c r="N32" s="11" t="str">
        <x:v>Thứ trưởng Thường trực Bộ Ngoại giao</x:v>
      </x:c>
      <x:c r="O32" s="11" t="str">
        <x:v>외교부 상임차관</x:v>
      </x:c>
      <x:c r="P32" s="11" t="str">
        <x:v>Thứ trưởng Bộ Ngoại giao được giao nhiệm vụ Thường trực trong cơ cấu và phân công tương ứng.</x:v>
      </x:c>
      <x:c r="Q32" s="11" t="str">
        <x:v>Thứ trưởng Bộ Ngoại giao được giao nhiệm vụ Thường trực trong cơ cấu và phân công tương ứng.</x:v>
      </x:c>
      <x:c r="R32" s="11" t="str">
        <x:v>N1</x:v>
      </x:c>
      <x:c r="S32" s="11" t="str">
        <x:v>Giữ làm đơn vị nghiên cứu</x:v>
      </x:c>
      <x:c r="T32" s="11" t="str">
        <x:v>T185</x:v>
      </x:c>
    </x:row>
    <x:row r="33" ht="87" customHeight="1">
      <x:c r="A33" s="11" t="n">
        <x:v>28</x:v>
      </x:c>
      <x:c r="B33" s="11" t="str">
        <x:v>T086</x:v>
      </x:c>
      <x:c r="C33" s="11" t="str">
        <x:v>Thường trực Ban Bí thư</x:v>
      </x:c>
      <x:c r="D33" s="40" t="str">
        <x:v>Permanent Member of the Party Central Committee's Secretariat *</x:v>
      </x:c>
      <x:c r="E33" s="11" t="str">
        <x:v>베트남 공산당 중앙위원회 서기국 상임위원</x:v>
      </x:c>
      <x:c r="F33" s="40" t="str">
        <x:v>standing member of the Secretariat of the Communist Party of Viet Nam Central Committee *</x:v>
      </x:c>
      <x:c r="G33" s="40" t="str">
        <x:v>Chưa đủ hai nguồn để so khớp</x:v>
      </x:c>
      <x:c r="H33" s="41" t="str">
        <x:v>Chưa đủ căn cứ đối chiếu</x:v>
      </x:c>
      <x:c r="I33" s="11" t="str">
        <x:v>Bản Anh cũ Permanent Member of the Secretariat chỉ là đề xuất chưa xác minh. Hàn 서기국 상임위원 biểu thị tư cách thành viên thường trực; corpus còn dùng 상임서기. Cần khóa chức trách Thường trực Ban Bí thư Việt Nam và đối chiếu toàn chức danh, không suy từ 상임 hoặc 서기 riêng.</x:v>
      </x:c>
      <x:c r="J33" s="11" t="str">
        <x:v>* Nhãn tham chiếu từ bảng trước</x:v>
      </x:c>
      <x:c r="K33" s="11" t="str">
        <x:v>Chưa có nguồn ánh xạ</x:v>
      </x:c>
      <x:c r="L33" s="11" t="str">
        <x:v>* Nhãn tham chiếu từ bảng trước</x:v>
      </x:c>
      <x:c r="M33" s="11" t="str">
        <x:v>Chưa có nguồn ánh xạ</x:v>
      </x:c>
      <x:c r="N33" s="11" t="str">
        <x:v>Thường trực Ban Bí thư</x:v>
      </x:c>
      <x:c r="O33" s="11" t="str">
        <x:v>베트남 공산당 중앙위원회 서기국 상임위원</x:v>
      </x:c>
      <x:c r="P33" s="11" t="str">
        <x:v>Chức danh được phân công xử lý, điều hành công việc thường xuyên của Ban Bí thư.</x:v>
      </x:c>
      <x:c r="Q33" s="11" t="str">
        <x:v>Chức danh được phân công xử lý, điều hành công việc thường xuyên của Ban Bí thư.</x:v>
      </x:c>
      <x:c r="R33" s="11" t="str">
        <x:v>N1</x:v>
      </x:c>
      <x:c r="S33" s="11" t="str">
        <x:v>Cần xem xét tư cách/phạm vi</x:v>
      </x:c>
      <x:c r="T33" s="11" t="str">
        <x:v>T086</x:v>
      </x:c>
    </x:row>
    <x:row r="34" ht="67.5" customHeight="1">
      <x:c r="A34" s="11" t="n">
        <x:v>29</x:v>
      </x:c>
      <x:c r="B34" s="11" t="str">
        <x:v>T075</x:v>
      </x:c>
      <x:c r="C34" s="11" t="str">
        <x:v>Tổng Bí thư</x:v>
      </x:c>
      <x:c r="D34" s="11" t="str">
        <x:v>General Secretary of the Communist Party of Viet Nam Central Committee</x:v>
      </x:c>
      <x:c r="E34" s="11" t="str">
        <x:v>서기장</x:v>
      </x:c>
      <x:c r="F34" s="11" t="str">
        <x:v>General Secretary of the Communist Party of Viet Nam Central Committee</x:v>
      </x:c>
      <x:c r="G34" s="38" t="str">
        <x:v>Trùng biểu thức Anh</x:v>
      </x:c>
      <x:c r="H34" s="39" t="str">
        <x:v>Xác nhận — cùng biểu thức Anh</x:v>
      </x:c>
      <x:c r="I34" s="11" t="str">
        <x:v>Xác nhận nghĩa theo thể chế Việt Nam và ngữ cảnh 18/02/2026. Dạng 당서기장 và 당 서기장 khác cách đặt khoảng trắng; 서기장 được hiểu trong phạm vi Đảng Cộng sản Việt Nam.</x:v>
      </x:c>
      <x:c r="J34" s="11" t="str">
        <x:v>Đối chiếu văn bản song song</x:v>
      </x:c>
      <x:c r="K34" s="37" t="str">
        <x:v>EB035
Nguồn kiểm tra, dòng 679</x:v>
      </x:c>
      <x:c r="L34" s="11" t="str">
        <x:v>Đối chiếu văn bản song song</x:v>
      </x:c>
      <x:c r="M34" s="37" t="str">
        <x:v>EB036
Nguồn kiểm tra, dòng 680</x:v>
      </x:c>
      <x:c r="N34" s="11" t="str">
        <x:v>Tổng Bí thư</x:v>
      </x:c>
      <x:c r="O34" s="11" t="str">
        <x:v>당 서기장</x:v>
      </x:c>
      <x:c r="P34" s="11" t="str">
        <x:v>Người đứng đầu chính đảng; ở đây là ĐCSVN.</x:v>
      </x:c>
      <x:c r="Q34" s="11" t="str">
        <x:v>Người đứng đầu chính đảng; ở đây là ĐCSVN.</x:v>
      </x:c>
      <x:c r="R34" s="11" t="str">
        <x:v>N1</x:v>
      </x:c>
      <x:c r="S34" s="11" t="str">
        <x:v>Giữ làm đơn vị nghiên cứu</x:v>
      </x:c>
      <x:c r="T34" s="11" t="str">
        <x:v>T075</x:v>
      </x:c>
    </x:row>
    <x:row r="35" ht="67.5" customHeight="1">
      <x:c r="A35" s="11" t="n">
        <x:v>30</x:v>
      </x:c>
      <x:c r="B35" s="11" t="str">
        <x:v>T084</x:v>
      </x:c>
      <x:c r="C35" s="11" t="str">
        <x:v>Tổng thống</x:v>
      </x:c>
      <x:c r="D35" s="11" t="str">
        <x:v>president</x:v>
      </x:c>
      <x:c r="E35" s="11" t="str">
        <x:v>대통령</x:v>
      </x:c>
      <x:c r="F35" s="11" t="str">
        <x:v>president</x:v>
      </x:c>
      <x:c r="G35" s="38" t="str">
        <x:v>Trùng biểu thức Anh</x:v>
      </x:c>
      <x:c r="H35" s="39" t="str">
        <x:v>Xác nhận — cùng biểu thức Anh</x:v>
      </x:c>
      <x:c r="I35" s="11" t="str">
        <x:v>Hai nguồn ánh xạ trực tiếp qua cùng từ Anh; xác nhận nghĩa chức danh/tư cách đã chọn, không xác nhận mọi cách dùng ngoài chuyên ngành.</x:v>
      </x:c>
      <x:c r="J35" s="11" t="str">
        <x:v>Đối dịch trong từ điển</x:v>
      </x:c>
      <x:c r="K35" s="37" t="str">
        <x:v>EB037
Nguồn kiểm tra, dòng 681</x:v>
      </x:c>
      <x:c r="L35" s="11" t="str">
        <x:v>Đối dịch trong từ điển</x:v>
      </x:c>
      <x:c r="M35" s="37" t="str">
        <x:v>EB038
Nguồn kiểm tra, dòng 682</x:v>
      </x:c>
      <x:c r="N35" s="11" t="str">
        <x:v>Tổng thống</x:v>
      </x:c>
      <x:c r="O35" s="11" t="str">
        <x:v>대통령</x:v>
      </x:c>
      <x:c r="P35" s="11" t="str">
        <x:v>Chức danh nguyên thủ trong thể chế dùng tên gọi Tổng thống; quyền hành tùy hiến pháp.</x:v>
      </x:c>
      <x:c r="Q35" s="11" t="str">
        <x:v>Chức danh nguyên thủ trong thể chế dùng tên gọi Tổng thống; quyền hành tùy hiến pháp.</x:v>
      </x:c>
      <x:c r="R35" s="11" t="str">
        <x:v>N1</x:v>
      </x:c>
      <x:c r="S35" s="11" t="str">
        <x:v>Giữ làm đơn vị nghiên cứu</x:v>
      </x:c>
      <x:c r="T35" s="11" t="str">
        <x:v>T084</x:v>
      </x:c>
    </x:row>
    <x:row r="36" ht="67.5" customHeight="1">
      <x:c r="A36" s="11" t="n">
        <x:v>31</x:v>
      </x:c>
      <x:c r="B36" s="11" t="str">
        <x:v>T091</x:v>
      </x:c>
      <x:c r="C36" s="11" t="str">
        <x:v>Tổng Thư ký</x:v>
      </x:c>
      <x:c r="D36" s="11" t="str">
        <x:v>Secretary-General</x:v>
      </x:c>
      <x:c r="E36" s="11" t="str">
        <x:v>사무총장</x:v>
      </x:c>
      <x:c r="F36" s="11" t="str">
        <x:v>secretary-general</x:v>
      </x:c>
      <x:c r="G36" s="38" t="str">
        <x:v>Trùng biểu thức Anh</x:v>
      </x:c>
      <x:c r="H36" s="39" t="str">
        <x:v>Xác nhận — cùng biểu thức Anh</x:v>
      </x:c>
      <x:c r="I36" s="11" t="str">
        <x:v>Xác nhận nghĩa Tổng Thư ký tổ chức quốc tế, cụ thể UN trong nguồn Việt; không dùng cho Tổng Bí thư Đảng.</x:v>
      </x:c>
      <x:c r="J36" s="11" t="str">
        <x:v>Đối chiếu văn bản song song</x:v>
      </x:c>
      <x:c r="K36" s="37" t="str">
        <x:v>EB039
Nguồn kiểm tra, dòng 683</x:v>
      </x:c>
      <x:c r="L36" s="11" t="str">
        <x:v>Đối dịch trong từ điển</x:v>
      </x:c>
      <x:c r="M36" s="37" t="str">
        <x:v>EB040
Nguồn kiểm tra, dòng 684</x:v>
      </x:c>
      <x:c r="N36" s="11" t="str">
        <x:v>Tổng Thư ký Liên Hợp Quốc</x:v>
      </x:c>
      <x:c r="O36" s="11" t="str">
        <x:v>사무총장</x:v>
      </x:c>
      <x:c r="P36" s="11" t="str">
        <x:v>Người đứng đầu hoặc điều hành ban thư ký của một tổ chức theo quy định tổ chức đó.</x:v>
      </x:c>
      <x:c r="Q36" s="11" t="str">
        <x:v>Người đứng đầu hoặc điều hành ban thư ký của một tổ chức theo quy định tổ chức đó.</x:v>
      </x:c>
      <x:c r="R36" s="11" t="str">
        <x:v>N1</x:v>
      </x:c>
      <x:c r="S36" s="11" t="str">
        <x:v>Giữ làm đơn vị nghiên cứu</x:v>
      </x:c>
      <x:c r="T36" s="11" t="str">
        <x:v>T091</x:v>
      </x:c>
    </x:row>
    <x:row r="37" ht="72" customHeight="1">
      <x:c r="A37" s="11" t="n">
        <x:v>32</x:v>
      </x:c>
      <x:c r="B37" s="11" t="str">
        <x:v>T080</x:v>
      </x:c>
      <x:c r="C37" s="11" t="str">
        <x:v>Ủy viên Bộ Chính trị</x:v>
      </x:c>
      <x:c r="D37" s="40" t="str">
        <x:v>Politburo member *</x:v>
      </x:c>
      <x:c r="E37" s="11" t="str">
        <x:v>중앙정치국 위원</x:v>
      </x:c>
      <x:c r="F37" s="40" t="str">
        <x:v>Politburo member *</x:v>
      </x:c>
      <x:c r="G37" s="40" t="str">
        <x:v>Chưa đủ hai nguồn để so khớp</x:v>
      </x:c>
      <x:c r="H37" s="41" t="str">
        <x:v>Chưa đủ căn cứ đối chiếu</x:v>
      </x:c>
      <x:c r="I37" s="11" t="str">
        <x:v>Nguồn Hàn trong corpus có 중앙정치국 위원; nguồn tiếng Anh của chuyến Gaza dùng Politburo member. Chưa có bản Anh cùng sự kiện 03/04/2026 được kiểm tra chứa đúng chức vụ này; chỉ sự trùng Lê Hoài Trung không thay mapping.</x:v>
      </x:c>
      <x:c r="J37" s="11" t="str">
        <x:v>* Nhãn tham chiếu từ bảng trước</x:v>
      </x:c>
      <x:c r="K37" s="11" t="str">
        <x:v>Chưa có nguồn ánh xạ</x:v>
      </x:c>
      <x:c r="L37" s="11" t="str">
        <x:v>* Nhãn tham chiếu từ bảng trước</x:v>
      </x:c>
      <x:c r="M37" s="11" t="str">
        <x:v>Chưa có nguồn ánh xạ</x:v>
      </x:c>
      <x:c r="N37" s="11" t="str">
        <x:v>Ủy viên Bộ Chính trị</x:v>
      </x:c>
      <x:c r="O37" s="11" t="str">
        <x:v>중앙정치국 위원</x:v>
      </x:c>
      <x:c r="P37" s="11" t="str">
        <x:v>Thành viên Bộ Chính trị của chính đảng.</x:v>
      </x:c>
      <x:c r="Q37" s="11" t="str">
        <x:v>Thành viên Bộ Chính trị của chính đảng.</x:v>
      </x:c>
      <x:c r="R37" s="11" t="str">
        <x:v>N1</x:v>
      </x:c>
      <x:c r="S37" s="11" t="str">
        <x:v>Giữ làm đơn vị nghiên cứu</x:v>
      </x:c>
      <x:c r="T37" s="11" t="str">
        <x:v>T080</x:v>
      </x:c>
    </x:row>
    <x:row r="38" ht="67.5" customHeight="1">
      <x:c r="A38" s="11" t="n">
        <x:v>33</x:v>
      </x:c>
      <x:c r="B38" s="11" t="str">
        <x:v>T083</x:v>
      </x:c>
      <x:c r="C38" s="11" t="str">
        <x:v>Ủy viên Trung ương Đảng</x:v>
      </x:c>
      <x:c r="D38" s="11" t="str">
        <x:v>Member of the Party Central Committee</x:v>
      </x:c>
      <x:c r="E38" s="11" t="str">
        <x:v>당 중앙위원회 위원</x:v>
      </x:c>
      <x:c r="F38" s="11" t="str">
        <x:v>Member of the Party Central Committee</x:v>
      </x:c>
      <x:c r="G38" s="38" t="str">
        <x:v>Trùng biểu thức Anh</x:v>
      </x:c>
      <x:c r="H38" s="39" t="str">
        <x:v>Xác nhận — cùng biểu thức Anh</x:v>
      </x:c>
      <x:c r="I38" s="11" t="str">
        <x:v>Xác nhận theo chức danh trong ngữ cảnh 30/12/2025. </x:v>
      </x:c>
      <x:c r="J38" s="11" t="str">
        <x:v>Đối chiếu văn bản song song</x:v>
      </x:c>
      <x:c r="K38" s="37" t="str">
        <x:v>EB041
Nguồn kiểm tra, dòng 685</x:v>
      </x:c>
      <x:c r="L38" s="11" t="str">
        <x:v>Đối chiếu văn bản song song</x:v>
      </x:c>
      <x:c r="M38" s="37" t="str">
        <x:v>EB042
Nguồn kiểm tra, dòng 686</x:v>
      </x:c>
      <x:c r="N38" s="11" t="str">
        <x:v>Ủy viên Trung ương Đảng</x:v>
      </x:c>
      <x:c r="O38" s="11" t="str">
        <x:v>당 중앙위원회 위원</x:v>
      </x:c>
      <x:c r="P38" s="11" t="str">
        <x:v>Người có tư cách thành viên Ban Chấp hành Trung ương Đảng.</x:v>
      </x:c>
      <x:c r="Q38" s="11" t="str">
        <x:v>Người có tư cách thành viên Ban Chấp hành Trung ương Đảng.</x:v>
      </x:c>
      <x:c r="R38" s="11" t="str">
        <x:v>N1</x:v>
      </x:c>
      <x:c r="S38" s="11" t="str">
        <x:v>Giữ làm đơn vị nghiên cứu</x:v>
      </x:c>
      <x:c r="T38" s="11" t="str">
        <x:v>T083</x:v>
      </x:c>
    </x:row>
    <x:row r="39" ht="67.5" customHeight="1">
      <x:c r="A39" s="11" t="n">
        <x:v>34</x:v>
      </x:c>
      <x:c r="B39" s="11" t="str">
        <x:v>CGI003</x:v>
      </x:c>
      <x:c r="C39" s="11" t="str">
        <x:v>Ban Bí thư</x:v>
      </x:c>
      <x:c r="D39" s="11" t="str">
        <x:v>Secretariat of CPV Central Committee</x:v>
      </x:c>
      <x:c r="E39" s="11" t="str">
        <x:v>서기국</x:v>
      </x:c>
      <x:c r="F39" s="40" t="str">
        <x:v>Secretariat (Communist Party of Viet Nam) *</x:v>
      </x:c>
      <x:c r="G39" s="40" t="str">
        <x:v>Chưa đủ hai nguồn để so khớp</x:v>
      </x:c>
      <x:c r="H39" s="41" t="str">
        <x:v>Ứng viên — còn thiếu chứng cứ</x:v>
      </x:c>
      <x:c r="I39" s="11" t="str">
        <x:v>Giữ nguyên biểu thức đầu vào. Chỉ tên tiếng Anh dự kiến; cần xác nhận riêng mỗi nhánh.</x:v>
      </x:c>
      <x:c r="J39" s="11" t="str">
        <x:v>Đối dịch tường minh trong nguồn</x:v>
      </x:c>
      <x:c r="K39" s="37" t="str">
        <x:v>EB043
Nguồn kiểm tra, dòng 687</x:v>
      </x:c>
      <x:c r="L39" s="11" t="str">
        <x:v>* Nhãn tham chiếu từ bảng trước</x:v>
      </x:c>
      <x:c r="M39" s="11" t="str">
        <x:v>Chưa có nguồn ánh xạ</x:v>
      </x:c>
      <x:c r="N39" s="11" t="str">
        <x:v>Ban Bí thư</x:v>
      </x:c>
      <x:c r="O39" s="11" t="str">
        <x:v>서기국</x:v>
      </x:c>
      <x:c r="P39" s="11" t="str">
        <x:v>Cơ quan lãnh đạo công việc Đảng thường xuyên.</x:v>
      </x:c>
      <x:c r="Q39" s="11" t="str">
        <x:v>Cơ quan lãnh đạo công việc Đảng thường xuyên.</x:v>
      </x:c>
      <x:c r="R39" s="11" t="str">
        <x:v>N2</x:v>
      </x:c>
      <x:c r="S39" s="11" t="str">
        <x:v>Giữ làm đơn vị nghiên cứu</x:v>
      </x:c>
      <x:c r="T39" s="11" t="str">
        <x:v>CGI003</x:v>
      </x:c>
    </x:row>
    <x:row r="40" ht="67.5" customHeight="1">
      <x:c r="A40" s="11" t="n">
        <x:v>35</x:v>
      </x:c>
      <x:c r="B40" s="11" t="str">
        <x:v>T113</x:v>
      </x:c>
      <x:c r="C40" s="11" t="str">
        <x:v>Ban Chấp hành Trung ương Đảng</x:v>
      </x:c>
      <x:c r="D40" s="11" t="str">
        <x:v>Central Committee of CPV</x:v>
      </x:c>
      <x:c r="E40" s="11" t="str">
        <x:v>당 중앙위원회</x:v>
      </x:c>
      <x:c r="F40" s="40" t="str">
        <x:v>Central Committee of the Communist Party of Viet Nam *</x:v>
      </x:c>
      <x:c r="G40" s="40" t="str">
        <x:v>Chưa đủ hai nguồn để so khớp</x:v>
      </x:c>
      <x:c r="H40" s="41" t="str">
        <x:v>Ứng viên — còn thiếu chứng cứ</x:v>
      </x:c>
      <x:c r="I40" s="11" t="str">
        <x:v>Giữ nguyên biểu thức đầu vào. Chỉ tên tiếng Anh dự kiến; cần xác nhận riêng mỗi nhánh.</x:v>
      </x:c>
      <x:c r="J40" s="11" t="str">
        <x:v>Đối dịch tường minh trong nguồn</x:v>
      </x:c>
      <x:c r="K40" s="37" t="str">
        <x:v>EB044
Nguồn kiểm tra, dòng 688</x:v>
      </x:c>
      <x:c r="L40" s="11" t="str">
        <x:v>* Nhãn tham chiếu từ bảng trước</x:v>
      </x:c>
      <x:c r="M40" s="11" t="str">
        <x:v>Chưa có nguồn ánh xạ</x:v>
      </x:c>
      <x:c r="N40" s="11" t="str">
        <x:v>Ban Chấp hành Trung ương Đảng</x:v>
      </x:c>
      <x:c r="O40" s="11" t="str">
        <x:v>당 중앙위원회</x:v>
      </x:c>
      <x:c r="P40" s="11" t="str">
        <x:v>Cơ quan lãnh đạo trung ương của Đảng do Đại hội đại biểu toàn quốc bầu.</x:v>
      </x:c>
      <x:c r="Q40" s="11" t="str">
        <x:v>Cơ quan lãnh đạo trung ương của Đảng do Đại hội đại biểu toàn quốc bầu.</x:v>
      </x:c>
      <x:c r="R40" s="11" t="str">
        <x:v>N2</x:v>
      </x:c>
      <x:c r="S40" s="11" t="str">
        <x:v>Giữ làm đơn vị nghiên cứu</x:v>
      </x:c>
      <x:c r="T40" s="11" t="str">
        <x:v>T113</x:v>
      </x:c>
    </x:row>
    <x:row r="41" ht="67.5" customHeight="1">
      <x:c r="A41" s="11" t="n">
        <x:v>36</x:v>
      </x:c>
      <x:c r="B41" s="11" t="str">
        <x:v>T124</x:v>
      </x:c>
      <x:c r="C41" s="11" t="str">
        <x:v>Ban Tổ chức Trung ương</x:v>
      </x:c>
      <x:c r="D41" s="40" t="str">
        <x:v>Central Organization Commission *</x:v>
      </x:c>
      <x:c r="E41" s="11" t="str">
        <x:v>중앙조직위원회</x:v>
      </x:c>
      <x:c r="F41" s="40" t="str">
        <x:v>Central Organization Commission *</x:v>
      </x:c>
      <x:c r="G41" s="40" t="str">
        <x:v>Chưa đủ hai nguồn để so khớp</x:v>
      </x:c>
      <x:c r="H41" s="41" t="str">
        <x:v>Ứng viên — còn thiếu chứng cứ</x:v>
      </x:c>
      <x:c r="I41" s="11" t="str">
        <x:v>Tên Anh Central Organization Commission chưa được nguồn Hàn đối chiếu; 중앙조직위원회 có thể khác danh xưng thông dụng của cơ quan CPV. Khóa tổ chức và thời điểm.</x:v>
      </x:c>
      <x:c r="J41" s="11" t="str">
        <x:v>* Nhãn tham chiếu từ bảng trước</x:v>
      </x:c>
      <x:c r="K41" s="11" t="str">
        <x:v>Chưa có nguồn ánh xạ</x:v>
      </x:c>
      <x:c r="L41" s="11" t="str">
        <x:v>* Nhãn tham chiếu từ bảng trước</x:v>
      </x:c>
      <x:c r="M41" s="11" t="str">
        <x:v>Chưa có nguồn ánh xạ</x:v>
      </x:c>
      <x:c r="N41" s="11" t="str">
        <x:v>Ban Tổ chức Trung ương</x:v>
      </x:c>
      <x:c r="O41" s="11" t="str">
        <x:v>중앙조직위원회</x:v>
      </x:c>
      <x:c r="P41" s="11" t="str">
        <x:v>Cơ quan Trung ương Đảng phụ trách tham mưu về tổ chức và cán bộ.</x:v>
      </x:c>
      <x:c r="Q41" s="11" t="str">
        <x:v>Cơ quan Trung ương Đảng phụ trách tham mưu về tổ chức và cán bộ.</x:v>
      </x:c>
      <x:c r="R41" s="11" t="str">
        <x:v>N2</x:v>
      </x:c>
      <x:c r="S41" s="11" t="str">
        <x:v>Giữ làm đơn vị nghiên cứu</x:v>
      </x:c>
      <x:c r="T41" s="11" t="str">
        <x:v>T124</x:v>
      </x:c>
    </x:row>
    <x:row r="42" ht="67.5" customHeight="1">
      <x:c r="A42" s="11" t="n">
        <x:v>37</x:v>
      </x:c>
      <x:c r="B42" s="11" t="str">
        <x:v>T123</x:v>
      </x:c>
      <x:c r="C42" s="11" t="str">
        <x:v>Ban Tuyên giáo và Dân vận Trung ương</x:v>
      </x:c>
      <x:c r="D42" s="40" t="str">
        <x:v>Central Commission for Communication, Education and Mass Mobilization *</x:v>
      </x:c>
      <x:c r="E42" s="11" t="str">
        <x:v>당 중앙위 선전교육대중동원위원회</x:v>
      </x:c>
      <x:c r="F42" s="40" t="str">
        <x:v>Central Commission for Communication, Education and Mass Mobilization *</x:v>
      </x:c>
      <x:c r="G42" s="40" t="str">
        <x:v>Chưa đủ hai nguồn để so khớp</x:v>
      </x:c>
      <x:c r="H42" s="41" t="str">
        <x:v>Ứng viên — còn thiếu chứng cứ</x:v>
      </x:c>
      <x:c r="I42" s="11" t="str">
        <x:v>Cơ quan hợp nhất có nhiều biến thể dịch. Cần cùng thời điểm và cùng cơ quan; không ghép các tên cũ của Ban Tuyên giáo/Ban Dân vận thành bằng chứng.</x:v>
      </x:c>
      <x:c r="J42" s="11" t="str">
        <x:v>* Nhãn tham chiếu từ bảng trước</x:v>
      </x:c>
      <x:c r="K42" s="11" t="str">
        <x:v>Chưa có nguồn ánh xạ</x:v>
      </x:c>
      <x:c r="L42" s="11" t="str">
        <x:v>* Nhãn tham chiếu từ bảng trước</x:v>
      </x:c>
      <x:c r="M42" s="11" t="str">
        <x:v>Chưa có nguồn ánh xạ</x:v>
      </x:c>
      <x:c r="N42" s="11" t="str">
        <x:v>Ban Tuyên giáo và Dân vận Trung ương</x:v>
      </x:c>
      <x:c r="O42" s="11" t="str">
        <x:v>당 중앙위 선전교육대중동원위원회</x:v>
      </x:c>
      <x:c r="P42" s="11" t="str">
        <x:v>Cơ quan Trung ương Đảng tham mưu về tuyên giáo và dân vận theo cơ cấu được dẫn.</x:v>
      </x:c>
      <x:c r="Q42" s="11" t="str">
        <x:v>Cơ quan Trung ương Đảng tham mưu về tuyên giáo và dân vận theo cơ cấu được dẫn.</x:v>
      </x:c>
      <x:c r="R42" s="11" t="str">
        <x:v>N2</x:v>
      </x:c>
      <x:c r="S42" s="11" t="str">
        <x:v>Giữ làm đơn vị nghiên cứu</x:v>
      </x:c>
      <x:c r="T42" s="11" t="str">
        <x:v>T123</x:v>
      </x:c>
    </x:row>
    <x:row r="43" ht="67.5" customHeight="1">
      <x:c r="A43" s="11" t="n">
        <x:v>38</x:v>
      </x:c>
      <x:c r="B43" s="11" t="str">
        <x:v>T107</x:v>
      </x:c>
      <x:c r="C43" s="11" t="str">
        <x:v>Bộ Chính trị</x:v>
      </x:c>
      <x:c r="D43" s="11" t="str">
        <x:v>Political Bureau; Politburo</x:v>
      </x:c>
      <x:c r="E43" s="11" t="str">
        <x:v>중앙정치국</x:v>
      </x:c>
      <x:c r="F43" s="40" t="str">
        <x:v>Politburo *</x:v>
      </x:c>
      <x:c r="G43" s="40" t="str">
        <x:v>Chưa đủ hai nguồn để so khớp</x:v>
      </x:c>
      <x:c r="H43" s="41" t="str">
        <x:v>Ứng viên — còn thiếu chứng cứ</x:v>
      </x:c>
      <x:c r="I43" s="11" t="str">
        <x:v>Giữ nguyên biểu thức đầu vào. Chỉ tên tiếng Anh dự kiến; cần xác nhận riêng mỗi nhánh.</x:v>
      </x:c>
      <x:c r="J43" s="11" t="str">
        <x:v>Đối dịch tường minh trong nguồn</x:v>
      </x:c>
      <x:c r="K43" s="37" t="str">
        <x:v>EB045
Nguồn kiểm tra, dòng 689</x:v>
      </x:c>
      <x:c r="L43" s="11" t="str">
        <x:v>* Nhãn tham chiếu từ bảng trước</x:v>
      </x:c>
      <x:c r="M43" s="11" t="str">
        <x:v>Chưa có nguồn ánh xạ</x:v>
      </x:c>
      <x:c r="N43" s="11" t="str">
        <x:v>Bộ Chính trị</x:v>
      </x:c>
      <x:c r="O43" s="11" t="str">
        <x:v>중앙정치국</x:v>
      </x:c>
      <x:c r="P43" s="11" t="str">
        <x:v>Cơ quan lãnh đạo Đảng do Trung ương bầu.</x:v>
      </x:c>
      <x:c r="Q43" s="11" t="str">
        <x:v>Cơ quan lãnh đạo Đảng do Trung ương bầu.</x:v>
      </x:c>
      <x:c r="R43" s="11" t="str">
        <x:v>N2</x:v>
      </x:c>
      <x:c r="S43" s="11" t="str">
        <x:v>Giữ làm đơn vị nghiên cứu</x:v>
      </x:c>
      <x:c r="T43" s="11" t="str">
        <x:v>T107</x:v>
      </x:c>
    </x:row>
    <x:row r="44" ht="67.5" customHeight="1">
      <x:c r="A44" s="11" t="n">
        <x:v>39</x:v>
      </x:c>
      <x:c r="B44" s="11" t="str">
        <x:v>T119</x:v>
      </x:c>
      <x:c r="C44" s="11" t="str">
        <x:v>Bộ Công an</x:v>
      </x:c>
      <x:c r="D44" s="11" t="str">
        <x:v>Ministry of Public Security</x:v>
      </x:c>
      <x:c r="E44" s="11" t="str">
        <x:v>공안부</x:v>
      </x:c>
      <x:c r="F44" s="11" t="str">
        <x:v>Ministry of Public Security</x:v>
      </x:c>
      <x:c r="G44" s="40" t="str">
        <x:v>Trùng biểu thức Anh</x:v>
      </x:c>
      <x:c r="H44" s="41" t="str">
        <x:v>Có điều kiện — chưa chốt</x:v>
      </x:c>
      <x:c r="I44" s="11" t="str">
        <x:v>Có hai mapping; phải khóa công an bộ của Việt Nam. Công an bộ của quốc gia khác không được suy thành cùng thực thể.</x:v>
      </x:c>
      <x:c r="J44" s="11" t="str">
        <x:v>Đối dịch tường minh trong nguồn</x:v>
      </x:c>
      <x:c r="K44" s="37" t="str">
        <x:v>EB046
Nguồn kiểm tra, dòng 690</x:v>
      </x:c>
      <x:c r="L44" s="11" t="str">
        <x:v>Đối dịch tường minh trong nguồn</x:v>
      </x:c>
      <x:c r="M44" s="37" t="str">
        <x:v>EB047
Nguồn kiểm tra, dòng 691</x:v>
      </x:c>
      <x:c r="N44" s="11" t="str">
        <x:v>Bộ Công an</x:v>
      </x:c>
      <x:c r="O44" s="11" t="str">
        <x:v>공안부</x:v>
      </x:c>
      <x:c r="P44" s="11" t="str">
        <x:v>Bộ thực hiện quản lý nhà nước về an ninh và trật tự, an toàn xã hội.</x:v>
      </x:c>
      <x:c r="Q44" s="11" t="str">
        <x:v>Bộ thực hiện quản lý nhà nước về an ninh và trật tự, an toàn xã hội.</x:v>
      </x:c>
      <x:c r="R44" s="11" t="str">
        <x:v>N2</x:v>
      </x:c>
      <x:c r="S44" s="11" t="str">
        <x:v>Giữ làm đơn vị nghiên cứu</x:v>
      </x:c>
      <x:c r="T44" s="11" t="str">
        <x:v>T119</x:v>
      </x:c>
    </x:row>
    <x:row r="45" ht="67.5" customHeight="1">
      <x:c r="A45" s="11" t="n">
        <x:v>40</x:v>
      </x:c>
      <x:c r="B45" s="11" t="str">
        <x:v>M025</x:v>
      </x:c>
      <x:c r="C45" s="11" t="str">
        <x:v>Bộ Công Thương</x:v>
      </x:c>
      <x:c r="D45" s="11" t="str">
        <x:v>Ministry of Industry and Trade</x:v>
      </x:c>
      <x:c r="E45" s="11" t="str">
        <x:v>베트남 산업통상부</x:v>
      </x:c>
      <x:c r="F45" s="11" t="str">
        <x:v>Ministry of Industry and Trade</x:v>
      </x:c>
      <x:c r="G45" s="38" t="str">
        <x:v>Trùng biểu thức Anh</x:v>
      </x:c>
      <x:c r="H45" s="39" t="str">
        <x:v>Xác nhận — cùng biểu thức Anh</x:v>
      </x:c>
      <x:c r="I45" s="11" t="str">
        <x:v>Xác nhận định danh Bộ Công Thương Việt Nam trong các nguồn lịch sử; không dùng nguồn này để suy cơ cấu hiện hành.</x:v>
      </x:c>
      <x:c r="J45" s="11" t="str">
        <x:v>Đối dịch tường minh trong nguồn</x:v>
      </x:c>
      <x:c r="K45" s="37" t="str">
        <x:v>EB048
Nguồn kiểm tra, dòng 692</x:v>
      </x:c>
      <x:c r="L45" s="11" t="str">
        <x:v>Đối dịch tường minh trong nguồn</x:v>
      </x:c>
      <x:c r="M45" s="37" t="str">
        <x:v>EB049
Nguồn kiểm tra, dòng 693</x:v>
      </x:c>
      <x:c r="N45" s="11" t="str">
        <x:v>Bộ Công Thương</x:v>
      </x:c>
      <x:c r="O45" s="11" t="str">
        <x:v>베트남 산업통상부</x:v>
      </x:c>
      <x:c r="P45" s="11" t="str">
        <x:v>Bộ quản lý nhà nước về công nghiệp và thương mại cùng các lĩnh vực được giao.</x:v>
      </x:c>
      <x:c r="Q45" s="11" t="str">
        <x:v>Bộ quản lý nhà nước về công nghiệp và thương mại cùng các lĩnh vực được giao.</x:v>
      </x:c>
      <x:c r="R45" s="11" t="str">
        <x:v>N2</x:v>
      </x:c>
      <x:c r="S45" s="11" t="str">
        <x:v>Giữ làm đơn vị nghiên cứu</x:v>
      </x:c>
      <x:c r="T45" s="11" t="str">
        <x:v>M025</x:v>
      </x:c>
    </x:row>
    <x:row r="46" ht="67.5" customHeight="1">
      <x:c r="A46" s="11" t="n">
        <x:v>41</x:v>
      </x:c>
      <x:c r="B46" s="11" t="str">
        <x:v>M023</x:v>
      </x:c>
      <x:c r="C46" s="11" t="str">
        <x:v>Bộ Khoa học và Công nghệ</x:v>
      </x:c>
      <x:c r="D46" s="11" t="str">
        <x:v>Ministry of Science and Technology</x:v>
      </x:c>
      <x:c r="E46" s="11" t="str">
        <x:v>과학기술부</x:v>
      </x:c>
      <x:c r="F46" s="11" t="str">
        <x:v>Ministry of Science and Technology</x:v>
      </x:c>
      <x:c r="G46" s="40" t="str">
        <x:v>Trùng biểu thức Anh</x:v>
      </x:c>
      <x:c r="H46" s="41" t="str">
        <x:v>Có điều kiện — chưa chốt</x:v>
      </x:c>
      <x:c r="I46" s="11" t="str">
        <x:v>Cả hai nguồn chỉ Bộ Khoa học và Công nghệ Việt Nam; 과학기술부 đơn lẻ cần ngữ cảnh quốc gia và thời điểm.</x:v>
      </x:c>
      <x:c r="J46" s="11" t="str">
        <x:v>Đối dịch tường minh trong nguồn</x:v>
      </x:c>
      <x:c r="K46" s="37" t="str">
        <x:v>EB050
Nguồn kiểm tra, dòng 694</x:v>
      </x:c>
      <x:c r="L46" s="11" t="str">
        <x:v>Đối dịch tường minh trong nguồn</x:v>
      </x:c>
      <x:c r="M46" s="37" t="str">
        <x:v>EB051
Nguồn kiểm tra, dòng 695</x:v>
      </x:c>
      <x:c r="N46" s="11" t="str">
        <x:v>Bộ Khoa học và Công nghệ</x:v>
      </x:c>
      <x:c r="O46" s="11" t="str">
        <x:v>과학기술부</x:v>
      </x:c>
      <x:c r="P46" s="11" t="str">
        <x:v>Bộ quản lý nhà nước về khoa học, công nghệ và các lĩnh vực được giao trong cơ cấu tương ứng.</x:v>
      </x:c>
      <x:c r="Q46" s="11" t="str">
        <x:v>Bộ quản lý nhà nước về khoa học, công nghệ và các lĩnh vực được giao trong cơ cấu tương ứng.</x:v>
      </x:c>
      <x:c r="R46" s="11" t="str">
        <x:v>N2</x:v>
      </x:c>
      <x:c r="S46" s="11" t="str">
        <x:v>Giữ làm đơn vị nghiên cứu</x:v>
      </x:c>
      <x:c r="T46" s="11" t="str">
        <x:v>M023</x:v>
      </x:c>
    </x:row>
    <x:row r="47" ht="67.5" customHeight="1">
      <x:c r="A47" s="11" t="n">
        <x:v>42</x:v>
      </x:c>
      <x:c r="B47" s="11" t="str">
        <x:v>T130</x:v>
      </x:c>
      <x:c r="C47" s="11" t="str">
        <x:v>bộ máy nhà nước</x:v>
      </x:c>
      <x:c r="D47" s="40" t="str">
        <x:v>state apparatus *</x:v>
      </x:c>
      <x:c r="E47" s="11" t="str">
        <x:v>국가기구</x:v>
      </x:c>
      <x:c r="F47" s="40" t="str">
        <x:v>state apparatus *</x:v>
      </x:c>
      <x:c r="G47" s="40" t="str">
        <x:v>Chưa đủ hai nguồn để so khớp</x:v>
      </x:c>
      <x:c r="H47" s="41" t="str">
        <x:v>Ứng viên — còn thiếu chứng cứ</x:v>
      </x:c>
      <x:c r="I47" s="11" t="str">
        <x:v>국가기구 có thể chỉ cơ quan nhà nước hoặc toàn bộ bộ máy. State apparatus dự kiến chỉ nghĩa toàn bộ tổ chức quyền lực, cần câu gốc.</x:v>
      </x:c>
      <x:c r="J47" s="11" t="str">
        <x:v>* Nhãn tham chiếu từ bảng trước</x:v>
      </x:c>
      <x:c r="K47" s="11" t="str">
        <x:v>Chưa có nguồn ánh xạ</x:v>
      </x:c>
      <x:c r="L47" s="11" t="str">
        <x:v>* Nhãn tham chiếu từ bảng trước</x:v>
      </x:c>
      <x:c r="M47" s="11" t="str">
        <x:v>Chưa có nguồn ánh xạ</x:v>
      </x:c>
      <x:c r="N47" s="11" t="str">
        <x:v>bộ máy nhà nước</x:v>
      </x:c>
      <x:c r="O47" s="11" t="str">
        <x:v>국가기구</x:v>
      </x:c>
      <x:c r="P47" s="11" t="str">
        <x:v>Tổng thể cơ quan được tổ chức để thực hiện chức năng của Nhà nước.</x:v>
      </x:c>
      <x:c r="Q47" s="11" t="str">
        <x:v>Tổng thể cơ quan được tổ chức để thực hiện chức năng của Nhà nước.</x:v>
      </x:c>
      <x:c r="R47" s="11" t="str">
        <x:v>N2</x:v>
      </x:c>
      <x:c r="S47" s="11" t="str">
        <x:v>Giữ làm đơn vị nghiên cứu</x:v>
      </x:c>
      <x:c r="T47" s="11" t="str">
        <x:v>T130</x:v>
      </x:c>
    </x:row>
    <x:row r="48" ht="67.5" customHeight="1">
      <x:c r="A48" s="11" t="n">
        <x:v>43</x:v>
      </x:c>
      <x:c r="B48" s="11" t="str">
        <x:v>T120</x:v>
      </x:c>
      <x:c r="C48" s="11" t="str">
        <x:v>Bộ Ngoại giao</x:v>
      </x:c>
      <x:c r="D48" s="11" t="str">
        <x:v>Ministry of Foreign Affairs</x:v>
      </x:c>
      <x:c r="E48" s="11" t="str">
        <x:v>외교부</x:v>
      </x:c>
      <x:c r="F48" s="40" t="str">
        <x:v>Ministry of Foreign Affairs (Viet Nam) *</x:v>
      </x:c>
      <x:c r="G48" s="40" t="str">
        <x:v>Chưa đủ hai nguồn để so khớp</x:v>
      </x:c>
      <x:c r="H48" s="41" t="str">
        <x:v>Ứng viên — còn thiếu chứng cứ</x:v>
      </x:c>
      <x:c r="I48" s="11" t="str">
        <x:v>Tên Việt–Anh có bảng chính thức; 외교부 cần đối chiếu với cơ quan Việt Nam hoặc tên loại tương ứng, không dùng homepage MOFA Hàn để tự xác nhận cơ quan Việt Nam.</x:v>
      </x:c>
      <x:c r="J48" s="11" t="str">
        <x:v>Đối dịch tường minh trong nguồn</x:v>
      </x:c>
      <x:c r="K48" s="37" t="str">
        <x:v>EB052
Nguồn kiểm tra, dòng 696</x:v>
      </x:c>
      <x:c r="L48" s="11" t="str">
        <x:v>* Nhãn tham chiếu từ bảng trước</x:v>
      </x:c>
      <x:c r="M48" s="11" t="str">
        <x:v>Chưa có nguồn ánh xạ</x:v>
      </x:c>
      <x:c r="N48" s="11" t="str">
        <x:v>Bộ Ngoại giao</x:v>
      </x:c>
      <x:c r="O48" s="11" t="str">
        <x:v>외교부</x:v>
      </x:c>
      <x:c r="P48" s="11" t="str">
        <x:v>Bộ quản lý và tổ chức thực hiện công tác đối ngoại của Nhà nước.</x:v>
      </x:c>
      <x:c r="Q48" s="11" t="str">
        <x:v>Bộ quản lý và tổ chức thực hiện công tác đối ngoại của Nhà nước.</x:v>
      </x:c>
      <x:c r="R48" s="11" t="str">
        <x:v>N2</x:v>
      </x:c>
      <x:c r="S48" s="11" t="str">
        <x:v>Giữ làm đơn vị nghiên cứu</x:v>
      </x:c>
      <x:c r="T48" s="11" t="str">
        <x:v>T120</x:v>
      </x:c>
    </x:row>
    <x:row r="49" ht="67.5" customHeight="1">
      <x:c r="A49" s="11" t="n">
        <x:v>44</x:v>
      </x:c>
      <x:c r="B49" s="11" t="str">
        <x:v>T114</x:v>
      </x:c>
      <x:c r="C49" s="11" t="str">
        <x:v>Bộ Quốc phòng</x:v>
      </x:c>
      <x:c r="D49" s="11" t="str">
        <x:v>Ministry of National Defence</x:v>
      </x:c>
      <x:c r="E49" s="11" t="str">
        <x:v>국방부</x:v>
      </x:c>
      <x:c r="F49" s="40" t="str">
        <x:v>Ministry of National Defense (Viet Nam) *</x:v>
      </x:c>
      <x:c r="G49" s="40" t="str">
        <x:v>Chưa đủ hai nguồn để so khớp</x:v>
      </x:c>
      <x:c r="H49" s="41" t="str">
        <x:v>Ứng viên — còn thiếu chứng cứ</x:v>
      </x:c>
      <x:c r="I49" s="11" t="str">
        <x:v>Tên Việt–Anh được chứng thực lịch sử; 국방부 có thể của nhiều quốc gia. Defense/Defence chỉ là biến thể chính tả, nhưng chưa xác nhận nhánh Hàn.</x:v>
      </x:c>
      <x:c r="J49" s="11" t="str">
        <x:v>Đối dịch tường minh trong nguồn</x:v>
      </x:c>
      <x:c r="K49" s="37" t="str">
        <x:v>EB053
Nguồn kiểm tra, dòng 697</x:v>
      </x:c>
      <x:c r="L49" s="11" t="str">
        <x:v>* Nhãn tham chiếu từ bảng trước</x:v>
      </x:c>
      <x:c r="M49" s="11" t="str">
        <x:v>Chưa có nguồn ánh xạ</x:v>
      </x:c>
      <x:c r="N49" s="11" t="str">
        <x:v>Bộ Quốc phòng</x:v>
      </x:c>
      <x:c r="O49" s="11" t="str">
        <x:v>국방부</x:v>
      </x:c>
      <x:c r="P49" s="11" t="str">
        <x:v>Bộ quản lý nhà nước về quốc phòng.</x:v>
      </x:c>
      <x:c r="Q49" s="11" t="str">
        <x:v>Bộ quản lý nhà nước về quốc phòng.</x:v>
      </x:c>
      <x:c r="R49" s="11" t="str">
        <x:v>N2</x:v>
      </x:c>
      <x:c r="S49" s="11" t="str">
        <x:v>Giữ làm đơn vị nghiên cứu</x:v>
      </x:c>
      <x:c r="T49" s="11" t="str">
        <x:v>T114</x:v>
      </x:c>
    </x:row>
    <x:row r="50" ht="67.5" customHeight="1">
      <x:c r="A50" s="11" t="n">
        <x:v>45</x:v>
      </x:c>
      <x:c r="B50" s="11" t="str">
        <x:v>M029</x:v>
      </x:c>
      <x:c r="C50" s="11" t="str">
        <x:v>Bộ Y tế</x:v>
      </x:c>
      <x:c r="D50" s="11" t="str">
        <x:v>Ministry of Health</x:v>
      </x:c>
      <x:c r="E50" s="11" t="str">
        <x:v>베트남 보건부</x:v>
      </x:c>
      <x:c r="F50" s="11" t="str">
        <x:v>Ministry of Health</x:v>
      </x:c>
      <x:c r="G50" s="38" t="str">
        <x:v>Trùng biểu thức Anh</x:v>
      </x:c>
      <x:c r="H50" s="39" t="str">
        <x:v>Xác nhận — cùng biểu thức Anh</x:v>
      </x:c>
      <x:c r="I50" s="11" t="str">
        <x:v>Hai nguồn định danh Bộ Y tế Việt Nam; xác nhận tên riêng của cơ quan, không suy mọi 보건부 là Bộ Y tế Việt Nam.</x:v>
      </x:c>
      <x:c r="J50" s="11" t="str">
        <x:v>Đối chiếu văn bản song song</x:v>
      </x:c>
      <x:c r="K50" s="37" t="str">
        <x:v>EB054
Nguồn kiểm tra, dòng 698</x:v>
      </x:c>
      <x:c r="L50" s="11" t="str">
        <x:v>Đối dịch tường minh trong nguồn</x:v>
      </x:c>
      <x:c r="M50" s="37" t="str">
        <x:v>EB055
Nguồn kiểm tra, dòng 699</x:v>
      </x:c>
      <x:c r="N50" s="11" t="str">
        <x:v>Bộ Y tế</x:v>
      </x:c>
      <x:c r="O50" s="11" t="str">
        <x:v>베트남 보건부</x:v>
      </x:c>
      <x:c r="P50" s="11" t="str">
        <x:v>Bộ quản lý nhà nước về y tế và các lĩnh vực được giao.</x:v>
      </x:c>
      <x:c r="Q50" s="11" t="str">
        <x:v>Bộ quản lý nhà nước về y tế và các lĩnh vực được giao.</x:v>
      </x:c>
      <x:c r="R50" s="11" t="str">
        <x:v>N2</x:v>
      </x:c>
      <x:c r="S50" s="11" t="str">
        <x:v>Giữ làm đơn vị nghiên cứu</x:v>
      </x:c>
      <x:c r="T50" s="11" t="str">
        <x:v>M029</x:v>
      </x:c>
    </x:row>
    <x:row r="51" ht="67.5" customHeight="1">
      <x:c r="A51" s="11" t="n">
        <x:v>46</x:v>
      </x:c>
      <x:c r="B51" s="11" t="str">
        <x:v>M039</x:v>
      </x:c>
      <x:c r="C51" s="11" t="str">
        <x:v>Cảnh sát biển Việt Nam</x:v>
      </x:c>
      <x:c r="D51" s="40" t="str">
        <x:v>Vietnam Coast Guard *</x:v>
      </x:c>
      <x:c r="E51" s="11" t="str">
        <x:v>베트남 해경</x:v>
      </x:c>
      <x:c r="F51" s="40" t="str">
        <x:v>Vietnam Coast Guard *</x:v>
      </x:c>
      <x:c r="G51" s="40" t="str">
        <x:v>Chưa đủ hai nguồn để so khớp</x:v>
      </x:c>
      <x:c r="H51" s="41" t="str">
        <x:v>Ứng viên — còn thiếu chứng cứ</x:v>
      </x:c>
      <x:c r="I51" s="11" t="str">
        <x:v>Giữ nguyên biểu thức đầu vào. Chỉ tên tiếng Anh dự kiến; cần xác nhận riêng mỗi nhánh.</x:v>
      </x:c>
      <x:c r="J51" s="11" t="str">
        <x:v>* Nhãn tham chiếu từ bảng trước</x:v>
      </x:c>
      <x:c r="K51" s="11" t="str">
        <x:v>Chưa có nguồn ánh xạ</x:v>
      </x:c>
      <x:c r="L51" s="11" t="str">
        <x:v>* Nhãn tham chiếu từ bảng trước</x:v>
      </x:c>
      <x:c r="M51" s="11" t="str">
        <x:v>Chưa có nguồn ánh xạ</x:v>
      </x:c>
      <x:c r="N51" s="11" t="str">
        <x:v>Cảnh sát biển Việt Nam</x:v>
      </x:c>
      <x:c r="O51" s="11" t="str">
        <x:v>베트남 해경</x:v>
      </x:c>
      <x:c r="P51" s="11" t="str">
        <x:v>Lực lượng chuyên trách của Việt Nam thực thi pháp luật và bảo vệ an ninh, trật tự trên biển theo thẩm quyền.</x:v>
      </x:c>
      <x:c r="Q51" s="11" t="str">
        <x:v>Lực lượng chuyên trách của Việt Nam thực thi pháp luật và bảo vệ an ninh, trật tự trên biển theo thẩm quyền.</x:v>
      </x:c>
      <x:c r="R51" s="11" t="str">
        <x:v>N2</x:v>
      </x:c>
      <x:c r="S51" s="11" t="str">
        <x:v>Giữ làm đơn vị nghiên cứu</x:v>
      </x:c>
      <x:c r="T51" s="11" t="str">
        <x:v>M039</x:v>
      </x:c>
    </x:row>
    <x:row r="52" ht="67.5" customHeight="1">
      <x:c r="A52" s="11" t="n">
        <x:v>47</x:v>
      </x:c>
      <x:c r="B52" s="11" t="str">
        <x:v>T105</x:v>
      </x:c>
      <x:c r="C52" s="11" t="str">
        <x:v>Chính phủ</x:v>
      </x:c>
      <x:c r="D52" s="11" t="str">
        <x:v>Government</x:v>
      </x:c>
      <x:c r="E52" s="11" t="str">
        <x:v>정부</x:v>
      </x:c>
      <x:c r="F52" s="40" t="str">
        <x:v>Government *</x:v>
      </x:c>
      <x:c r="G52" s="40" t="str">
        <x:v>Chưa đủ hai nguồn để so khớp</x:v>
      </x:c>
      <x:c r="H52" s="41" t="str">
        <x:v>Ứng viên — còn thiếu chứng cứ</x:v>
      </x:c>
      <x:c r="I52" s="11" t="str">
        <x:v>Giữ nguyên biểu thức đầu vào. Chỉ tên tiếng Anh dự kiến; cần xác nhận riêng mỗi nhánh.</x:v>
      </x:c>
      <x:c r="J52" s="11" t="str">
        <x:v>Đối chiếu văn bản song song</x:v>
      </x:c>
      <x:c r="K52" s="37" t="str">
        <x:v>EB056
Nguồn kiểm tra, dòng 700</x:v>
      </x:c>
      <x:c r="L52" s="11" t="str">
        <x:v>* Nhãn tham chiếu từ bảng trước</x:v>
      </x:c>
      <x:c r="M52" s="11" t="str">
        <x:v>Chưa có nguồn ánh xạ</x:v>
      </x:c>
      <x:c r="N52" s="11" t="str">
        <x:v>Chính phủ</x:v>
      </x:c>
      <x:c r="O52" s="11" t="str">
        <x:v>정부</x:v>
      </x:c>
      <x:c r="P52" s="11" t="str">
        <x:v>Cơ quan hành pháp và hành chính nhà nước cao nhất theo thể chế Việt Nam.</x:v>
      </x:c>
      <x:c r="Q52" s="11" t="str">
        <x:v>Cơ quan hành pháp và hành chính nhà nước cao nhất theo thể chế Việt Nam.</x:v>
      </x:c>
      <x:c r="R52" s="11" t="str">
        <x:v>N2</x:v>
      </x:c>
      <x:c r="S52" s="11" t="str">
        <x:v>Giữ làm đơn vị nghiên cứu</x:v>
      </x:c>
      <x:c r="T52" s="11" t="str">
        <x:v>T105</x:v>
      </x:c>
    </x:row>
    <x:row r="53" ht="67.5" customHeight="1">
      <x:c r="A53" s="11" t="n">
        <x:v>48</x:v>
      </x:c>
      <x:c r="B53" s="11" t="str">
        <x:v>M051</x:v>
      </x:c>
      <x:c r="C53" s="11" t="str">
        <x:v>cơ quan ngôn luận của Đảng</x:v>
      </x:c>
      <x:c r="D53" s="40" t="str">
        <x:v>press organ of the Party (organization) *</x:v>
      </x:c>
      <x:c r="E53" s="11" t="str">
        <x:v>당 기관지</x:v>
      </x:c>
      <x:c r="F53" s="40" t="str">
        <x:v>party newspaper; party organ (publication) *</x:v>
      </x:c>
      <x:c r="G53" s="44" t="str">
        <x:v>Khác biểu thức / phạm vi</x:v>
      </x:c>
      <x:c r="H53" s="45" t="str">
        <x:v>Lệch nghĩa / phạm vi</x:v>
      </x:c>
      <x:c r="I53" s="11" t="str">
        <x:v>기관지 là ấn phẩm, còn nghĩa Việt đang chọn là cơ quan báo chí. Chữ organ trong tiếng Anh đa nghĩa có thể che khuất khác biệt này; không xác nhận chỉ vì cùng organ.</x:v>
      </x:c>
      <x:c r="J53" s="11" t="str">
        <x:v>* Nhãn tham chiếu từ bảng trước</x:v>
      </x:c>
      <x:c r="K53" s="11" t="str">
        <x:v>Chưa có nguồn ánh xạ</x:v>
      </x:c>
      <x:c r="L53" s="11" t="str">
        <x:v>* Đề xuất để tiếp tục tra cứu</x:v>
      </x:c>
      <x:c r="M53" s="11" t="str">
        <x:v>Chưa có nguồn ánh xạ</x:v>
      </x:c>
      <x:c r="N53" s="11" t="str">
        <x:v>cơ quan ngôn luận của Đảng</x:v>
      </x:c>
      <x:c r="O53" s="11" t="str">
        <x:v>당 기관지</x:v>
      </x:c>
      <x:c r="P53" s="11" t="str">
        <x:v>Cơ quan báo chí thực hiện chức năng phát ngôn của đảng.</x:v>
      </x:c>
      <x:c r="Q53" s="11" t="str">
        <x:v>Ấn phẩm báo/tạp chí của đảng, truyền đạt lập trường của đảng.</x:v>
      </x:c>
      <x:c r="R53" s="11" t="str">
        <x:v>N2</x:v>
      </x:c>
      <x:c r="S53" s="11" t="str">
        <x:v>Cần xem xét tư cách/phạm vi</x:v>
      </x:c>
      <x:c r="T53" s="11" t="str">
        <x:v>M051</x:v>
      </x:c>
    </x:row>
    <x:row r="54" ht="67.5" customHeight="1">
      <x:c r="A54" s="11" t="n">
        <x:v>49</x:v>
      </x:c>
      <x:c r="B54" s="11" t="str">
        <x:v>T171</x:v>
      </x:c>
      <x:c r="C54" s="11" t="str">
        <x:v>Đại hội đồng Liên hợp quốc</x:v>
      </x:c>
      <x:c r="D54" s="11" t="str">
        <x:v>General Assembly</x:v>
      </x:c>
      <x:c r="E54" s="11" t="str">
        <x:v>유엔 총회</x:v>
      </x:c>
      <x:c r="F54" s="11" t="str">
        <x:v>United Nations General Assembly</x:v>
      </x:c>
      <x:c r="G54" s="42" t="str">
        <x:v>Biến thể / có nhãn Anh chung</x:v>
      </x:c>
      <x:c r="H54" s="43" t="str">
        <x:v>Tương ứng — biến thể Anh</x:v>
      </x:c>
      <x:c r="I54" s="11" t="str">
        <x:v>General Assembly trong ngữ cảnh LHQ và United Nations General Assembly cùng đối tượng; khác mức độ nêu đầy đủ tên, không khác nghĩa.</x:v>
      </x:c>
      <x:c r="J54" s="11" t="str">
        <x:v>Đối dịch tường minh trong nguồn</x:v>
      </x:c>
      <x:c r="K54" s="37" t="str">
        <x:v>EB057
Nguồn kiểm tra, dòng 701</x:v>
      </x:c>
      <x:c r="L54" s="11" t="str">
        <x:v>Đối dịch tường minh trong nguồn</x:v>
      </x:c>
      <x:c r="M54" s="37" t="str">
        <x:v>EB058
Nguồn kiểm tra, dòng 702</x:v>
      </x:c>
      <x:c r="N54" s="11" t="str">
        <x:v>Đại hội đồng Liên hợp quốc</x:v>
      </x:c>
      <x:c r="O54" s="11" t="str">
        <x:v>유엔 총회</x:v>
      </x:c>
      <x:c r="P54" s="11" t="str">
        <x:v>Cơ quan thảo luận, hoạch định chính sách và đại diện rộng rãi của Liên hợp quốc, gồm các quốc gia thành viên.</x:v>
      </x:c>
      <x:c r="Q54" s="11" t="str">
        <x:v>Cơ quan thảo luận, hoạch định chính sách và đại diện rộng rãi của Liên hợp quốc, gồm các quốc gia thành viên.</x:v>
      </x:c>
      <x:c r="R54" s="11" t="str">
        <x:v>N2</x:v>
      </x:c>
      <x:c r="S54" s="11" t="str">
        <x:v>Giữ làm đơn vị nghiên cứu</x:v>
      </x:c>
      <x:c r="T54" s="11" t="str">
        <x:v>T171</x:v>
      </x:c>
    </x:row>
    <x:row r="55" ht="67.5" customHeight="1">
      <x:c r="A55" s="11" t="n">
        <x:v>50</x:v>
      </x:c>
      <x:c r="B55" s="11" t="str">
        <x:v>M037</x:v>
      </x:c>
      <x:c r="C55" s="11" t="str">
        <x:v>đại sứ quán</x:v>
      </x:c>
      <x:c r="D55" s="11" t="str">
        <x:v>embassy</x:v>
      </x:c>
      <x:c r="E55" s="11" t="str">
        <x:v>대사관</x:v>
      </x:c>
      <x:c r="F55" s="11" t="str">
        <x:v>embassy</x:v>
      </x:c>
      <x:c r="G55" s="38" t="str">
        <x:v>Trùng biểu thức Anh</x:v>
      </x:c>
      <x:c r="H55" s="39" t="str">
        <x:v>Xác nhận — cùng biểu thức Anh</x:v>
      </x:c>
      <x:c r="I55" s="11" t="str">
        <x:v>Nhánh Việt có căn chỉnh trong bản tin song ngữ chính cơ quan; nhánh Hàn có mục từ dictionary. Cùng nghĩa cơ quan đại diện, không nghĩa tòa nhà.</x:v>
      </x:c>
      <x:c r="J55" s="11" t="str">
        <x:v>Đối chiếu văn bản song song</x:v>
      </x:c>
      <x:c r="K55" s="37" t="str">
        <x:v>EB059
Nguồn kiểm tra, dòng 703</x:v>
      </x:c>
      <x:c r="L55" s="11" t="str">
        <x:v>Đối dịch trong từ điển</x:v>
      </x:c>
      <x:c r="M55" s="37" t="str">
        <x:v>EB060
Nguồn kiểm tra, dòng 704</x:v>
      </x:c>
      <x:c r="N55" s="11" t="str">
        <x:v>đại sứ quán</x:v>
      </x:c>
      <x:c r="O55" s="11" t="str">
        <x:v>대사관</x:v>
      </x:c>
      <x:c r="P55" s="11" t="str">
        <x:v>Cơ quan đại diện ngoại giao cấp đại sứ của một quốc gia tại quốc gia khác.</x:v>
      </x:c>
      <x:c r="Q55" s="11" t="str">
        <x:v>Cơ quan do đại sứ đứng đầu thực hiện ngoại giao tại nước khác.</x:v>
      </x:c>
      <x:c r="R55" s="11" t="str">
        <x:v>N2</x:v>
      </x:c>
      <x:c r="S55" s="11" t="str">
        <x:v>Giữ làm đơn vị nghiên cứu</x:v>
      </x:c>
      <x:c r="T55" s="11" t="str">
        <x:v>M037</x:v>
      </x:c>
    </x:row>
    <x:row r="56" ht="67.5" customHeight="1">
      <x:c r="A56" s="11" t="n">
        <x:v>51</x:v>
      </x:c>
      <x:c r="B56" s="11" t="str">
        <x:v>T110</x:v>
      </x:c>
      <x:c r="C56" s="11" t="str">
        <x:v>đảng bộ</x:v>
      </x:c>
      <x:c r="D56" s="40" t="str">
        <x:v>Party organization *</x:v>
      </x:c>
      <x:c r="E56" s="11" t="str">
        <x:v>당 조직</x:v>
      </x:c>
      <x:c r="F56" s="40" t="str">
        <x:v>party organization *</x:v>
      </x:c>
      <x:c r="G56" s="44" t="str">
        <x:v>Biến thể / có nhãn Anh chung</x:v>
      </x:c>
      <x:c r="H56" s="45" t="str">
        <x:v>Lệch nghĩa / phạm vi</x:v>
      </x:c>
      <x:c r="I56" s="11" t="str">
        <x:v>Đảng bộ là một loại tổ chức đảng có phạm vi xác định; 당 조직 rộng hơn. Cùng dự kiến Party organization không xóa chênh lệch phạm vi; cả hai nhánh còn thiếu mapping độc lập.</x:v>
      </x:c>
      <x:c r="J56" s="11" t="str">
        <x:v>* Nhãn tham chiếu từ bảng trước</x:v>
      </x:c>
      <x:c r="K56" s="11" t="str">
        <x:v>Chưa có nguồn ánh xạ</x:v>
      </x:c>
      <x:c r="L56" s="11" t="str">
        <x:v>* Nhãn tham chiếu từ bảng trước</x:v>
      </x:c>
      <x:c r="M56" s="11" t="str">
        <x:v>Chưa có nguồn ánh xạ</x:v>
      </x:c>
      <x:c r="N56" s="11" t="str">
        <x:v>đảng bộ</x:v>
      </x:c>
      <x:c r="O56" s="11" t="str">
        <x:v>당 조직</x:v>
      </x:c>
      <x:c r="P56" s="11" t="str">
        <x:v>Tổ chức đảng tại một địa bàn hoặc đơn vị.</x:v>
      </x:c>
      <x:c r="Q56" s="11" t="str">
        <x:v>Tổ chức đảng nói chung, không tự mã hóa loại đảng bộ.</x:v>
      </x:c>
      <x:c r="R56" s="11" t="str">
        <x:v>N2</x:v>
      </x:c>
      <x:c r="S56" s="11" t="str">
        <x:v>Cần xem xét tư cách/phạm vi</x:v>
      </x:c>
      <x:c r="T56" s="11" t="str">
        <x:v>T110</x:v>
      </x:c>
    </x:row>
    <x:row r="57" ht="67.5" customHeight="1">
      <x:c r="A57" s="11" t="n">
        <x:v>52</x:v>
      </x:c>
      <x:c r="B57" s="11" t="str">
        <x:v>T109</x:v>
      </x:c>
      <x:c r="C57" s="11" t="str">
        <x:v>Đảng Cộng sản</x:v>
      </x:c>
      <x:c r="D57" s="40" t="str">
        <x:v>Communist Party *</x:v>
      </x:c>
      <x:c r="E57" s="11" t="str">
        <x:v>공산당</x:v>
      </x:c>
      <x:c r="F57" s="11" t="str">
        <x:v>communist party</x:v>
      </x:c>
      <x:c r="G57" s="40" t="str">
        <x:v>Chưa đủ hai nguồn để so khớp</x:v>
      </x:c>
      <x:c r="H57" s="41" t="str">
        <x:v>Ứng viên — còn thiếu chứng cứ</x:v>
      </x:c>
      <x:c r="I57" s="11" t="str">
        <x:v>Giữ nguyên biểu thức đầu vào. Chỉ tên tiếng Anh dự kiến; cần xác nhận riêng mỗi nhánh.</x:v>
      </x:c>
      <x:c r="J57" s="11" t="str">
        <x:v>* Nhãn tham chiếu từ bảng trước</x:v>
      </x:c>
      <x:c r="K57" s="11" t="str">
        <x:v>Chưa có nguồn ánh xạ</x:v>
      </x:c>
      <x:c r="L57" s="11" t="str">
        <x:v>Đối dịch trong từ điển</x:v>
      </x:c>
      <x:c r="M57" s="37" t="str">
        <x:v>EB061
Nguồn kiểm tra, dòng 705</x:v>
      </x:c>
      <x:c r="N57" s="11" t="str">
        <x:v>Đảng Cộng sản</x:v>
      </x:c>
      <x:c r="O57" s="11" t="str">
        <x:v>공산당</x:v>
      </x:c>
      <x:c r="P57" s="11" t="str">
        <x:v>Loại chính đảng theo tư tưởng, mục tiêu cộng sản.</x:v>
      </x:c>
      <x:c r="Q57" s="11" t="str">
        <x:v>Một chính đảng theo chủ nghĩa cộng sản.</x:v>
      </x:c>
      <x:c r="R57" s="11" t="str">
        <x:v>N2</x:v>
      </x:c>
      <x:c r="S57" s="11" t="str">
        <x:v>Giữ làm đơn vị nghiên cứu</x:v>
      </x:c>
      <x:c r="T57" s="11" t="str">
        <x:v>T109</x:v>
      </x:c>
    </x:row>
    <x:row r="58" ht="67.5" customHeight="1">
      <x:c r="A58" s="11" t="n">
        <x:v>53</x:v>
      </x:c>
      <x:c r="B58" s="11" t="str">
        <x:v>T111</x:v>
      </x:c>
      <x:c r="C58" s="11" t="str">
        <x:v>Đảng Cộng sản Việt Nam</x:v>
      </x:c>
      <x:c r="D58" s="11" t="str">
        <x:v>Communist Party of Viet Nam</x:v>
      </x:c>
      <x:c r="E58" s="11" t="str">
        <x:v>베트남 공산당</x:v>
      </x:c>
      <x:c r="F58" s="11" t="str">
        <x:v>Communist Party of Vietnam</x:v>
      </x:c>
      <x:c r="G58" s="42" t="str">
        <x:v>Biến thể / có nhãn Anh chung</x:v>
      </x:c>
      <x:c r="H58" s="43" t="str">
        <x:v>Tương ứng — biến thể Anh</x:v>
      </x:c>
      <x:c r="I58" s="11" t="str">
        <x:v>Xác nhận cùng tên riêng ĐCSVN; Viet Nam/Vietnam là biến thể chữ viết. C167 trùng khái niệm T111.</x:v>
      </x:c>
      <x:c r="J58" s="11" t="str">
        <x:v>Đối chiếu văn bản song song</x:v>
      </x:c>
      <x:c r="K58" s="37" t="str">
        <x:v>EB062
Nguồn kiểm tra, dòng 706</x:v>
      </x:c>
      <x:c r="L58" s="11" t="str">
        <x:v>Đối dịch tường minh trong nguồn</x:v>
      </x:c>
      <x:c r="M58" s="37" t="str">
        <x:v>EB063
Nguồn kiểm tra, dòng 707</x:v>
      </x:c>
      <x:c r="N58" s="11" t="str">
        <x:v>Đảng Cộng sản Việt Nam</x:v>
      </x:c>
      <x:c r="O58" s="11" t="str">
        <x:v>베트남 공산당</x:v>
      </x:c>
      <x:c r="P58" s="11" t="str">
        <x:v>Chính đảng lãnh đạo Nhà nước và xã hội Việt Nam.</x:v>
      </x:c>
      <x:c r="Q58" s="11" t="str">
        <x:v>Chính đảng lãnh đạo Nhà nước và xã hội Việt Nam.</x:v>
      </x:c>
      <x:c r="R58" s="11" t="str">
        <x:v>N2</x:v>
      </x:c>
      <x:c r="S58" s="11" t="str">
        <x:v>Giữ làm đơn vị nghiên cứu</x:v>
      </x:c>
      <x:c r="T58" s="11" t="str">
        <x:v>T111</x:v>
      </x:c>
    </x:row>
    <x:row r="59" ht="67.5" customHeight="1">
      <x:c r="A59" s="11" t="n">
        <x:v>54</x:v>
      </x:c>
      <x:c r="B59" s="11" t="str">
        <x:v>T125</x:v>
      </x:c>
      <x:c r="C59" s="11" t="str">
        <x:v>Đảng Nhân dân Cách mạng Lào</x:v>
      </x:c>
      <x:c r="D59" s="40" t="str">
        <x:v>Lao People's Revolutionary Party *</x:v>
      </x:c>
      <x:c r="E59" s="11" t="str">
        <x:v>라오인민혁명당</x:v>
      </x:c>
      <x:c r="F59" s="11" t="str">
        <x:v>Lao People's Revolutionary Party</x:v>
      </x:c>
      <x:c r="G59" s="40" t="str">
        <x:v>Chưa đủ hai nguồn để so khớp</x:v>
      </x:c>
      <x:c r="H59" s="41" t="str">
        <x:v>Ứng viên — còn thiếu chứng cứ</x:v>
      </x:c>
      <x:c r="I59" s="11" t="str">
        <x:v>Giữ nguyên biểu thức đầu vào. Chỉ tên tiếng Anh dự kiến; cần xác nhận riêng mỗi nhánh.</x:v>
      </x:c>
      <x:c r="J59" s="11" t="str">
        <x:v>* Nhãn tham chiếu từ bảng trước</x:v>
      </x:c>
      <x:c r="K59" s="11" t="str">
        <x:v>Chưa có nguồn ánh xạ</x:v>
      </x:c>
      <x:c r="L59" s="11" t="str">
        <x:v>Đối dịch tường minh trong nguồn</x:v>
      </x:c>
      <x:c r="M59" s="37" t="str">
        <x:v>EB064
Nguồn kiểm tra, dòng 708</x:v>
      </x:c>
      <x:c r="N59" s="11" t="str">
        <x:v>Đảng Nhân dân Cách mạng Lào</x:v>
      </x:c>
      <x:c r="O59" s="11" t="str">
        <x:v>라오인민혁명당</x:v>
      </x:c>
      <x:c r="P59" s="11" t="str">
        <x:v>Chính đảng mang tên Đảng Nhân dân Cách mạng Lào tại Lào.</x:v>
      </x:c>
      <x:c r="Q59" s="11" t="str">
        <x:v>Chính đảng mang tên Đảng Nhân dân Cách mạng Lào tại Lào.</x:v>
      </x:c>
      <x:c r="R59" s="11" t="str">
        <x:v>N2</x:v>
      </x:c>
      <x:c r="S59" s="11" t="str">
        <x:v>Giữ làm đơn vị nghiên cứu</x:v>
      </x:c>
      <x:c r="T59" s="11" t="str">
        <x:v>T125</x:v>
      </x:c>
    </x:row>
    <x:row r="60" ht="67.5" customHeight="1">
      <x:c r="A60" s="11" t="n">
        <x:v>55</x:v>
      </x:c>
      <x:c r="B60" s="11" t="str">
        <x:v>T128</x:v>
      </x:c>
      <x:c r="C60" s="11" t="str">
        <x:v>Đảng Nhân dân Campuchia</x:v>
      </x:c>
      <x:c r="D60" s="40" t="str">
        <x:v>Cambodian People's Party *</x:v>
      </x:c>
      <x:c r="E60" s="11" t="str">
        <x:v>캄보디아 인민당</x:v>
      </x:c>
      <x:c r="F60" s="11" t="str">
        <x:v>Cambodian People's Party</x:v>
      </x:c>
      <x:c r="G60" s="40" t="str">
        <x:v>Chưa đủ hai nguồn để so khớp</x:v>
      </x:c>
      <x:c r="H60" s="41" t="str">
        <x:v>Ứng viên — còn thiếu chứng cứ</x:v>
      </x:c>
      <x:c r="I60" s="11" t="str">
        <x:v>Giữ nguyên biểu thức đầu vào. Chỉ tên tiếng Anh dự kiến; cần xác nhận riêng mỗi nhánh.</x:v>
      </x:c>
      <x:c r="J60" s="11" t="str">
        <x:v>* Nhãn tham chiếu từ bảng trước</x:v>
      </x:c>
      <x:c r="K60" s="11" t="str">
        <x:v>Chưa có nguồn ánh xạ</x:v>
      </x:c>
      <x:c r="L60" s="11" t="str">
        <x:v>Đối dịch tường minh trong nguồn</x:v>
      </x:c>
      <x:c r="M60" s="37" t="str">
        <x:v>EB065
Nguồn kiểm tra, dòng 709</x:v>
      </x:c>
      <x:c r="N60" s="11" t="str">
        <x:v>Đảng Nhân dân Campuchia</x:v>
      </x:c>
      <x:c r="O60" s="11" t="str">
        <x:v>캄보디아 인민당</x:v>
      </x:c>
      <x:c r="P60" s="11" t="str">
        <x:v>Chính đảng mang tên Đảng Nhân dân Campuchia, viết tắt CPP.</x:v>
      </x:c>
      <x:c r="Q60" s="11" t="str">
        <x:v>Chính đảng mang tên Đảng Nhân dân Campuchia, viết tắt CPP.</x:v>
      </x:c>
      <x:c r="R60" s="11" t="str">
        <x:v>N2</x:v>
      </x:c>
      <x:c r="S60" s="11" t="str">
        <x:v>Giữ làm đơn vị nghiên cứu</x:v>
      </x:c>
      <x:c r="T60" s="11" t="str">
        <x:v>T128</x:v>
      </x:c>
    </x:row>
    <x:row r="61" ht="67.5" customHeight="1">
      <x:c r="A61" s="11" t="n">
        <x:v>56</x:v>
      </x:c>
      <x:c r="B61" s="11" t="str">
        <x:v>T108</x:v>
      </x:c>
      <x:c r="C61" s="11" t="str">
        <x:v>Đảng ủy</x:v>
      </x:c>
      <x:c r="D61" s="40" t="str">
        <x:v>Party committee *</x:v>
      </x:c>
      <x:c r="E61" s="11" t="str">
        <x:v>당위원회</x:v>
      </x:c>
      <x:c r="F61" s="40" t="str">
        <x:v>Party committee *</x:v>
      </x:c>
      <x:c r="G61" s="40" t="str">
        <x:v>Chưa đủ hai nguồn để so khớp</x:v>
      </x:c>
      <x:c r="H61" s="41" t="str">
        <x:v>Ứng viên — còn thiếu chứng cứ</x:v>
      </x:c>
      <x:c r="I61" s="11" t="str">
        <x:v>Giữ nguyên biểu thức đầu vào. Chỉ tên tiếng Anh dự kiến; cần xác nhận riêng mỗi nhánh.</x:v>
      </x:c>
      <x:c r="J61" s="11" t="str">
        <x:v>* Nhãn tham chiếu từ bảng trước</x:v>
      </x:c>
      <x:c r="K61" s="11" t="str">
        <x:v>Chưa có nguồn ánh xạ</x:v>
      </x:c>
      <x:c r="L61" s="11" t="str">
        <x:v>* Nhãn tham chiếu từ bảng trước</x:v>
      </x:c>
      <x:c r="M61" s="11" t="str">
        <x:v>Chưa có nguồn ánh xạ</x:v>
      </x:c>
      <x:c r="N61" s="11" t="str">
        <x:v>Đảng ủy</x:v>
      </x:c>
      <x:c r="O61" s="11" t="str">
        <x:v>당위원회</x:v>
      </x:c>
      <x:c r="P61" s="11" t="str">
        <x:v>Cấp ủy lãnh đạo một đảng bộ.</x:v>
      </x:c>
      <x:c r="Q61" s="11" t="str">
        <x:v>Cấp ủy lãnh đạo một đảng bộ.</x:v>
      </x:c>
      <x:c r="R61" s="11" t="str">
        <x:v>N2</x:v>
      </x:c>
      <x:c r="S61" s="11" t="str">
        <x:v>Giữ làm đơn vị nghiên cứu</x:v>
      </x:c>
      <x:c r="T61" s="11" t="str">
        <x:v>T108</x:v>
      </x:c>
    </x:row>
    <x:row r="62" ht="67.5" customHeight="1">
      <x:c r="A62" s="11" t="n">
        <x:v>57</x:v>
      </x:c>
      <x:c r="B62" s="11" t="str">
        <x:v>M015</x:v>
      </x:c>
      <x:c r="C62" s="11" t="str">
        <x:v>đội danh dự</x:v>
      </x:c>
      <x:c r="D62" s="40" t="str">
        <x:v>guard of honour *</x:v>
      </x:c>
      <x:c r="E62" s="11" t="str">
        <x:v>의장대</x:v>
      </x:c>
      <x:c r="F62" s="11" t="str">
        <x:v>Honor Guard</x:v>
      </x:c>
      <x:c r="G62" s="40" t="str">
        <x:v>Chưa đủ hai nguồn để so khớp</x:v>
      </x:c>
      <x:c r="H62" s="41" t="str">
        <x:v>Ứng viên — còn thiếu chứng cứ</x:v>
      </x:c>
      <x:c r="I62" s="11" t="str">
        <x:v>Giữ nguyên biểu thức đầu vào. Chỉ tên tiếng Anh dự kiến; cần xác nhận riêng mỗi nhánh.</x:v>
      </x:c>
      <x:c r="J62" s="11" t="str">
        <x:v>* Nhãn tham chiếu từ bảng trước</x:v>
      </x:c>
      <x:c r="K62" s="11" t="str">
        <x:v>Chưa có nguồn ánh xạ</x:v>
      </x:c>
      <x:c r="L62" s="11" t="str">
        <x:v>Đối dịch tường minh trong nguồn</x:v>
      </x:c>
      <x:c r="M62" s="37" t="str">
        <x:v>EB066
Nguồn kiểm tra, dòng 710</x:v>
      </x:c>
      <x:c r="N62" s="11" t="str">
        <x:v>đội danh dự</x:v>
      </x:c>
      <x:c r="O62" s="11" t="str">
        <x:v>의장대</x:v>
      </x:c>
      <x:c r="P62" s="11" t="str">
        <x:v>Đơn vị được tổ chức để thực hiện nghi thức danh dự trong lễ đón hoặc sự kiện chính thức.</x:v>
      </x:c>
      <x:c r="Q62" s="11" t="str">
        <x:v>Đơn vị được tổ chức để thực hiện nghi thức danh dự trong lễ đón hoặc sự kiện chính thức.</x:v>
      </x:c>
      <x:c r="R62" s="11" t="str">
        <x:v>N2</x:v>
      </x:c>
      <x:c r="S62" s="11" t="str">
        <x:v>Giữ làm đơn vị nghiên cứu</x:v>
      </x:c>
      <x:c r="T62" s="11" t="str">
        <x:v>M015</x:v>
      </x:c>
    </x:row>
    <x:row r="63" ht="67.5" customHeight="1">
      <x:c r="A63" s="11" t="n">
        <x:v>58</x:v>
      </x:c>
      <x:c r="B63" s="11" t="str">
        <x:v>T132</x:v>
      </x:c>
      <x:c r="C63" s="11" t="str">
        <x:v>Hiệp hội các quốc gia Đông Nam Á (ASEAN)</x:v>
      </x:c>
      <x:c r="D63" s="11" t="str">
        <x:v>Association of Southeast Asian Nations</x:v>
      </x:c>
      <x:c r="E63" s="11" t="str">
        <x:v>동남아시아국가연합(ASEAN)</x:v>
      </x:c>
      <x:c r="F63" s="11" t="str">
        <x:v>Association of Southeast Asian Nations</x:v>
      </x:c>
      <x:c r="G63" s="38" t="str">
        <x:v>Trùng biểu thức Anh</x:v>
      </x:c>
      <x:c r="H63" s="39" t="str">
        <x:v>Xác nhận — cùng biểu thức Anh</x:v>
      </x:c>
      <x:c r="I63" s="11" t="str">
        <x:v>Hai nhánh có bằng chứng đối chiếu cùng đối tượng; xác nhận tên gọi trong phạm vi ngữ cảnh đã chọn.</x:v>
      </x:c>
      <x:c r="J63" s="11" t="str">
        <x:v>Đối dịch tường minh trong nguồn</x:v>
      </x:c>
      <x:c r="K63" s="37" t="str">
        <x:v>EB067
Nguồn kiểm tra, dòng 711</x:v>
      </x:c>
      <x:c r="L63" s="11" t="str">
        <x:v>Đối dịch tường minh trong nguồn</x:v>
      </x:c>
      <x:c r="M63" s="37" t="str">
        <x:v>EB068
Nguồn kiểm tra, dòng 712</x:v>
      </x:c>
      <x:c r="N63" s="11" t="str">
        <x:v>Hiệp hội các quốc gia Đông Nam Á (ASEAN)</x:v>
      </x:c>
      <x:c r="O63" s="11" t="str">
        <x:v>동남아시아국가연합(ASEAN)</x:v>
      </x:c>
      <x:c r="P63" s="11" t="str">
        <x:v>Tổ chức hợp tác khu vực của các quốc gia Đông Nam Á, thường gọi ASEAN.</x:v>
      </x:c>
      <x:c r="Q63" s="11" t="str">
        <x:v>Tổ chức hợp tác khu vực của các quốc gia Đông Nam Á, thường gọi ASEAN.</x:v>
      </x:c>
      <x:c r="R63" s="11" t="str">
        <x:v>N2</x:v>
      </x:c>
      <x:c r="S63" s="11" t="str">
        <x:v>Giữ làm đơn vị nghiên cứu</x:v>
      </x:c>
      <x:c r="T63" s="11" t="str">
        <x:v>T132</x:v>
      </x:c>
    </x:row>
    <x:row r="64" ht="67.5" customHeight="1">
      <x:c r="A64" s="11" t="n">
        <x:v>59</x:v>
      </x:c>
      <x:c r="B64" s="11" t="str">
        <x:v>T169</x:v>
      </x:c>
      <x:c r="C64" s="11" t="str">
        <x:v>Hội đồng Bảo an Liên hợp quốc</x:v>
      </x:c>
      <x:c r="D64" s="11" t="str">
        <x:v>Security Council</x:v>
      </x:c>
      <x:c r="E64" s="11" t="str">
        <x:v>유엔 안전보장이사회</x:v>
      </x:c>
      <x:c r="F64" s="11" t="str">
        <x:v>Security Council</x:v>
      </x:c>
      <x:c r="G64" s="38" t="str">
        <x:v>Trùng biểu thức Anh</x:v>
      </x:c>
      <x:c r="H64" s="39" t="str">
        <x:v>Xác nhận — cùng biểu thức Anh</x:v>
      </x:c>
      <x:c r="I64" s="11" t="str">
        <x:v>Nguồn hai phía cùng đặt Hội đồng/이사회 trong hệ thống LHQ; xác nhận định danh UN Security Council.</x:v>
      </x:c>
      <x:c r="J64" s="11" t="str">
        <x:v>Đối dịch tường minh trong nguồn</x:v>
      </x:c>
      <x:c r="K64" s="37" t="str">
        <x:v>EB069
Nguồn kiểm tra, dòng 713</x:v>
      </x:c>
      <x:c r="L64" s="11" t="str">
        <x:v>Đối dịch tường minh trong nguồn</x:v>
      </x:c>
      <x:c r="M64" s="37" t="str">
        <x:v>EB070
Nguồn kiểm tra, dòng 714</x:v>
      </x:c>
      <x:c r="N64" s="11" t="str">
        <x:v>Hội đồng Bảo an Liên hợp quốc</x:v>
      </x:c>
      <x:c r="O64" s="11" t="str">
        <x:v>유엔 안전보장이사회</x:v>
      </x:c>
      <x:c r="P64" s="11" t="str">
        <x:v>Cơ quan Liên hợp quốc chịu trách nhiệm chính về duy trì hòa bình và an ninh quốc tế.</x:v>
      </x:c>
      <x:c r="Q64" s="11" t="str">
        <x:v>Cơ quan Liên hợp quốc chịu trách nhiệm chính về duy trì hòa bình và an ninh quốc tế.</x:v>
      </x:c>
      <x:c r="R64" s="11" t="str">
        <x:v>N2</x:v>
      </x:c>
      <x:c r="S64" s="11" t="str">
        <x:v>Giữ làm đơn vị nghiên cứu</x:v>
      </x:c>
      <x:c r="T64" s="11" t="str">
        <x:v>T169</x:v>
      </x:c>
    </x:row>
    <x:row r="65" ht="67.5" customHeight="1">
      <x:c r="A65" s="11" t="n">
        <x:v>60</x:v>
      </x:c>
      <x:c r="B65" s="11" t="str">
        <x:v>T116</x:v>
      </x:c>
      <x:c r="C65" s="11" t="str">
        <x:v>Hội đồng nhân dân</x:v>
      </x:c>
      <x:c r="D65" s="40" t="str">
        <x:v>People's Council *</x:v>
      </x:c>
      <x:c r="E65" s="11" t="str">
        <x:v>인민의회</x:v>
      </x:c>
      <x:c r="F65" s="40" t="str">
        <x:v>People's Council *</x:v>
      </x:c>
      <x:c r="G65" s="40" t="str">
        <x:v>Chưa đủ hai nguồn để so khớp</x:v>
      </x:c>
      <x:c r="H65" s="41" t="str">
        <x:v>Ứng viên — còn thiếu chứng cứ</x:v>
      </x:c>
      <x:c r="I65" s="11" t="str">
        <x:v>Hội đồng nhân dân là loại cơ quan của Việt Nam; 인민의회 có thể là nghị viện ở thể chế khác. Phải khóa Việt Nam và cấp hành chính.</x:v>
      </x:c>
      <x:c r="J65" s="11" t="str">
        <x:v>* Nhãn tham chiếu từ bảng trước</x:v>
      </x:c>
      <x:c r="K65" s="11" t="str">
        <x:v>Chưa có nguồn ánh xạ</x:v>
      </x:c>
      <x:c r="L65" s="11" t="str">
        <x:v>* Nhãn tham chiếu từ bảng trước</x:v>
      </x:c>
      <x:c r="M65" s="11" t="str">
        <x:v>Chưa có nguồn ánh xạ</x:v>
      </x:c>
      <x:c r="N65" s="11" t="str">
        <x:v>Hội đồng nhân dân</x:v>
      </x:c>
      <x:c r="O65" s="11" t="str">
        <x:v>인민의회</x:v>
      </x:c>
      <x:c r="P65" s="11" t="str">
        <x:v>Cơ quan quyền lực nhà nước tại địa phương, do cử tri địa phương bầu.</x:v>
      </x:c>
      <x:c r="Q65" s="11" t="str">
        <x:v>Cơ quan quyền lực nhà nước tại địa phương, do cử tri địa phương bầu.</x:v>
      </x:c>
      <x:c r="R65" s="11" t="str">
        <x:v>N2</x:v>
      </x:c>
      <x:c r="S65" s="11" t="str">
        <x:v>Giữ làm đơn vị nghiên cứu</x:v>
      </x:c>
      <x:c r="T65" s="11" t="str">
        <x:v>T116</x:v>
      </x:c>
    </x:row>
    <x:row r="66" ht="67.5" customHeight="1">
      <x:c r="A66" s="11" t="n">
        <x:v>61</x:v>
      </x:c>
      <x:c r="B66" s="11" t="str">
        <x:v>T135</x:v>
      </x:c>
      <x:c r="C66" s="11" t="str">
        <x:v>Liên hợp quốc</x:v>
      </x:c>
      <x:c r="D66" s="11" t="str">
        <x:v>United Nations</x:v>
      </x:c>
      <x:c r="E66" s="11" t="str">
        <x:v>유엔(UN)</x:v>
      </x:c>
      <x:c r="F66" s="11" t="str">
        <x:v>United Nations</x:v>
      </x:c>
      <x:c r="G66" s="38" t="str">
        <x:v>Trùng biểu thức Anh</x:v>
      </x:c>
      <x:c r="H66" s="39" t="str">
        <x:v>Xác nhận — cùng biểu thức Anh</x:v>
      </x:c>
      <x:c r="I66" s="11" t="str">
        <x:v>Hai nhánh có bằng chứng đối chiếu cùng đối tượng; xác nhận tên gọi trong phạm vi ngữ cảnh đã chọn.</x:v>
      </x:c>
      <x:c r="J66" s="11" t="str">
        <x:v>Đối dịch tường minh trong nguồn</x:v>
      </x:c>
      <x:c r="K66" s="37" t="str">
        <x:v>EB071
Nguồn kiểm tra, dòng 715</x:v>
      </x:c>
      <x:c r="L66" s="11" t="str">
        <x:v>Đối dịch tường minh trong nguồn</x:v>
      </x:c>
      <x:c r="M66" s="37" t="str">
        <x:v>EB072
Nguồn kiểm tra, dòng 716</x:v>
      </x:c>
      <x:c r="N66" s="11" t="str">
        <x:v>Liên hợp quốc</x:v>
      </x:c>
      <x:c r="O66" s="11" t="str">
        <x:v>유엔(UN)</x:v>
      </x:c>
      <x:c r="P66" s="11" t="str">
        <x:v>Tổ chức quốc tế liên chính phủ hoạt động theo Hiến chương nhằm duy trì hòa bình và phát triển hợp tác quốc tế.</x:v>
      </x:c>
      <x:c r="Q66" s="11" t="str">
        <x:v>Tổ chức quốc tế liên chính phủ hoạt động theo Hiến chương nhằm duy trì hòa bình và phát triển hợp tác quốc tế.</x:v>
      </x:c>
      <x:c r="R66" s="11" t="str">
        <x:v>N2</x:v>
      </x:c>
      <x:c r="S66" s="11" t="str">
        <x:v>Giữ làm đơn vị nghiên cứu</x:v>
      </x:c>
      <x:c r="T66" s="11" t="str">
        <x:v>T135</x:v>
      </x:c>
    </x:row>
    <x:row r="67" ht="67.5" customHeight="1">
      <x:c r="A67" s="11" t="n">
        <x:v>62</x:v>
      </x:c>
      <x:c r="B67" s="11" t="str">
        <x:v>T155</x:v>
      </x:c>
      <x:c r="C67" s="11" t="str">
        <x:v>Liên minh châu Âu</x:v>
      </x:c>
      <x:c r="D67" s="11" t="str">
        <x:v>European Union</x:v>
      </x:c>
      <x:c r="E67" s="11" t="str">
        <x:v>유럽연합</x:v>
      </x:c>
      <x:c r="F67" s="11" t="str">
        <x:v>European Union</x:v>
      </x:c>
      <x:c r="G67" s="38" t="str">
        <x:v>Trùng biểu thức Anh</x:v>
      </x:c>
      <x:c r="H67" s="39" t="str">
        <x:v>Xác nhận — cùng biểu thức Anh</x:v>
      </x:c>
      <x:c r="I67" s="11" t="str">
        <x:v>Hai nhánh có bằng chứng đối chiếu cùng đối tượng; xác nhận tên gọi trong phạm vi ngữ cảnh đã chọn.</x:v>
      </x:c>
      <x:c r="J67" s="11" t="str">
        <x:v>Đối dịch tường minh trong nguồn</x:v>
      </x:c>
      <x:c r="K67" s="37" t="str">
        <x:v>EB073
Nguồn kiểm tra, dòng 717</x:v>
      </x:c>
      <x:c r="L67" s="11" t="str">
        <x:v>Đối dịch tường minh trong nguồn</x:v>
      </x:c>
      <x:c r="M67" s="37" t="str">
        <x:v>EB074
Nguồn kiểm tra, dòng 718</x:v>
      </x:c>
      <x:c r="N67" s="11" t="str">
        <x:v>Liên minh châu Âu</x:v>
      </x:c>
      <x:c r="O67" s="11" t="str">
        <x:v>유럽연합</x:v>
      </x:c>
      <x:c r="P67" s="11" t="str">
        <x:v>Liên minh chính trị và kinh tế của các quốc gia châu Âu, có các thể chế chung.</x:v>
      </x:c>
      <x:c r="Q67" s="11" t="str">
        <x:v>Liên minh chính trị và kinh tế của các quốc gia châu Âu, có các thể chế chung.</x:v>
      </x:c>
      <x:c r="R67" s="11" t="str">
        <x:v>N2</x:v>
      </x:c>
      <x:c r="S67" s="11" t="str">
        <x:v>Giữ làm đơn vị nghiên cứu</x:v>
      </x:c>
      <x:c r="T67" s="11" t="str">
        <x:v>T155</x:v>
      </x:c>
    </x:row>
    <x:row r="68" ht="67.5" customHeight="1">
      <x:c r="A68" s="11" t="n">
        <x:v>63</x:v>
      </x:c>
      <x:c r="B68" s="11" t="str">
        <x:v>T159</x:v>
      </x:c>
      <x:c r="C68" s="11" t="str">
        <x:v>Liên minh Nghị viện thế giới</x:v>
      </x:c>
      <x:c r="D68" s="11" t="str">
        <x:v>Inter-parliamentary Union</x:v>
      </x:c>
      <x:c r="E68" s="11" t="str">
        <x:v>국제의회연맹</x:v>
      </x:c>
      <x:c r="F68" s="11" t="str">
        <x:v>Inter-Parliamentary Union</x:v>
      </x:c>
      <x:c r="G68" s="38" t="str">
        <x:v>Trùng biểu thức Anh</x:v>
      </x:c>
      <x:c r="H68" s="39" t="str">
        <x:v>Xác nhận — cùng biểu thức Anh</x:v>
      </x:c>
      <x:c r="I68" s="11" t="str">
        <x:v>Hai nguồn cùng định danh IPU; khác viết hoa không tạo khác biệt nghĩa.</x:v>
      </x:c>
      <x:c r="J68" s="11" t="str">
        <x:v>Đối dịch tường minh trong nguồn</x:v>
      </x:c>
      <x:c r="K68" s="37" t="str">
        <x:v>EB075
Nguồn kiểm tra, dòng 719</x:v>
      </x:c>
      <x:c r="L68" s="11" t="str">
        <x:v>Đối dịch tường minh trong nguồn</x:v>
      </x:c>
      <x:c r="M68" s="37" t="str">
        <x:v>EB076
Nguồn kiểm tra, dòng 720</x:v>
      </x:c>
      <x:c r="N68" s="11" t="str">
        <x:v>Liên minh Nghị viện thế giới</x:v>
      </x:c>
      <x:c r="O68" s="11" t="str">
        <x:v>국제의회연맹</x:v>
      </x:c>
      <x:c r="P68" s="11" t="str">
        <x:v>Tổ chức toàn cầu của các nghị viện quốc gia, thúc đẩy hợp tác và ngoại giao nghị viện.</x:v>
      </x:c>
      <x:c r="Q68" s="11" t="str">
        <x:v>Tổ chức toàn cầu của các nghị viện quốc gia, thúc đẩy hợp tác và ngoại giao nghị viện.</x:v>
      </x:c>
      <x:c r="R68" s="11" t="str">
        <x:v>N2</x:v>
      </x:c>
      <x:c r="S68" s="11" t="str">
        <x:v>Giữ làm đơn vị nghiên cứu</x:v>
      </x:c>
      <x:c r="T68" s="11" t="str">
        <x:v>T159</x:v>
      </x:c>
    </x:row>
    <x:row r="69" ht="67.5" customHeight="1">
      <x:c r="A69" s="11" t="n">
        <x:v>64</x:v>
      </x:c>
      <x:c r="B69" s="11" t="str">
        <x:v>T112</x:v>
      </x:c>
      <x:c r="C69" s="11" t="str">
        <x:v>Mặt trận Tổ quốc</x:v>
      </x:c>
      <x:c r="D69" s="40" t="str">
        <x:v>Viet Nam Fatherland Front *</x:v>
      </x:c>
      <x:c r="E69" s="11" t="str">
        <x:v>조국전선</x:v>
      </x:c>
      <x:c r="F69" s="40" t="str">
        <x:v>Viet Nam Fatherland Front *</x:v>
      </x:c>
      <x:c r="G69" s="40" t="str">
        <x:v>Chưa đủ hai nguồn để so khớp</x:v>
      </x:c>
      <x:c r="H69" s="41" t="str">
        <x:v>Ứng viên — còn thiếu chứng cứ</x:v>
      </x:c>
      <x:c r="I69" s="11" t="str">
        <x:v>Tên đầu vào rút gọn; không mọi 조국전선 đều là Mặt trận Tổ quốc Việt Nam. Chưa đủ hai mapping.</x:v>
      </x:c>
      <x:c r="J69" s="11" t="str">
        <x:v>* Nhãn tham chiếu từ bảng trước</x:v>
      </x:c>
      <x:c r="K69" s="11" t="str">
        <x:v>Chưa có nguồn ánh xạ</x:v>
      </x:c>
      <x:c r="L69" s="11" t="str">
        <x:v>* Nhãn tham chiếu từ bảng trước</x:v>
      </x:c>
      <x:c r="M69" s="11" t="str">
        <x:v>Chưa có nguồn ánh xạ</x:v>
      </x:c>
      <x:c r="N69" s="11" t="str">
        <x:v>Mặt trận Tổ quốc</x:v>
      </x:c>
      <x:c r="O69" s="11" t="str">
        <x:v>조국전선</x:v>
      </x:c>
      <x:c r="P69" s="11" t="str">
        <x:v>Liên minh chính trị và liên hiệp tự nguyện các tổ chức, cá nhân tiêu biểu theo hệ thống Mặt trận Tổ quốc Việt Nam.</x:v>
      </x:c>
      <x:c r="Q69" s="11" t="str">
        <x:v>Liên minh chính trị và liên hiệp tự nguyện các tổ chức, cá nhân tiêu biểu theo hệ thống Mặt trận Tổ quốc Việt Nam.</x:v>
      </x:c>
      <x:c r="R69" s="11" t="str">
        <x:v>N2</x:v>
      </x:c>
      <x:c r="S69" s="11" t="str">
        <x:v>Giữ làm đơn vị nghiên cứu</x:v>
      </x:c>
      <x:c r="T69" s="11" t="str">
        <x:v>T112</x:v>
      </x:c>
    </x:row>
    <x:row r="70" ht="67.5" customHeight="1">
      <x:c r="A70" s="11" t="n">
        <x:v>65</x:v>
      </x:c>
      <x:c r="B70" s="11" t="str">
        <x:v>T106</x:v>
      </x:c>
      <x:c r="C70" s="11" t="str">
        <x:v>Nhà nước</x:v>
      </x:c>
      <x:c r="D70" s="40" t="str">
        <x:v>State *</x:v>
      </x:c>
      <x:c r="E70" s="11" t="str">
        <x:v>국가</x:v>
      </x:c>
      <x:c r="F70" s="11" t="str">
        <x:v>state; nation; country</x:v>
      </x:c>
      <x:c r="G70" s="40" t="str">
        <x:v>Chưa đủ hai nguồn để so khớp</x:v>
      </x:c>
      <x:c r="H70" s="41" t="str">
        <x:v>Ứng viên — còn thiếu chứng cứ</x:v>
      </x:c>
      <x:c r="I70" s="11" t="str">
        <x:v>Giữ nguyên biểu thức đầu vào. Chỉ tên tiếng Anh dự kiến; cần xác nhận riêng mỗi nhánh.</x:v>
      </x:c>
      <x:c r="J70" s="11" t="str">
        <x:v>* Nhãn tham chiếu từ bảng trước</x:v>
      </x:c>
      <x:c r="K70" s="11" t="str">
        <x:v>Chưa có nguồn ánh xạ</x:v>
      </x:c>
      <x:c r="L70" s="11" t="str">
        <x:v>Đối dịch trong từ điển</x:v>
      </x:c>
      <x:c r="M70" s="37" t="str">
        <x:v>EB077
Nguồn kiểm tra, dòng 721</x:v>
      </x:c>
      <x:c r="N70" s="11" t="str">
        <x:v>Nhà nước</x:v>
      </x:c>
      <x:c r="O70" s="11" t="str">
        <x:v>국가</x:v>
      </x:c>
      <x:c r="P70" s="11" t="str">
        <x:v>Nhà nước xét như chủ thể quyền lực công, quản lý xã hội trên lãnh thổ và thực hiện chủ quyền.</x:v>
      </x:c>
      <x:c r="Q70" s="11" t="str">
        <x:v>Một cộng đồng có lãnh thổ, dân cư và tổ chức cai trị bằng chủ quyền.</x:v>
      </x:c>
      <x:c r="R70" s="11" t="str">
        <x:v>N2</x:v>
      </x:c>
      <x:c r="S70" s="11" t="str">
        <x:v>Giữ làm đơn vị nghiên cứu</x:v>
      </x:c>
      <x:c r="T70" s="11" t="str">
        <x:v>T106</x:v>
      </x:c>
    </x:row>
    <x:row r="71" ht="67.5" customHeight="1">
      <x:c r="A71" s="11" t="n">
        <x:v>66</x:v>
      </x:c>
      <x:c r="B71" s="11" t="str">
        <x:v>M033</x:v>
      </x:c>
      <x:c r="C71" s="11" t="str">
        <x:v>nhóm nghị sĩ hữu nghị</x:v>
      </x:c>
      <x:c r="D71" s="40" t="str">
        <x:v>parliamentary friendship group *</x:v>
      </x:c>
      <x:c r="E71" s="11" t="str">
        <x:v>의원친선협회</x:v>
      </x:c>
      <x:c r="F71" s="40" t="str">
        <x:v>parliamentary friendship group *</x:v>
      </x:c>
      <x:c r="G71" s="40" t="str">
        <x:v>Chưa đủ hai nguồn để so khớp</x:v>
      </x:c>
      <x:c r="H71" s="41" t="str">
        <x:v>Ứng viên — còn thiếu chứng cứ</x:v>
      </x:c>
      <x:c r="I71" s="11" t="str">
        <x:v>Nhóm và hiệp hội có thể khác cơ cấu; English group/association phải đối chiếu tên của chính tổ chức và nước liên quan.</x:v>
      </x:c>
      <x:c r="J71" s="11" t="str">
        <x:v>* Nhãn tham chiếu từ bảng trước</x:v>
      </x:c>
      <x:c r="K71" s="11" t="str">
        <x:v>Chưa có nguồn ánh xạ</x:v>
      </x:c>
      <x:c r="L71" s="11" t="str">
        <x:v>* Nhãn tham chiếu từ bảng trước</x:v>
      </x:c>
      <x:c r="M71" s="11" t="str">
        <x:v>Chưa có nguồn ánh xạ</x:v>
      </x:c>
      <x:c r="N71" s="11" t="str">
        <x:v>nhóm nghị sĩ hữu nghị</x:v>
      </x:c>
      <x:c r="O71" s="11" t="str">
        <x:v>의원친선협회</x:v>
      </x:c>
      <x:c r="P71" s="11" t="str">
        <x:v>Tập thể nghị sĩ được tổ chức để phát triển quan hệ hữu nghị với nghị viện nước đối tác.</x:v>
      </x:c>
      <x:c r="Q71" s="11" t="str">
        <x:v>Tập thể nghị sĩ được tổ chức để phát triển quan hệ hữu nghị với nghị viện nước đối tác.</x:v>
      </x:c>
      <x:c r="R71" s="11" t="str">
        <x:v>N2</x:v>
      </x:c>
      <x:c r="S71" s="11" t="str">
        <x:v>Giữ làm đơn vị nghiên cứu</x:v>
      </x:c>
      <x:c r="T71" s="11" t="str">
        <x:v>M033</x:v>
      </x:c>
    </x:row>
    <x:row r="72" ht="67.5" customHeight="1">
      <x:c r="A72" s="11" t="n">
        <x:v>67</x:v>
      </x:c>
      <x:c r="B72" s="11" t="str">
        <x:v>M016</x:v>
      </x:c>
      <x:c r="C72" s="11" t="str">
        <x:v>Quân đội nhân dân Việt Nam</x:v>
      </x:c>
      <x:c r="D72" s="40" t="str">
        <x:v>Viet Nam People's Army *</x:v>
      </x:c>
      <x:c r="E72" s="11" t="str">
        <x:v>베트남 인민군</x:v>
      </x:c>
      <x:c r="F72" s="40" t="str">
        <x:v>Viet Nam People's Army *</x:v>
      </x:c>
      <x:c r="G72" s="40" t="str">
        <x:v>Chưa đủ hai nguồn để so khớp</x:v>
      </x:c>
      <x:c r="H72" s="41" t="str">
        <x:v>Ứng viên — còn thiếu chứng cứ</x:v>
      </x:c>
      <x:c r="I72" s="11" t="str">
        <x:v>Giữ nguyên biểu thức đầu vào. Chỉ tên tiếng Anh dự kiến; cần xác nhận riêng mỗi nhánh.</x:v>
      </x:c>
      <x:c r="J72" s="11" t="str">
        <x:v>* Nhãn tham chiếu từ bảng trước</x:v>
      </x:c>
      <x:c r="K72" s="11" t="str">
        <x:v>Chưa có nguồn ánh xạ</x:v>
      </x:c>
      <x:c r="L72" s="11" t="str">
        <x:v>* Nhãn tham chiếu từ bảng trước</x:v>
      </x:c>
      <x:c r="M72" s="11" t="str">
        <x:v>Chưa có nguồn ánh xạ</x:v>
      </x:c>
      <x:c r="N72" s="11" t="str">
        <x:v>Quân đội nhân dân Việt Nam</x:v>
      </x:c>
      <x:c r="O72" s="11" t="str">
        <x:v>베트남 인민군</x:v>
      </x:c>
      <x:c r="P72" s="11" t="str">
        <x:v>Quân đội thuộc lực lượng vũ trang Việt Nam.</x:v>
      </x:c>
      <x:c r="Q72" s="11" t="str">
        <x:v>Quân đội thuộc lực lượng vũ trang Việt Nam.</x:v>
      </x:c>
      <x:c r="R72" s="11" t="str">
        <x:v>N2</x:v>
      </x:c>
      <x:c r="S72" s="11" t="str">
        <x:v>Giữ làm đơn vị nghiên cứu</x:v>
      </x:c>
      <x:c r="T72" s="11" t="str">
        <x:v>M016</x:v>
      </x:c>
    </x:row>
    <x:row r="73" ht="67.5" customHeight="1">
      <x:c r="A73" s="11" t="n">
        <x:v>68</x:v>
      </x:c>
      <x:c r="B73" s="11" t="str">
        <x:v>T104</x:v>
      </x:c>
      <x:c r="C73" s="11" t="str">
        <x:v>Quốc hội</x:v>
      </x:c>
      <x:c r="D73" s="40" t="str">
        <x:v>National Assembly *</x:v>
      </x:c>
      <x:c r="E73" s="11" t="str">
        <x:v>국회</x:v>
      </x:c>
      <x:c r="F73" s="40" t="str">
        <x:v>National Assembly *</x:v>
      </x:c>
      <x:c r="G73" s="40" t="str">
        <x:v>Chưa đủ hai nguồn để so khớp</x:v>
      </x:c>
      <x:c r="H73" s="41" t="str">
        <x:v>Ứng viên — còn thiếu chứng cứ</x:v>
      </x:c>
      <x:c r="I73" s="11" t="str">
        <x:v>Giữ nguyên biểu thức đầu vào. Chỉ tên tiếng Anh dự kiến; cần xác nhận riêng mỗi nhánh.</x:v>
      </x:c>
      <x:c r="J73" s="11" t="str">
        <x:v>* Nhãn tham chiếu từ bảng trước</x:v>
      </x:c>
      <x:c r="K73" s="11" t="str">
        <x:v>Chưa có nguồn ánh xạ</x:v>
      </x:c>
      <x:c r="L73" s="11" t="str">
        <x:v>* Nhãn tham chiếu từ bảng trước</x:v>
      </x:c>
      <x:c r="M73" s="11" t="str">
        <x:v>Chưa có nguồn ánh xạ</x:v>
      </x:c>
      <x:c r="N73" s="11" t="str">
        <x:v>Quốc hội</x:v>
      </x:c>
      <x:c r="O73" s="11" t="str">
        <x:v>국회</x:v>
      </x:c>
      <x:c r="P73" s="11" t="str">
        <x:v>Cơ quan đại diện nhân dân ở cấp quốc gia, thực hiện lập pháp và những quyền hiến định khác.</x:v>
      </x:c>
      <x:c r="Q73" s="11" t="str">
        <x:v>Cơ quan đại diện nhân dân ở cấp quốc gia, thực hiện lập pháp và những quyền hiến định khác.</x:v>
      </x:c>
      <x:c r="R73" s="11" t="str">
        <x:v>N2</x:v>
      </x:c>
      <x:c r="S73" s="11" t="str">
        <x:v>Giữ làm đơn vị nghiên cứu</x:v>
      </x:c>
      <x:c r="T73" s="11" t="str">
        <x:v>T104</x:v>
      </x:c>
    </x:row>
    <x:row r="74" ht="67.5" customHeight="1">
      <x:c r="A74" s="11" t="n">
        <x:v>69</x:v>
      </x:c>
      <x:c r="B74" s="11" t="str">
        <x:v>T126</x:v>
      </x:c>
      <x:c r="C74" s="11" t="str">
        <x:v>Tòa án nhân dân tối cao</x:v>
      </x:c>
      <x:c r="D74" s="40" t="str">
        <x:v>Supreme People's Court (Viet Nam) *</x:v>
      </x:c>
      <x:c r="E74" s="11" t="str">
        <x:v>최고인민법원</x:v>
      </x:c>
      <x:c r="F74" s="40" t="str">
        <x:v>Supreme People's Court (Viet Nam) *</x:v>
      </x:c>
      <x:c r="G74" s="40" t="str">
        <x:v>Chưa đủ hai nguồn để so khớp</x:v>
      </x:c>
      <x:c r="H74" s="41" t="str">
        <x:v>Ứng viên — còn thiếu chứng cứ</x:v>
      </x:c>
      <x:c r="I74" s="11" t="str">
        <x:v>Giữ nguyên biểu thức đầu vào. Chỉ tên tiếng Anh dự kiến; cần xác nhận riêng mỗi nhánh.</x:v>
      </x:c>
      <x:c r="J74" s="11" t="str">
        <x:v>* Nhãn tham chiếu từ bảng trước</x:v>
      </x:c>
      <x:c r="K74" s="11" t="str">
        <x:v>Chưa có nguồn ánh xạ</x:v>
      </x:c>
      <x:c r="L74" s="11" t="str">
        <x:v>* Nhãn tham chiếu từ bảng trước</x:v>
      </x:c>
      <x:c r="M74" s="11" t="str">
        <x:v>Chưa có nguồn ánh xạ</x:v>
      </x:c>
      <x:c r="N74" s="11" t="str">
        <x:v>Tòa án nhân dân tối cao</x:v>
      </x:c>
      <x:c r="O74" s="11" t="str">
        <x:v>최고인민법원</x:v>
      </x:c>
      <x:c r="P74" s="11" t="str">
        <x:v>Cơ quan xét xử cao nhất trong hệ thống tòa án của Việt Nam.</x:v>
      </x:c>
      <x:c r="Q74" s="11" t="str">
        <x:v>Cơ quan xét xử cao nhất trong hệ thống tòa án của Việt Nam.</x:v>
      </x:c>
      <x:c r="R74" s="11" t="str">
        <x:v>N2</x:v>
      </x:c>
      <x:c r="S74" s="11" t="str">
        <x:v>Giữ làm đơn vị nghiên cứu</x:v>
      </x:c>
      <x:c r="T74" s="11" t="str">
        <x:v>T126</x:v>
      </x:c>
    </x:row>
    <x:row r="75" ht="67.5" customHeight="1">
      <x:c r="A75" s="11" t="n">
        <x:v>70</x:v>
      </x:c>
      <x:c r="B75" s="11" t="str">
        <x:v>M031</x:v>
      </x:c>
      <x:c r="C75" s="11" t="str">
        <x:v>Tổ chức Giáo dục, Khoa học và Văn hóa của Liên hợp quốc (UNESCO)</x:v>
      </x:c>
      <x:c r="D75" s="11" t="str">
        <x:v>United Nations Educational, Scientific and Cultural Organization</x:v>
      </x:c>
      <x:c r="E75" s="11" t="str">
        <x:v>유네스코</x:v>
      </x:c>
      <x:c r="F75" s="11" t="str">
        <x:v>United Nations Educational, Scientific and Cultural Organization</x:v>
      </x:c>
      <x:c r="G75" s="38" t="str">
        <x:v>Trùng biểu thức Anh</x:v>
      </x:c>
      <x:c r="H75" s="39" t="str">
        <x:v>Xác nhận — cùng biểu thức Anh</x:v>
      </x:c>
      <x:c r="I75" s="11" t="str">
        <x:v>유네스코 là dạng mượn viết tắt tên UNESCO, cùng tổ chức được tên Việt đầy đủ gọi tên; không nhầm với Ủy ban UNESCO quốc gia.</x:v>
      </x:c>
      <x:c r="J75" s="11" t="str">
        <x:v>Đối dịch tường minh trong nguồn</x:v>
      </x:c>
      <x:c r="K75" s="37" t="str">
        <x:v>EB078
Nguồn kiểm tra, dòng 722</x:v>
      </x:c>
      <x:c r="L75" s="11" t="str">
        <x:v>Đối dịch tường minh trong nguồn</x:v>
      </x:c>
      <x:c r="M75" s="37" t="str">
        <x:v>EB079
Nguồn kiểm tra, dòng 723</x:v>
      </x:c>
      <x:c r="N75" s="11" t="str">
        <x:v>Tổ chức Giáo dục, Khoa học và Văn hóa của Liên hợp quốc (UNESCO)</x:v>
      </x:c>
      <x:c r="O75" s="11" t="str">
        <x:v>유네스코</x:v>
      </x:c>
      <x:c r="P75" s="11" t="str">
        <x:v>Cơ quan chuyên môn của Liên hợp quốc về hợp tác giáo dục, khoa học và văn hóa, viết tắt UNESCO.</x:v>
      </x:c>
      <x:c r="Q75" s="11" t="str">
        <x:v>Cơ quan chuyên môn của Liên hợp quốc về hợp tác giáo dục, khoa học và văn hóa, viết tắt UNESCO.</x:v>
      </x:c>
      <x:c r="R75" s="11" t="str">
        <x:v>N2</x:v>
      </x:c>
      <x:c r="S75" s="11" t="str">
        <x:v>Giữ làm đơn vị nghiên cứu</x:v>
      </x:c>
      <x:c r="T75" s="11" t="str">
        <x:v>M031</x:v>
      </x:c>
    </x:row>
    <x:row r="76" ht="67.5" customHeight="1">
      <x:c r="A76" s="11" t="n">
        <x:v>71</x:v>
      </x:c>
      <x:c r="B76" s="11" t="str">
        <x:v>M034</x:v>
      </x:c>
      <x:c r="C76" s="11" t="str">
        <x:v>ủy ban chuyên môn</x:v>
      </x:c>
      <x:c r="D76" s="40" t="str">
        <x:v>specialized committee *</x:v>
      </x:c>
      <x:c r="E76" s="11" t="str">
        <x:v>전문위원회</x:v>
      </x:c>
      <x:c r="F76" s="40" t="str">
        <x:v>specialized committee *</x:v>
      </x:c>
      <x:c r="G76" s="40" t="str">
        <x:v>Chưa đủ hai nguồn để so khớp</x:v>
      </x:c>
      <x:c r="H76" s="41" t="str">
        <x:v>Ứng viên — còn thiếu chứng cứ</x:v>
      </x:c>
      <x:c r="I76" s="11" t="str">
        <x:v>Không thêm parliamentary vào tiếng Anh nếu ủy ban chuyên môn trong câu không thuộc nghị viện. Cả hai thuật ngữ có phạm vi rộng hơn.</x:v>
      </x:c>
      <x:c r="J76" s="11" t="str">
        <x:v>* Đề xuất để tiếp tục tra cứu</x:v>
      </x:c>
      <x:c r="K76" s="11" t="str">
        <x:v>Chưa có nguồn ánh xạ</x:v>
      </x:c>
      <x:c r="L76" s="11" t="str">
        <x:v>* Đề xuất để tiếp tục tra cứu</x:v>
      </x:c>
      <x:c r="M76" s="11" t="str">
        <x:v>Chưa có nguồn ánh xạ</x:v>
      </x:c>
      <x:c r="N76" s="11" t="str">
        <x:v>ủy ban chuyên môn</x:v>
      </x:c>
      <x:c r="O76" s="11" t="str">
        <x:v>전문위원회</x:v>
      </x:c>
      <x:c r="P76" s="11" t="str">
        <x:v>Ủy ban phụ trách một lĩnh vực chuyên môn trong nghị viện theo ngữ cảnh mẫu.</x:v>
      </x:c>
      <x:c r="Q76" s="11" t="str">
        <x:v>Ủy ban phụ trách một lĩnh vực chuyên môn trong nghị viện theo ngữ cảnh mẫu.</x:v>
      </x:c>
      <x:c r="R76" s="11" t="str">
        <x:v>N2</x:v>
      </x:c>
      <x:c r="S76" s="11" t="str">
        <x:v>Giữ làm đơn vị nghiên cứu</x:v>
      </x:c>
      <x:c r="T76" s="11" t="str">
        <x:v>M034</x:v>
      </x:c>
    </x:row>
    <x:row r="77" ht="67.5" customHeight="1">
      <x:c r="A77" s="11" t="n">
        <x:v>72</x:v>
      </x:c>
      <x:c r="B77" s="11" t="str">
        <x:v>T115</x:v>
      </x:c>
      <x:c r="C77" s="11" t="str">
        <x:v>Ủy ban nhân dân</x:v>
      </x:c>
      <x:c r="D77" s="40" t="str">
        <x:v>People's Committee *</x:v>
      </x:c>
      <x:c r="E77" s="11" t="str">
        <x:v>인민위원회</x:v>
      </x:c>
      <x:c r="F77" s="40" t="str">
        <x:v>People's Committee *</x:v>
      </x:c>
      <x:c r="G77" s="40" t="str">
        <x:v>Chưa đủ hai nguồn để so khớp</x:v>
      </x:c>
      <x:c r="H77" s="41" t="str">
        <x:v>Ứng viên — còn thiếu chứng cứ</x:v>
      </x:c>
      <x:c r="I77" s="11" t="str">
        <x:v>People’s Committee có thể cùng hình thức Anh ở nhiều quốc gia nhưng khác chức năng. Khóa Ủy ban nhân dân trong hệ thống Việt Nam.</x:v>
      </x:c>
      <x:c r="J77" s="11" t="str">
        <x:v>* Nhãn tham chiếu từ bảng trước</x:v>
      </x:c>
      <x:c r="K77" s="11" t="str">
        <x:v>Chưa có nguồn ánh xạ</x:v>
      </x:c>
      <x:c r="L77" s="11" t="str">
        <x:v>* Nhãn tham chiếu từ bảng trước</x:v>
      </x:c>
      <x:c r="M77" s="11" t="str">
        <x:v>Chưa có nguồn ánh xạ</x:v>
      </x:c>
      <x:c r="N77" s="11" t="str">
        <x:v>Ủy ban nhân dân</x:v>
      </x:c>
      <x:c r="O77" s="11" t="str">
        <x:v>인민위원회</x:v>
      </x:c>
      <x:c r="P77" s="11" t="str">
        <x:v>Cơ quan hành chính địa phương và cơ quan chấp hành của Hội đồng nhân dân theo pháp luật Việt Nam.</x:v>
      </x:c>
      <x:c r="Q77" s="11" t="str">
        <x:v>Cơ quan hành chính địa phương và cơ quan chấp hành của Hội đồng nhân dân theo pháp luật Việt Nam.</x:v>
      </x:c>
      <x:c r="R77" s="11" t="str">
        <x:v>N2</x:v>
      </x:c>
      <x:c r="S77" s="11" t="str">
        <x:v>Giữ làm đơn vị nghiên cứu</x:v>
      </x:c>
      <x:c r="T77" s="11" t="str">
        <x:v>T115</x:v>
      </x:c>
    </x:row>
    <x:row r="78" ht="67.5" customHeight="1">
      <x:c r="A78" s="11" t="n">
        <x:v>73</x:v>
      </x:c>
      <x:c r="B78" s="11" t="str">
        <x:v>T121</x:v>
      </x:c>
      <x:c r="C78" s="11" t="str">
        <x:v>Ủy ban Trung ương Mặt trận Tổ quốc Việt Nam</x:v>
      </x:c>
      <x:c r="D78" s="40" t="str">
        <x:v>Central Committee of the Viet Nam Fatherland Front *</x:v>
      </x:c>
      <x:c r="E78" s="11" t="str">
        <x:v>베트남 조국전선 중앙위원회</x:v>
      </x:c>
      <x:c r="F78" s="40" t="str">
        <x:v>Central Committee of the Viet Nam Fatherland Front *</x:v>
      </x:c>
      <x:c r="G78" s="40" t="str">
        <x:v>Chưa đủ hai nguồn để so khớp</x:v>
      </x:c>
      <x:c r="H78" s="41" t="str">
        <x:v>Ứng viên — còn thiếu chứng cứ</x:v>
      </x:c>
      <x:c r="I78" s="11" t="str">
        <x:v>Giữ nguyên biểu thức đầu vào. Chỉ tên tiếng Anh dự kiến; cần xác nhận riêng mỗi nhánh.</x:v>
      </x:c>
      <x:c r="J78" s="11" t="str">
        <x:v>* Nhãn tham chiếu từ bảng trước</x:v>
      </x:c>
      <x:c r="K78" s="11" t="str">
        <x:v>Chưa có nguồn ánh xạ</x:v>
      </x:c>
      <x:c r="L78" s="11" t="str">
        <x:v>* Nhãn tham chiếu từ bảng trước</x:v>
      </x:c>
      <x:c r="M78" s="11" t="str">
        <x:v>Chưa có nguồn ánh xạ</x:v>
      </x:c>
      <x:c r="N78" s="11" t="str">
        <x:v>Ủy ban Trung ương Mặt trận Tổ quốc Việt Nam</x:v>
      </x:c>
      <x:c r="O78" s="11" t="str">
        <x:v>베트남 조국전선 중앙위원회</x:v>
      </x:c>
      <x:c r="P78" s="11" t="str">
        <x:v>Cơ quan ở cấp trung ương của Mặt trận Tổ quốc Việt Nam, theo Điều lệ Mặt trận.</x:v>
      </x:c>
      <x:c r="Q78" s="11" t="str">
        <x:v>Cơ quan ở cấp trung ương của Mặt trận Tổ quốc Việt Nam, theo Điều lệ Mặt trận.</x:v>
      </x:c>
      <x:c r="R78" s="11" t="str">
        <x:v>N2</x:v>
      </x:c>
      <x:c r="S78" s="11" t="str">
        <x:v>Giữ làm đơn vị nghiên cứu</x:v>
      </x:c>
      <x:c r="T78" s="11" t="str">
        <x:v>T121</x:v>
      </x:c>
    </x:row>
    <x:row r="79" ht="67.5" customHeight="1">
      <x:c r="A79" s="11" t="n">
        <x:v>74</x:v>
      </x:c>
      <x:c r="B79" s="11" t="str">
        <x:v>T127</x:v>
      </x:c>
      <x:c r="C79" s="11" t="str">
        <x:v>Văn phòng Chính phủ</x:v>
      </x:c>
      <x:c r="D79" s="40" t="str">
        <x:v>Government Office (Viet Nam) *</x:v>
      </x:c>
      <x:c r="E79" s="11" t="str">
        <x:v>정부 사무처</x:v>
      </x:c>
      <x:c r="F79" s="40" t="str">
        <x:v>Government Office (Viet Nam) *</x:v>
      </x:c>
      <x:c r="G79" s="40" t="str">
        <x:v>Chưa đủ hai nguồn để so khớp</x:v>
      </x:c>
      <x:c r="H79" s="41" t="str">
        <x:v>Ứng viên — còn thiếu chứng cứ</x:v>
      </x:c>
      <x:c r="I79" s="11" t="str">
        <x:v>Văn phòng Chính phủ là tên một cơ quan cụ thể; 정부 사무처 là mô tả chung có thể không phải danh xưng cố định. Chưa đủ hai mapping.</x:v>
      </x:c>
      <x:c r="J79" s="11" t="str">
        <x:v>* Nhãn tham chiếu từ bảng trước</x:v>
      </x:c>
      <x:c r="K79" s="11" t="str">
        <x:v>Chưa có nguồn ánh xạ</x:v>
      </x:c>
      <x:c r="L79" s="11" t="str">
        <x:v>* Nhãn tham chiếu từ bảng trước</x:v>
      </x:c>
      <x:c r="M79" s="11" t="str">
        <x:v>Chưa có nguồn ánh xạ</x:v>
      </x:c>
      <x:c r="N79" s="11" t="str">
        <x:v>Văn phòng Chính phủ</x:v>
      </x:c>
      <x:c r="O79" s="11" t="str">
        <x:v>정부 사무처</x:v>
      </x:c>
      <x:c r="P79" s="11" t="str">
        <x:v>Cơ quan tham mưu tổng hợp, giúp Chính phủ và Thủ tướng tổ chức, điều phối công việc.</x:v>
      </x:c>
      <x:c r="Q79" s="11" t="str">
        <x:v>Cơ quan tham mưu tổng hợp, giúp Chính phủ và Thủ tướng tổ chức, điều phối công việc.</x:v>
      </x:c>
      <x:c r="R79" s="11" t="str">
        <x:v>N2</x:v>
      </x:c>
      <x:c r="S79" s="11" t="str">
        <x:v>Giữ làm đơn vị nghiên cứu</x:v>
      </x:c>
      <x:c r="T79" s="11" t="str">
        <x:v>T127</x:v>
      </x:c>
    </x:row>
    <x:row r="80" ht="67.5" customHeight="1">
      <x:c r="A80" s="11" t="n">
        <x:v>75</x:v>
      </x:c>
      <x:c r="B80" s="11" t="str">
        <x:v>T073</x:v>
      </x:c>
      <x:c r="C80" s="11" t="str">
        <x:v>chế độ chính trị</x:v>
      </x:c>
      <x:c r="D80" s="40" t="str">
        <x:v>political regime *</x:v>
      </x:c>
      <x:c r="E80" s="11" t="str">
        <x:v>정치 체제</x:v>
      </x:c>
      <x:c r="F80" s="40" t="str">
        <x:v>political system / political regime *</x:v>
      </x:c>
      <x:c r="G80" s="40" t="str">
        <x:v>Chưa đủ hai nguồn để so khớp</x:v>
      </x:c>
      <x:c r="H80" s="41" t="str">
        <x:v>Ứng viên — còn thiếu chứng cứ</x:v>
      </x:c>
      <x:c r="I80" s="11" t="str">
        <x:v>Ngữ liệu Việt chỉ có “chế độ”; nhãn bổ sung “chính trị” chưa có ánh xạ Anh trực tiếp. 정치 체제 có thể là political system hoặc political regime; không tự đồng nhất với T021.</x:v>
      </x:c>
      <x:c r="J80" s="11" t="str">
        <x:v>* Nhãn tham chiếu từ bảng trước</x:v>
      </x:c>
      <x:c r="K80" s="11" t="str">
        <x:v>Chưa có nguồn ánh xạ</x:v>
      </x:c>
      <x:c r="L80" s="11" t="str">
        <x:v>* Đề xuất để tiếp tục tra cứu</x:v>
      </x:c>
      <x:c r="M80" s="11" t="str">
        <x:v>Chưa có nguồn ánh xạ</x:v>
      </x:c>
      <x:c r="N80" s="11" t="str">
        <x:v>chế độ chính trị</x:v>
      </x:c>
      <x:c r="O80" s="11" t="str">
        <x:v>정치 체제</x:v>
      </x:c>
      <x:c r="P80" s="11" t="str">
        <x:v>Cách tổ chức và thực hiện quyền lực chính trị.</x:v>
      </x:c>
      <x:c r="Q80" s="11" t="str">
        <x:v>Cách tổ chức và thực hiện quyền lực chính trị.</x:v>
      </x:c>
      <x:c r="R80" s="11" t="str">
        <x:v>N3</x:v>
      </x:c>
      <x:c r="S80" s="11" t="str">
        <x:v>Giữ làm đơn vị nghiên cứu</x:v>
      </x:c>
      <x:c r="T80" s="11" t="str">
        <x:v>T073</x:v>
      </x:c>
    </x:row>
    <x:row r="81" ht="72" customHeight="1">
      <x:c r="A81" s="11" t="n">
        <x:v>76</x:v>
      </x:c>
      <x:c r="B81" s="11" t="str">
        <x:v>T129</x:v>
      </x:c>
      <x:c r="C81" s="11" t="str">
        <x:v>chính quyền địa phương hai cấp</x:v>
      </x:c>
      <x:c r="D81" s="40" t="str">
        <x:v>two-tier local government *</x:v>
      </x:c>
      <x:c r="E81" s="11" t="str">
        <x:v>2단계 지방 행정</x:v>
      </x:c>
      <x:c r="F81" s="40" t="str">
        <x:v>two-tier local administration *</x:v>
      </x:c>
      <x:c r="G81" s="44" t="str">
        <x:v>Khác biểu thức / phạm vi</x:v>
      </x:c>
      <x:c r="H81" s="45" t="str">
        <x:v>Lệch nghĩa / phạm vi</x:v>
      </x:c>
      <x:c r="I81" s="11" t="str">
        <x:v>Chuỗi danh mục Hàn là 2단계 지방 행정 (hành chính địa phương hai tầng), trong khi câu ngữ liệu dùng 2단계 지방정부 모델. Cần sửa/khóa đúng chuỗi trước khi xác nhận chính quyền–government.</x:v>
      </x:c>
      <x:c r="J81" s="11" t="str">
        <x:v>* Nhãn tham chiếu từ bảng trước</x:v>
      </x:c>
      <x:c r="K81" s="11" t="str">
        <x:v>Chưa có nguồn ánh xạ</x:v>
      </x:c>
      <x:c r="L81" s="11" t="str">
        <x:v>* Đề xuất để tiếp tục tra cứu</x:v>
      </x:c>
      <x:c r="M81" s="11" t="str">
        <x:v>Chưa có nguồn ánh xạ</x:v>
      </x:c>
      <x:c r="N81" s="11" t="str">
        <x:v>chính quyền địa phương hai cấp</x:v>
      </x:c>
      <x:c r="O81" s="11" t="str">
        <x:v>2단계 지방 행정</x:v>
      </x:c>
      <x:c r="P81" s="11" t="str">
        <x:v>Mô hình chính quyền địa phương gồm cấp tỉnh và cấp xã trong pháp luật Việt Nam được dẫn.</x:v>
      </x:c>
      <x:c r="Q81" s="11" t="str">
        <x:v>Mô hình chính quyền địa phương gồm cấp tỉnh và cấp xã trong pháp luật Việt Nam được dẫn.</x:v>
      </x:c>
      <x:c r="R81" s="11" t="str">
        <x:v>N3</x:v>
      </x:c>
      <x:c r="S81" s="11" t="str">
        <x:v>Giữ làm đơn vị nghiên cứu</x:v>
      </x:c>
      <x:c r="T81" s="11" t="str">
        <x:v>T129</x:v>
      </x:c>
    </x:row>
    <x:row r="82" ht="67.5" customHeight="1">
      <x:c r="A82" s="11" t="n">
        <x:v>77</x:v>
      </x:c>
      <x:c r="B82" s="11" t="str">
        <x:v>T151</x:v>
      </x:c>
      <x:c r="C82" s="11" t="str">
        <x:v>chính sách đối ngoại</x:v>
      </x:c>
      <x:c r="D82" s="11" t="str">
        <x:v>foreign policy</x:v>
      </x:c>
      <x:c r="E82" s="11" t="str">
        <x:v>외교정책</x:v>
      </x:c>
      <x:c r="F82" s="11" t="str">
        <x:v>foreign policy</x:v>
      </x:c>
      <x:c r="G82" s="38" t="str">
        <x:v>Trùng biểu thức Anh</x:v>
      </x:c>
      <x:c r="H82" s="39" t="str">
        <x:v>Xác nhận — cùng biểu thức Anh</x:v>
      </x:c>
      <x:c r="I82" s="11" t="str">
        <x:v>Xét hệ thống định hướng và biện pháp đối ngoại của quốc gia; không đồng nhất với một đường lối cụ thể ở T145.</x:v>
      </x:c>
      <x:c r="J82" s="11" t="str">
        <x:v>Đối chiếu văn bản song song</x:v>
      </x:c>
      <x:c r="K82" s="37" t="str">
        <x:v>EB080
Nguồn kiểm tra, dòng 724</x:v>
      </x:c>
      <x:c r="L82" s="11" t="str">
        <x:v>Đối chiếu văn bản song song</x:v>
      </x:c>
      <x:c r="M82" s="37" t="str">
        <x:v>EB081
Nguồn kiểm tra, dòng 725</x:v>
      </x:c>
      <x:c r="N82" s="11" t="str">
        <x:v>chính sách đối ngoại</x:v>
      </x:c>
      <x:c r="O82" s="11" t="str">
        <x:v>외교정책</x:v>
      </x:c>
      <x:c r="P82" s="11" t="str">
        <x:v>Định hướng hoạt động đối ngoại của quốc gia.</x:v>
      </x:c>
      <x:c r="Q82" s="11" t="str">
        <x:v>Chính sách đối ngoại của chính phủ.</x:v>
      </x:c>
      <x:c r="R82" s="11" t="str">
        <x:v>N3</x:v>
      </x:c>
      <x:c r="S82" s="11" t="str">
        <x:v>Giữ làm đơn vị nghiên cứu</x:v>
      </x:c>
      <x:c r="T82" s="11" t="str">
        <x:v>T151</x:v>
      </x:c>
    </x:row>
    <x:row r="83" ht="67.5" customHeight="1">
      <x:c r="A83" s="11" t="n">
        <x:v>78</x:v>
      </x:c>
      <x:c r="B83" s="11" t="str">
        <x:v>T066</x:v>
      </x:c>
      <x:c r="C83" s="11" t="str">
        <x:v>chính sách quốc phòng</x:v>
      </x:c>
      <x:c r="D83" s="40" t="str">
        <x:v>defence policy *</x:v>
      </x:c>
      <x:c r="E83" s="11" t="str">
        <x:v>국방정책</x:v>
      </x:c>
      <x:c r="F83" s="40" t="str">
        <x:v>defence policy *</x:v>
      </x:c>
      <x:c r="G83" s="40" t="str">
        <x:v>Chưa đủ hai nguồn để so khớp</x:v>
      </x:c>
      <x:c r="H83" s="41" t="str">
        <x:v>Ứng viên — còn thiếu chứng cứ</x:v>
      </x:c>
      <x:c r="I83" s="11" t="str">
        <x:v>Chưa tìm được ánh xạ song ngữ trực tiếp của cả hai biểu thức trong lượt này; nghĩa chính sách quốc phòng có thể hợp lý nhưng không phải đã chứng minh bằng tiếng Anh.</x:v>
      </x:c>
      <x:c r="J83" s="11" t="str">
        <x:v>* Nhãn tham chiếu từ bảng trước</x:v>
      </x:c>
      <x:c r="K83" s="11" t="str">
        <x:v>Chưa có nguồn ánh xạ</x:v>
      </x:c>
      <x:c r="L83" s="11" t="str">
        <x:v>* Nhãn tham chiếu từ bảng trước</x:v>
      </x:c>
      <x:c r="M83" s="11" t="str">
        <x:v>Chưa có nguồn ánh xạ</x:v>
      </x:c>
      <x:c r="N83" s="11" t="str">
        <x:v>chính sách quốc phòng</x:v>
      </x:c>
      <x:c r="O83" s="11" t="str">
        <x:v>국방정책</x:v>
      </x:c>
      <x:c r="P83" s="11" t="str">
        <x:v>Quan điểm, mục tiêu và biện pháp của Nhà nước về xây dựng quốc phòng và bảo vệ đất nước.</x:v>
      </x:c>
      <x:c r="Q83" s="11" t="str">
        <x:v>Quan điểm, mục tiêu và biện pháp của Nhà nước về xây dựng quốc phòng và bảo vệ đất nước.</x:v>
      </x:c>
      <x:c r="R83" s="11" t="str">
        <x:v>N3</x:v>
      </x:c>
      <x:c r="S83" s="11" t="str">
        <x:v>Giữ làm đơn vị nghiên cứu</x:v>
      </x:c>
      <x:c r="T83" s="11" t="str">
        <x:v>T066</x:v>
      </x:c>
    </x:row>
    <x:row r="84" ht="67.5" customHeight="1">
      <x:c r="A84" s="11" t="n">
        <x:v>79</x:v>
      </x:c>
      <x:c r="B84" s="11" t="str">
        <x:v>T072</x:v>
      </x:c>
      <x:c r="C84" s="11" t="str">
        <x:v>chính sách tôn giáo</x:v>
      </x:c>
      <x:c r="D84" s="40" t="str">
        <x:v>religious policy *</x:v>
      </x:c>
      <x:c r="E84" s="11" t="str">
        <x:v>종교 정책</x:v>
      </x:c>
      <x:c r="F84" s="40" t="str">
        <x:v>religious policy *</x:v>
      </x:c>
      <x:c r="G84" s="40" t="str">
        <x:v>Chưa đủ hai nguồn để so khớp</x:v>
      </x:c>
      <x:c r="H84" s="41" t="str">
        <x:v>Ứng viên — còn thiếu chứng cứ</x:v>
      </x:c>
      <x:c r="I84" s="11" t="str">
        <x:v>Cần phân biệt chính sách của nhà nước đối với tôn giáo với chính sách do tổ chức tôn giáo đề ra; hai ánh xạ Anh vẫn chưa xác minh.</x:v>
      </x:c>
      <x:c r="J84" s="11" t="str">
        <x:v>* Nhãn tham chiếu từ bảng trước</x:v>
      </x:c>
      <x:c r="K84" s="11" t="str">
        <x:v>Chưa có nguồn ánh xạ</x:v>
      </x:c>
      <x:c r="L84" s="11" t="str">
        <x:v>* Nhãn tham chiếu từ bảng trước</x:v>
      </x:c>
      <x:c r="M84" s="11" t="str">
        <x:v>Chưa có nguồn ánh xạ</x:v>
      </x:c>
      <x:c r="N84" s="11" t="str">
        <x:v>chính sách tôn giáo</x:v>
      </x:c>
      <x:c r="O84" s="11" t="str">
        <x:v>종교 정책</x:v>
      </x:c>
      <x:c r="P84" s="11" t="str">
        <x:v>Quan điểm, biện pháp nhà nước về tín ngưỡng, tôn giáo.</x:v>
      </x:c>
      <x:c r="Q84" s="11" t="str">
        <x:v>Quan điểm, biện pháp nhà nước về tín ngưỡng, tôn giáo.</x:v>
      </x:c>
      <x:c r="R84" s="11" t="str">
        <x:v>N3</x:v>
      </x:c>
      <x:c r="S84" s="11" t="str">
        <x:v>Giữ làm đơn vị nghiên cứu</x:v>
      </x:c>
      <x:c r="T84" s="11" t="str">
        <x:v>T072</x:v>
      </x:c>
    </x:row>
    <x:row r="85" ht="67.5" customHeight="1">
      <x:c r="A85" s="11" t="n">
        <x:v>80</x:v>
      </x:c>
      <x:c r="B85" s="11" t="str">
        <x:v>T154</x:v>
      </x:c>
      <x:c r="C85" s="11" t="str">
        <x:v>chủ nghĩa đa phương</x:v>
      </x:c>
      <x:c r="D85" s="11" t="str">
        <x:v>multilateralism</x:v>
      </x:c>
      <x:c r="E85" s="11" t="str">
        <x:v>다자주의</x:v>
      </x:c>
      <x:c r="F85" s="11" t="str">
        <x:v>multilateralism</x:v>
      </x:c>
      <x:c r="G85" s="38" t="str">
        <x:v>Trùng biểu thức Anh</x:v>
      </x:c>
      <x:c r="H85" s="39" t="str">
        <x:v>Xác nhận — cùng biểu thức Anh</x:v>
      </x:c>
      <x:c r="I85" s="11" t="str">
        <x:v>Multilateralism là quan điểm/cách tổ chức hợp tác nhiều bên; phân biệt multilateralization ở C091.</x:v>
      </x:c>
      <x:c r="J85" s="11" t="str">
        <x:v>Đối dịch tường minh trong nguồn</x:v>
      </x:c>
      <x:c r="K85" s="37" t="str">
        <x:v>EB082
Nguồn kiểm tra, dòng 726</x:v>
      </x:c>
      <x:c r="L85" s="11" t="str">
        <x:v>Đối dịch tường minh trong nguồn</x:v>
      </x:c>
      <x:c r="M85" s="37" t="str">
        <x:v>EB083
Nguồn kiểm tra, dòng 727</x:v>
      </x:c>
      <x:c r="N85" s="11" t="str">
        <x:v>chủ nghĩa đa phương</x:v>
      </x:c>
      <x:c r="O85" s="11" t="str">
        <x:v>다자주의</x:v>
      </x:c>
      <x:c r="P85" s="11" t="str">
        <x:v>Nguyên tắc và thực hành hợp tác nhiều bên.</x:v>
      </x:c>
      <x:c r="Q85" s="11" t="str">
        <x:v>Quan điểm hợp tác đa phương theo Hiến chương và luật quốc tế.</x:v>
      </x:c>
      <x:c r="R85" s="11" t="str">
        <x:v>N3</x:v>
      </x:c>
      <x:c r="S85" s="11" t="str">
        <x:v>Giữ làm đơn vị nghiên cứu</x:v>
      </x:c>
      <x:c r="T85" s="11" t="str">
        <x:v>T154</x:v>
      </x:c>
    </x:row>
    <x:row r="86" ht="67.5" customHeight="1">
      <x:c r="A86" s="11" t="n">
        <x:v>81</x:v>
      </x:c>
      <x:c r="B86" s="11" t="str">
        <x:v>T055</x:v>
      </x:c>
      <x:c r="C86" s="11" t="str">
        <x:v>chủ nghĩa Mác-Lênin</x:v>
      </x:c>
      <x:c r="D86" s="40" t="str">
        <x:v>Marxism–Leninism *</x:v>
      </x:c>
      <x:c r="E86" s="11" t="str">
        <x:v>마르크스-레닌주의</x:v>
      </x:c>
      <x:c r="F86" s="40" t="str">
        <x:v>Marxism–Leninism *</x:v>
      </x:c>
      <x:c r="G86" s="40" t="str">
        <x:v>Chưa đủ hai nguồn để so khớp</x:v>
      </x:c>
      <x:c r="H86" s="41" t="str">
        <x:v>Ứng viên — còn thiếu chứng cứ</x:v>
      </x:c>
      <x:c r="I86" s="11" t="str">
        <x:v>Tên hệ lý luận có dạng Anh ổn định được đề xuất trong hồ sơ, nhưng chưa đọc nguồn đối dịch trực tiếp cho hai chân ở lượt này.</x:v>
      </x:c>
      <x:c r="J86" s="11" t="str">
        <x:v>* Nhãn tham chiếu từ bảng trước</x:v>
      </x:c>
      <x:c r="K86" s="11" t="str">
        <x:v>Chưa có nguồn ánh xạ</x:v>
      </x:c>
      <x:c r="L86" s="11" t="str">
        <x:v>* Nhãn tham chiếu từ bảng trước</x:v>
      </x:c>
      <x:c r="M86" s="11" t="str">
        <x:v>Chưa có nguồn ánh xạ</x:v>
      </x:c>
      <x:c r="N86" s="11" t="str">
        <x:v>chủ nghĩa Mác-Lênin</x:v>
      </x:c>
      <x:c r="O86" s="11" t="str">
        <x:v>마르크스-레닌주의</x:v>
      </x:c>
      <x:c r="P86" s="11" t="str">
        <x:v>Hệ lý luận của Marx và Lenin.</x:v>
      </x:c>
      <x:c r="Q86" s="11" t="str">
        <x:v>Hệ lý luận của Marx và Lenin.</x:v>
      </x:c>
      <x:c r="R86" s="11" t="str">
        <x:v>N3</x:v>
      </x:c>
      <x:c r="S86" s="11" t="str">
        <x:v>Giữ làm đơn vị nghiên cứu</x:v>
      </x:c>
      <x:c r="T86" s="11" t="str">
        <x:v>T055</x:v>
      </x:c>
    </x:row>
    <x:row r="87" ht="67.5" customHeight="1">
      <x:c r="A87" s="11" t="n">
        <x:v>82</x:v>
      </x:c>
      <x:c r="B87" s="11" t="str">
        <x:v>CGP001</x:v>
      </x:c>
      <x:c r="C87" s="11" t="str">
        <x:v>chủ nghĩa quốc tế</x:v>
      </x:c>
      <x:c r="D87" s="40" t="str">
        <x:v>internationalism *</x:v>
      </x:c>
      <x:c r="E87" s="11" t="str">
        <x:v>국제주의</x:v>
      </x:c>
      <x:c r="F87" s="40" t="str">
        <x:v>internationalism *</x:v>
      </x:c>
      <x:c r="G87" s="40" t="str">
        <x:v>Chưa đủ hai nguồn để so khớp</x:v>
      </x:c>
      <x:c r="H87" s="41" t="str">
        <x:v>Ứng viên — còn thiếu chứng cứ</x:v>
      </x:c>
      <x:c r="I87" s="11" t="str">
        <x:v>Ngữ liệu cần nghĩa quốc tế chủ nghĩa của phong trào cách mạng; internationalism chung không tự chứng minh sắc thái proletarian internationalism.</x:v>
      </x:c>
      <x:c r="J87" s="11" t="str">
        <x:v>* Nhãn tham chiếu từ bảng trước</x:v>
      </x:c>
      <x:c r="K87" s="11" t="str">
        <x:v>Chưa có nguồn ánh xạ</x:v>
      </x:c>
      <x:c r="L87" s="11" t="str">
        <x:v>* Nhãn tham chiếu từ bảng trước</x:v>
      </x:c>
      <x:c r="M87" s="11" t="str">
        <x:v>Chưa có nguồn ánh xạ</x:v>
      </x:c>
      <x:c r="N87" s="11" t="str">
        <x:v>chủ nghĩa quốc tế</x:v>
      </x:c>
      <x:c r="O87" s="11" t="str">
        <x:v>국제주의</x:v>
      </x:c>
      <x:c r="P87" s="11" t="str">
        <x:v>Quan điểm đề cao đoàn kết và hợp tác giữa các dân tộc; trong ngữ liệu cần giữ phạm vi quốc tế chủ nghĩa của phong trào cách mạng.</x:v>
      </x:c>
      <x:c r="Q87" s="11" t="str">
        <x:v>Quan điểm đề cao đoàn kết và hợp tác giữa các dân tộc; trong ngữ liệu cần giữ phạm vi quốc tế chủ nghĩa của phong trào cách mạng.</x:v>
      </x:c>
      <x:c r="R87" s="11" t="str">
        <x:v>N3</x:v>
      </x:c>
      <x:c r="S87" s="11" t="str">
        <x:v>Giữ làm đơn vị nghiên cứu</x:v>
      </x:c>
      <x:c r="T87" s="11" t="str">
        <x:v>CGP001</x:v>
      </x:c>
    </x:row>
    <x:row r="88" ht="72" customHeight="1">
      <x:c r="A88" s="11" t="n">
        <x:v>83</x:v>
      </x:c>
      <x:c r="B88" s="11" t="str">
        <x:v>T029</x:v>
      </x:c>
      <x:c r="C88" s="11" t="str">
        <x:v>chủ nghĩa xã hội</x:v>
      </x:c>
      <x:c r="D88" s="11" t="str">
        <x:v>socialism</x:v>
      </x:c>
      <x:c r="E88" s="11" t="str">
        <x:v>사회주의</x:v>
      </x:c>
      <x:c r="F88" s="11" t="str">
        <x:v>socialism</x:v>
      </x:c>
      <x:c r="G88" s="40" t="str">
        <x:v>Trùng biểu thức Anh</x:v>
      </x:c>
      <x:c r="H88" s="41" t="str">
        <x:v>Có điều kiện — chưa chốt</x:v>
      </x:c>
      <x:c r="I88" s="11" t="str">
        <x:v>Nguồn từ điển có ánh xạ hai ngôn ngữ qua socialism. Nghĩa chế độ xã hội trong ngữ liệu vẫn cần giữ riêng với nghĩa học thuyết; không dùng định nghĩa phổ thông làm định nghĩa đầy đủ mô hình Việt Nam.</x:v>
      </x:c>
      <x:c r="J88" s="11" t="str">
        <x:v>Đối dịch trong từ điển</x:v>
      </x:c>
      <x:c r="K88" s="37" t="str">
        <x:v>EB084
Nguồn kiểm tra, dòng 728</x:v>
      </x:c>
      <x:c r="L88" s="11" t="str">
        <x:v>Đối dịch trong từ điển</x:v>
      </x:c>
      <x:c r="M88" s="37" t="str">
        <x:v>EB085
Nguồn kiểm tra, dòng 729</x:v>
      </x:c>
      <x:c r="N88" s="11" t="str">
        <x:v>chủ nghĩa xã hội</x:v>
      </x:c>
      <x:c r="O88" s="11" t="str">
        <x:v>사회주의</x:v>
      </x:c>
      <x:c r="P88" s="11" t="str">
        <x:v>Chế độ chính trị/xã hội hướng đến phân phối cơ hội và của cải bình đẳng.</x:v>
      </x:c>
      <x:c r="Q88" s="11" t="str">
        <x:v>Chế độ chính trị/xã hội hướng đến phân phối cơ hội và của cải bình đẳng.</x:v>
      </x:c>
      <x:c r="R88" s="11" t="str">
        <x:v>N3</x:v>
      </x:c>
      <x:c r="S88" s="11" t="str">
        <x:v>Giữ làm đơn vị nghiên cứu</x:v>
      </x:c>
      <x:c r="T88" s="11" t="str">
        <x:v>T029</x:v>
      </x:c>
    </x:row>
    <x:row r="89" ht="67.5" customHeight="1">
      <x:c r="A89" s="11" t="n">
        <x:v>84</x:v>
      </x:c>
      <x:c r="B89" s="11" t="str">
        <x:v>T061</x:v>
      </x:c>
      <x:c r="C89" s="11" t="str">
        <x:v>chủ quyền quốc gia</x:v>
      </x:c>
      <x:c r="D89" s="40" t="str">
        <x:v>national sovereignty *</x:v>
      </x:c>
      <x:c r="E89" s="11" t="str">
        <x:v>국가 주권</x:v>
      </x:c>
      <x:c r="F89" s="40" t="str">
        <x:v>national sovereignty *</x:v>
      </x:c>
      <x:c r="G89" s="40" t="str">
        <x:v>Chưa đủ hai nguồn để so khớp</x:v>
      </x:c>
      <x:c r="H89" s="41" t="str">
        <x:v>Ứng viên — còn thiếu chứng cứ</x:v>
      </x:c>
      <x:c r="I89" s="11" t="str">
        <x:v>Phải giữ chủ quyền quốc gia, không thay bằng chủ quyền nhân dân hoặc quyền chủ quyền. Dạng Anh cũ chưa là ánh xạ được kiểm chứng.</x:v>
      </x:c>
      <x:c r="J89" s="11" t="str">
        <x:v>* Nhãn tham chiếu từ bảng trước</x:v>
      </x:c>
      <x:c r="K89" s="11" t="str">
        <x:v>Chưa có nguồn ánh xạ</x:v>
      </x:c>
      <x:c r="L89" s="11" t="str">
        <x:v>* Nhãn tham chiếu từ bảng trước</x:v>
      </x:c>
      <x:c r="M89" s="11" t="str">
        <x:v>Chưa có nguồn ánh xạ</x:v>
      </x:c>
      <x:c r="N89" s="11" t="str">
        <x:v>chủ quyền quốc gia</x:v>
      </x:c>
      <x:c r="O89" s="11" t="str">
        <x:v>국가 주권</x:v>
      </x:c>
      <x:c r="P89" s="11" t="str">
        <x:v>Quyền lực tối cao đối nội và quyền quyết định độc lập đối ngoại của quốc gia.</x:v>
      </x:c>
      <x:c r="Q89" s="11" t="str">
        <x:v>Quyền lực tối cao đối nội và quyền quyết định độc lập đối ngoại của quốc gia.</x:v>
      </x:c>
      <x:c r="R89" s="11" t="str">
        <x:v>N3</x:v>
      </x:c>
      <x:c r="S89" s="11" t="str">
        <x:v>Giữ làm đơn vị nghiên cứu</x:v>
      </x:c>
      <x:c r="T89" s="11" t="str">
        <x:v>T061</x:v>
      </x:c>
    </x:row>
    <x:row r="90" ht="67.5" customHeight="1">
      <x:c r="A90" s="11" t="n">
        <x:v>85</x:v>
      </x:c>
      <x:c r="B90" s="11" t="str">
        <x:v>T023</x:v>
      </x:c>
      <x:c r="C90" s="11" t="str">
        <x:v>dân chủ</x:v>
      </x:c>
      <x:c r="D90" s="11" t="str">
        <x:v>democracy</x:v>
      </x:c>
      <x:c r="E90" s="11" t="str">
        <x:v>민주주의</x:v>
      </x:c>
      <x:c r="F90" s="11" t="str">
        <x:v>democracy</x:v>
      </x:c>
      <x:c r="G90" s="40" t="str">
        <x:v>Trùng biểu thức Anh</x:v>
      </x:c>
      <x:c r="H90" s="41" t="str">
        <x:v>Có điều kiện — chưa chốt</x:v>
      </x:c>
      <x:c r="I90" s="11" t="str">
        <x:v>Chọn nghĩa chế độ chính trị. Từ điển có sự dân chủ/민주주의 qua democracy; khác biệt “sự” là danh hóa nhưng cần ghi đúng dạng từ nguồn.</x:v>
      </x:c>
      <x:c r="J90" s="11" t="str">
        <x:v>Đối dịch trong từ điển</x:v>
      </x:c>
      <x:c r="K90" s="37" t="str">
        <x:v>EB086
Nguồn kiểm tra, dòng 730</x:v>
      </x:c>
      <x:c r="L90" s="11" t="str">
        <x:v>Đối dịch trong từ điển</x:v>
      </x:c>
      <x:c r="M90" s="37" t="str">
        <x:v>EB087
Nguồn kiểm tra, dòng 731</x:v>
      </x:c>
      <x:c r="N90" s="11" t="str">
        <x:v>sự dân chủ</x:v>
      </x:c>
      <x:c r="O90" s="11" t="str">
        <x:v>민주주의</x:v>
      </x:c>
      <x:c r="P90" s="11" t="str">
        <x:v>Chế độ chính trị trong đó người dân lựa chọn chính phủ qua bầu cử.</x:v>
      </x:c>
      <x:c r="Q90" s="11" t="str">
        <x:v>Hệ thống chính quyền do người dân lựa chọn lãnh đạo.</x:v>
      </x:c>
      <x:c r="R90" s="11" t="str">
        <x:v>N3</x:v>
      </x:c>
      <x:c r="S90" s="11" t="str">
        <x:v>Giữ làm đơn vị nghiên cứu</x:v>
      </x:c>
      <x:c r="T90" s="11" t="str">
        <x:v>T023</x:v>
      </x:c>
    </x:row>
    <x:row r="91" ht="67.5" customHeight="1">
      <x:c r="A91" s="11" t="n">
        <x:v>86</x:v>
      </x:c>
      <x:c r="B91" s="11" t="str">
        <x:v>T042</x:v>
      </x:c>
      <x:c r="C91" s="11" t="str">
        <x:v>độc lập dân tộc</x:v>
      </x:c>
      <x:c r="D91" s="40" t="str">
        <x:v>national independence *</x:v>
      </x:c>
      <x:c r="E91" s="11" t="str">
        <x:v>민족 독립</x:v>
      </x:c>
      <x:c r="F91" s="40" t="str">
        <x:v>national independence *</x:v>
      </x:c>
      <x:c r="G91" s="40" t="str">
        <x:v>Chưa đủ hai nguồn để so khớp</x:v>
      </x:c>
      <x:c r="H91" s="41" t="str">
        <x:v>Ứng viên — còn thiếu chứng cứ</x:v>
      </x:c>
      <x:c r="I91" s="11" t="str">
        <x:v>National independence có thể chỉ độc lập quốc gia; 민족 độc lập có thể gắn dân tộc. Chưa có hai ánh xạ nguồn khóa cùng phạm vi.</x:v>
      </x:c>
      <x:c r="J91" s="11" t="str">
        <x:v>* Nhãn tham chiếu từ bảng trước</x:v>
      </x:c>
      <x:c r="K91" s="11" t="str">
        <x:v>Chưa có nguồn ánh xạ</x:v>
      </x:c>
      <x:c r="L91" s="11" t="str">
        <x:v>* Nhãn tham chiếu từ bảng trước</x:v>
      </x:c>
      <x:c r="M91" s="11" t="str">
        <x:v>Chưa có nguồn ánh xạ</x:v>
      </x:c>
      <x:c r="N91" s="11" t="str">
        <x:v>độc lập dân tộc</x:v>
      </x:c>
      <x:c r="O91" s="11" t="str">
        <x:v>민족 독립</x:v>
      </x:c>
      <x:c r="P91" s="11" t="str">
        <x:v>Trạng thái dân tộc tự quyết, thoát khỏi thống trị bên ngoài.</x:v>
      </x:c>
      <x:c r="Q91" s="11" t="str">
        <x:v>Trạng thái dân tộc tự quyết, thoát khỏi thống trị bên ngoài.</x:v>
      </x:c>
      <x:c r="R91" s="11" t="str">
        <x:v>Cần xem xét</x:v>
      </x:c>
      <x:c r="S91" s="11" t="str">
        <x:v>Giữ làm đơn vị nghiên cứu</x:v>
      </x:c>
      <x:c r="T91" s="11" t="str">
        <x:v>T042</x:v>
      </x:c>
    </x:row>
    <x:row r="92" ht="67.5" customHeight="1">
      <x:c r="A92" s="11" t="n">
        <x:v>87</x:v>
      </x:c>
      <x:c r="B92" s="11" t="str">
        <x:v>T037</x:v>
      </x:c>
      <x:c r="C92" s="11" t="str">
        <x:v>độc lập, tự chủ</x:v>
      </x:c>
      <x:c r="D92" s="40" t="str">
        <x:v>independence and self-reliance *</x:v>
      </x:c>
      <x:c r="E92" s="11" t="str">
        <x:v>독립, 자주</x:v>
      </x:c>
      <x:c r="F92" s="40" t="str">
        <x:v>independence and autonomy *</x:v>
      </x:c>
      <x:c r="G92" s="40" t="str">
        <x:v>Chưa đủ hai nguồn để so khớp</x:v>
      </x:c>
      <x:c r="H92" s="41" t="str">
        <x:v>Ứng viên — còn thiếu chứng cứ</x:v>
      </x:c>
      <x:c r="I92" s="11" t="str">
        <x:v>Self-reliance nhấn mạnh tự lực, autonomy nhấn mạnh tự quyết; không ép “tự chủ” và 자주 cùng một dạng Anh do tự dịch.</x:v>
      </x:c>
      <x:c r="J92" s="11" t="str">
        <x:v>* Nhãn tham chiếu từ bảng trước</x:v>
      </x:c>
      <x:c r="K92" s="11" t="str">
        <x:v>Chưa có nguồn ánh xạ</x:v>
      </x:c>
      <x:c r="L92" s="11" t="str">
        <x:v>* Đề xuất để tiếp tục tra cứu</x:v>
      </x:c>
      <x:c r="M92" s="11" t="str">
        <x:v>Chưa có nguồn ánh xạ</x:v>
      </x:c>
      <x:c r="N92" s="11" t="str">
        <x:v>độc lập, tự chủ</x:v>
      </x:c>
      <x:c r="O92" s="11" t="str">
        <x:v>독립, 자주</x:v>
      </x:c>
      <x:c r="P92" s="11" t="str">
        <x:v>Nguyên tắc tự quyết đường lối, tránh lệ thuộc bên ngoài.</x:v>
      </x:c>
      <x:c r="Q92" s="11" t="str">
        <x:v>Nguyên tắc tự quyết đường lối, tránh lệ thuộc bên ngoài.</x:v>
      </x:c>
      <x:c r="R92" s="11" t="str">
        <x:v>N3</x:v>
      </x:c>
      <x:c r="S92" s="11" t="str">
        <x:v>Giữ làm đơn vị nghiên cứu</x:v>
      </x:c>
      <x:c r="T92" s="11" t="str">
        <x:v>T037</x:v>
      </x:c>
    </x:row>
    <x:row r="93" ht="67.5" customHeight="1">
      <x:c r="A93" s="11" t="n">
        <x:v>88</x:v>
      </x:c>
      <x:c r="B93" s="11" t="str">
        <x:v>T022</x:v>
      </x:c>
      <x:c r="C93" s="11" t="str">
        <x:v>đường lối</x:v>
      </x:c>
      <x:c r="D93" s="40" t="str">
        <x:v>political line *</x:v>
      </x:c>
      <x:c r="E93" s="11" t="str">
        <x:v>노선</x:v>
      </x:c>
      <x:c r="F93" s="40" t="str">
        <x:v>political line *</x:v>
      </x:c>
      <x:c r="G93" s="40" t="str">
        <x:v>Chưa đủ hai nguồn để so khớp</x:v>
      </x:c>
      <x:c r="H93" s="41" t="str">
        <x:v>Ứng viên — còn thiếu chứng cứ</x:v>
      </x:c>
      <x:c r="I93" s="11" t="str">
        <x:v>노선 đa nghĩa tuyến đường/đường lối. Chỉ nghĩa phương hướng chính trị được xét; political line trong hồ sơ chưa có hai nguồn ánh xạ.</x:v>
      </x:c>
      <x:c r="J93" s="11" t="str">
        <x:v>* Nhãn tham chiếu từ bảng trước</x:v>
      </x:c>
      <x:c r="K93" s="11" t="str">
        <x:v>Chưa có nguồn ánh xạ</x:v>
      </x:c>
      <x:c r="L93" s="11" t="str">
        <x:v>* Nhãn tham chiếu từ bảng trước</x:v>
      </x:c>
      <x:c r="M93" s="11" t="str">
        <x:v>Chưa có nguồn ánh xạ</x:v>
      </x:c>
      <x:c r="N93" s="11" t="str">
        <x:v>đường lối</x:v>
      </x:c>
      <x:c r="O93" s="11" t="str">
        <x:v>노선</x:v>
      </x:c>
      <x:c r="P93" s="11" t="str">
        <x:v>Định hướng hành động căn bản của chính đảng.</x:v>
      </x:c>
      <x:c r="Q93" s="11" t="str">
        <x:v>Định hướng hành động căn bản của chính đảng.</x:v>
      </x:c>
      <x:c r="R93" s="11" t="str">
        <x:v>N3</x:v>
      </x:c>
      <x:c r="S93" s="11" t="str">
        <x:v>Giữ làm đơn vị nghiên cứu</x:v>
      </x:c>
      <x:c r="T93" s="11" t="str">
        <x:v>T022</x:v>
      </x:c>
    </x:row>
    <x:row r="94" ht="67.5" customHeight="1">
      <x:c r="A94" s="11" t="n">
        <x:v>89</x:v>
      </x:c>
      <x:c r="B94" s="11" t="str">
        <x:v>T145</x:v>
      </x:c>
      <x:c r="C94" s="11" t="str">
        <x:v>đường lối đối ngoại</x:v>
      </x:c>
      <x:c r="D94" s="40" t="str">
        <x:v>foreign policy line *</x:v>
      </x:c>
      <x:c r="E94" s="11" t="str">
        <x:v>대외정책 노선</x:v>
      </x:c>
      <x:c r="F94" s="40" t="str">
        <x:v>foreign policy line *</x:v>
      </x:c>
      <x:c r="G94" s="40" t="str">
        <x:v>Chưa đủ hai nguồn để so khớp</x:v>
      </x:c>
      <x:c r="H94" s="41" t="str">
        <x:v>Ứng viên — còn thiếu chứng cứ</x:v>
      </x:c>
      <x:c r="I94" s="11" t="str">
        <x:v>Cần ánh xạ cả biểu thức đường lối đối ngoại và 대외정책 노선; không suy từ foreign policy của T151.</x:v>
      </x:c>
      <x:c r="J94" s="11" t="str">
        <x:v>* Nhãn tham chiếu từ bảng trước</x:v>
      </x:c>
      <x:c r="K94" s="11" t="str">
        <x:v>Chưa có nguồn ánh xạ</x:v>
      </x:c>
      <x:c r="L94" s="11" t="str">
        <x:v>* Nhãn tham chiếu từ bảng trước</x:v>
      </x:c>
      <x:c r="M94" s="11" t="str">
        <x:v>Chưa có nguồn ánh xạ</x:v>
      </x:c>
      <x:c r="N94" s="11" t="str">
        <x:v>đường lối đối ngoại</x:v>
      </x:c>
      <x:c r="O94" s="11" t="str">
        <x:v>대외정책 노선</x:v>
      </x:c>
      <x:c r="P94" s="11" t="str">
        <x:v>Các quan điểm và định hướng lớn chỉ đạo hoạt động đối ngoại của quốc gia hoặc tổ chức chính trị.</x:v>
      </x:c>
      <x:c r="Q94" s="11" t="str">
        <x:v>Các quan điểm và định hướng lớn chỉ đạo hoạt động đối ngoại của quốc gia hoặc tổ chức chính trị.</x:v>
      </x:c>
      <x:c r="R94" s="11" t="str">
        <x:v>N3</x:v>
      </x:c>
      <x:c r="S94" s="11" t="str">
        <x:v>Giữ làm đơn vị nghiên cứu</x:v>
      </x:c>
      <x:c r="T94" s="11" t="str">
        <x:v>T145</x:v>
      </x:c>
    </x:row>
    <x:row r="95" ht="67.5" customHeight="1">
      <x:c r="A95" s="11" t="n">
        <x:v>90</x:v>
      </x:c>
      <x:c r="B95" s="11" t="str">
        <x:v>T021</x:v>
      </x:c>
      <x:c r="C95" s="11" t="str">
        <x:v>hệ thống chính trị</x:v>
      </x:c>
      <x:c r="D95" s="40" t="str">
        <x:v>political system *</x:v>
      </x:c>
      <x:c r="E95" s="11" t="str">
        <x:v>정치 시스템</x:v>
      </x:c>
      <x:c r="F95" s="40" t="str">
        <x:v>political system *</x:v>
      </x:c>
      <x:c r="G95" s="40" t="str">
        <x:v>Chưa đủ hai nguồn để so khớp</x:v>
      </x:c>
      <x:c r="H95" s="41" t="str">
        <x:v>Ứng viên — còn thiếu chứng cứ</x:v>
      </x:c>
      <x:c r="I95" s="11" t="str">
        <x:v>Hệ thống chính trị không tự đồng nghĩa với chế độ chính trị ở T073; chưa có nguồn ánh xạ độc lập hai chân.</x:v>
      </x:c>
      <x:c r="J95" s="11" t="str">
        <x:v>* Nhãn tham chiếu từ bảng trước</x:v>
      </x:c>
      <x:c r="K95" s="11" t="str">
        <x:v>Chưa có nguồn ánh xạ</x:v>
      </x:c>
      <x:c r="L95" s="11" t="str">
        <x:v>* Nhãn tham chiếu từ bảng trước</x:v>
      </x:c>
      <x:c r="M95" s="11" t="str">
        <x:v>Chưa có nguồn ánh xạ</x:v>
      </x:c>
      <x:c r="N95" s="11" t="str">
        <x:v>hệ thống chính trị</x:v>
      </x:c>
      <x:c r="O95" s="11" t="str">
        <x:v>정치 시스템</x:v>
      </x:c>
      <x:c r="P95" s="11" t="str">
        <x:v>Cấu trúc thiết chế và quan hệ thông qua đó quyền lực chính trị được tổ chức, thực hiện và kiểm soát.</x:v>
      </x:c>
      <x:c r="Q95" s="11" t="str">
        <x:v>Cấu trúc thiết chế và quan hệ thông qua đó quyền lực chính trị được tổ chức, thực hiện và kiểm soát.</x:v>
      </x:c>
      <x:c r="R95" s="11" t="str">
        <x:v>N3</x:v>
      </x:c>
      <x:c r="S95" s="11" t="str">
        <x:v>Giữ làm đơn vị nghiên cứu</x:v>
      </x:c>
      <x:c r="T95" s="11" t="str">
        <x:v>T021</x:v>
      </x:c>
    </x:row>
    <x:row r="96" ht="67.5" customHeight="1">
      <x:c r="A96" s="11" t="n">
        <x:v>91</x:v>
      </x:c>
      <x:c r="B96" s="11" t="str">
        <x:v>T062</x:v>
      </x:c>
      <x:c r="C96" s="11" t="str">
        <x:v>kinh tế thị trường định hướng xã hội chủ nghĩa</x:v>
      </x:c>
      <x:c r="D96" s="40" t="str">
        <x:v>socialist-oriented market economy *</x:v>
      </x:c>
      <x:c r="E96" s="11" t="str">
        <x:v>사회주의 지향 시장경제</x:v>
      </x:c>
      <x:c r="F96" s="40" t="str">
        <x:v>socialist-oriented market economy *</x:v>
      </x:c>
      <x:c r="G96" s="40" t="str">
        <x:v>Chưa đủ hai nguồn để so khớp</x:v>
      </x:c>
      <x:c r="H96" s="41" t="str">
        <x:v>Ứng viên — còn thiếu chứng cứ</x:v>
      </x:c>
      <x:c r="I96" s="11" t="str">
        <x:v>Phải giữ đủ “định hướng/지향”. Mục từ 사회주의 시장 경제 = socialist market economy không chứng minh toàn cụm này và có thể nói mô hình Trung Quốc.</x:v>
      </x:c>
      <x:c r="J96" s="11" t="str">
        <x:v>* Nhãn tham chiếu từ bảng trước</x:v>
      </x:c>
      <x:c r="K96" s="11" t="str">
        <x:v>Chưa có nguồn ánh xạ</x:v>
      </x:c>
      <x:c r="L96" s="11" t="str">
        <x:v>* Nhãn tham chiếu từ bảng trước</x:v>
      </x:c>
      <x:c r="M96" s="11" t="str">
        <x:v>Chưa có nguồn ánh xạ</x:v>
      </x:c>
      <x:c r="N96" s="11" t="str">
        <x:v>kinh tế thị trường định hướng xã hội chủ nghĩa</x:v>
      </x:c>
      <x:c r="O96" s="11" t="str">
        <x:v>사회주의 지향 시장경제</x:v>
      </x:c>
      <x:c r="P96" s="11" t="str">
        <x:v>Mô hình kinh tế thị trường vận hành cùng định hướng xã hội chủ nghĩa trong điều kiện Việt Nam.</x:v>
      </x:c>
      <x:c r="Q96" s="11" t="str">
        <x:v>Mô hình kinh tế thị trường vận hành cùng định hướng xã hội chủ nghĩa trong điều kiện Việt Nam.</x:v>
      </x:c>
      <x:c r="R96" s="11" t="str">
        <x:v>N3</x:v>
      </x:c>
      <x:c r="S96" s="11" t="str">
        <x:v>Giữ làm đơn vị nghiên cứu</x:v>
      </x:c>
      <x:c r="T96" s="11" t="str">
        <x:v>T062</x:v>
      </x:c>
    </x:row>
    <x:row r="97" ht="67.5" customHeight="1">
      <x:c r="A97" s="11" t="n">
        <x:v>92</x:v>
      </x:c>
      <x:c r="B97" s="11" t="str">
        <x:v>T142</x:v>
      </x:c>
      <x:c r="C97" s="11" t="str">
        <x:v>luật pháp quốc tế</x:v>
      </x:c>
      <x:c r="D97" s="40" t="str">
        <x:v>international law *</x:v>
      </x:c>
      <x:c r="E97" s="11" t="str">
        <x:v>국제법</x:v>
      </x:c>
      <x:c r="F97" s="40" t="str">
        <x:v>international law *</x:v>
      </x:c>
      <x:c r="G97" s="40" t="str">
        <x:v>Chưa đủ hai nguồn để so khớp</x:v>
      </x:c>
      <x:c r="H97" s="41" t="str">
        <x:v>Ứng viên — còn thiếu chứng cứ</x:v>
      </x:c>
      <x:c r="I97" s="11" t="str">
        <x:v>Xét ngành/hệ thống quy phạm luật quốc tế, không phải một đạo luật quốc tế cụ thể. Nguồn giải nghĩa EN đơn ngữ không đủ chứng minh hai chân đối dịch.</x:v>
      </x:c>
      <x:c r="J97" s="11" t="str">
        <x:v>* Nhãn tham chiếu từ bảng trước</x:v>
      </x:c>
      <x:c r="K97" s="11" t="str">
        <x:v>Chưa có nguồn ánh xạ</x:v>
      </x:c>
      <x:c r="L97" s="11" t="str">
        <x:v>* Nhãn tham chiếu từ bảng trước</x:v>
      </x:c>
      <x:c r="M97" s="11" t="str">
        <x:v>Chưa có nguồn ánh xạ</x:v>
      </x:c>
      <x:c r="N97" s="11" t="str">
        <x:v>luật pháp quốc tế</x:v>
      </x:c>
      <x:c r="O97" s="11" t="str">
        <x:v>국제법</x:v>
      </x:c>
      <x:c r="P97" s="11" t="str">
        <x:v>Hệ thống quy phạm điều chỉnh quan hệ quốc tế và trách nhiệm pháp lý thuộc phạm vi luật quốc tế.</x:v>
      </x:c>
      <x:c r="Q97" s="11" t="str">
        <x:v>Hệ thống quy phạm điều chỉnh quan hệ quốc tế và trách nhiệm pháp lý thuộc phạm vi luật quốc tế.</x:v>
      </x:c>
      <x:c r="R97" s="11" t="str">
        <x:v>N3</x:v>
      </x:c>
      <x:c r="S97" s="11" t="str">
        <x:v>Giữ làm đơn vị nghiên cứu</x:v>
      </x:c>
      <x:c r="T97" s="11" t="str">
        <x:v>T142</x:v>
      </x:c>
    </x:row>
    <x:row r="98" ht="67.5" customHeight="1">
      <x:c r="A98" s="11" t="n">
        <x:v>93</x:v>
      </x:c>
      <x:c r="B98" s="11" t="str">
        <x:v>M030</x:v>
      </x:c>
      <x:c r="C98" s="11" t="str">
        <x:v>miễn thị thực</x:v>
      </x:c>
      <x:c r="D98" s="40" t="str">
        <x:v>visa exemption *</x:v>
      </x:c>
      <x:c r="E98" s="11" t="str">
        <x:v>비자 면제</x:v>
      </x:c>
      <x:c r="F98" s="40" t="str">
        <x:v>visa exemption *</x:v>
      </x:c>
      <x:c r="G98" s="40" t="str">
        <x:v>Chưa đủ hai nguồn để so khớp</x:v>
      </x:c>
      <x:c r="H98" s="41" t="str">
        <x:v>Ứng viên — còn thiếu chứng cứ</x:v>
      </x:c>
      <x:c r="I98" s="11" t="str">
        <x:v>Visa exemption và visa waiver có thể là biến thể tùy chế độ; cần giữ điều kiện, đối tượng và quốc gia áp dụng, chưa có ánh xạ nguồn ở lượt này.</x:v>
      </x:c>
      <x:c r="J98" s="11" t="str">
        <x:v>* Nhãn tham chiếu từ bảng trước</x:v>
      </x:c>
      <x:c r="K98" s="11" t="str">
        <x:v>Chưa có nguồn ánh xạ</x:v>
      </x:c>
      <x:c r="L98" s="11" t="str">
        <x:v>* Nhãn tham chiếu từ bảng trước</x:v>
      </x:c>
      <x:c r="M98" s="11" t="str">
        <x:v>Chưa có nguồn ánh xạ</x:v>
      </x:c>
      <x:c r="N98" s="11" t="str">
        <x:v>miễn thị thực</x:v>
      </x:c>
      <x:c r="O98" s="11" t="str">
        <x:v>비자 면제</x:v>
      </x:c>
      <x:c r="P98" s="11" t="str">
        <x:v>Chế độ cho phép đối tượng thuộc diện quy định nhập cảnh mà không phải xin thị thực.</x:v>
      </x:c>
      <x:c r="Q98" s="11" t="str">
        <x:v>Chế độ cho phép đối tượng thuộc diện quy định nhập cảnh mà không phải xin thị thực.</x:v>
      </x:c>
      <x:c r="R98" s="11" t="str">
        <x:v>N3</x:v>
      </x:c>
      <x:c r="S98" s="11" t="str">
        <x:v>Giữ làm đơn vị nghiên cứu</x:v>
      </x:c>
      <x:c r="T98" s="11" t="str">
        <x:v>M030</x:v>
      </x:c>
    </x:row>
    <x:row r="99" ht="67.5" customHeight="1">
      <x:c r="A99" s="11" t="n">
        <x:v>94</x:v>
      </x:c>
      <x:c r="B99" s="11" t="str">
        <x:v>CGI005</x:v>
      </x:c>
      <x:c r="C99" s="11" t="str">
        <x:v>mô hình lãnh đạo tập thể</x:v>
      </x:c>
      <x:c r="D99" s="40" t="str">
        <x:v>collective leadership model *</x:v>
      </x:c>
      <x:c r="E99" s="11" t="str">
        <x:v>집단 지도체제</x:v>
      </x:c>
      <x:c r="F99" s="40" t="str">
        <x:v>collective leadership system *</x:v>
      </x:c>
      <x:c r="G99" s="40" t="str">
        <x:v>Chưa đủ hai nguồn để so khớp</x:v>
      </x:c>
      <x:c r="H99" s="41" t="str">
        <x:v>Ứng viên — còn thiếu chứng cứ</x:v>
      </x:c>
      <x:c r="I99" s="11" t="str">
        <x:v>Mô hình/system là khác biệt hình thức có thể tương thích, nhưng chưa có nguồn song ngữ để xác nhận mô hình lãnh đạo tập thể trong ngữ cảnh đã chọn.</x:v>
      </x:c>
      <x:c r="J99" s="11" t="str">
        <x:v>* Nhãn tham chiếu từ bảng trước</x:v>
      </x:c>
      <x:c r="K99" s="11" t="str">
        <x:v>Chưa có nguồn ánh xạ</x:v>
      </x:c>
      <x:c r="L99" s="11" t="str">
        <x:v>* Đề xuất để tiếp tục tra cứu</x:v>
      </x:c>
      <x:c r="M99" s="11" t="str">
        <x:v>Chưa có nguồn ánh xạ</x:v>
      </x:c>
      <x:c r="N99" s="11" t="str">
        <x:v>mô hình lãnh đạo tập thể</x:v>
      </x:c>
      <x:c r="O99" s="11" t="str">
        <x:v>집단 지도체제</x:v>
      </x:c>
      <x:c r="P99" s="11" t="str">
        <x:v>Mô hình trong đó các quyết định lãnh đạo chủ yếu được thảo luận và quyết định bởi một tập thể.</x:v>
      </x:c>
      <x:c r="Q99" s="11" t="str">
        <x:v>Mô hình trong đó các quyết định lãnh đạo chủ yếu được thảo luận và quyết định bởi một tập thể.</x:v>
      </x:c>
      <x:c r="R99" s="11" t="str">
        <x:v>N3</x:v>
      </x:c>
      <x:c r="S99" s="11" t="str">
        <x:v>Giữ làm đơn vị nghiên cứu</x:v>
      </x:c>
      <x:c r="T99" s="11" t="str">
        <x:v>CGI005</x:v>
      </x:c>
    </x:row>
    <x:row r="100" ht="72" customHeight="1">
      <x:c r="A100" s="11" t="n">
        <x:v>95</x:v>
      </x:c>
      <x:c r="B100" s="11" t="str">
        <x:v>T048</x:v>
      </x:c>
      <x:c r="C100" s="11" t="str">
        <x:v>Nhà nước pháp quyền</x:v>
      </x:c>
      <x:c r="D100" s="40" t="str">
        <x:v>rule-of-law state *</x:v>
      </x:c>
      <x:c r="E100" s="11" t="str">
        <x:v>법치국가</x:v>
      </x:c>
      <x:c r="F100" s="40" t="str">
        <x:v>rule-of-law state *</x:v>
      </x:c>
      <x:c r="G100" s="40" t="str">
        <x:v>Chưa đủ hai nguồn để so khớp</x:v>
      </x:c>
      <x:c r="H100" s="41" t="str">
        <x:v>Ứng viên — còn thiếu chứng cứ</x:v>
      </x:c>
      <x:c r="I100" s="11" t="str">
        <x:v>Rule-of-law state, state governed by law và Rechtsstaat không được coi đương nhiên đồng nhất mọi truyền thống pháp lý. Không dùng rule of law đơn lẻ để chứng minh tên mô hình nhà nước.</x:v>
      </x:c>
      <x:c r="J100" s="11" t="str">
        <x:v>* Nhãn tham chiếu từ bảng trước</x:v>
      </x:c>
      <x:c r="K100" s="11" t="str">
        <x:v>Chưa có nguồn ánh xạ</x:v>
      </x:c>
      <x:c r="L100" s="11" t="str">
        <x:v>* Nhãn tham chiếu từ bảng trước</x:v>
      </x:c>
      <x:c r="M100" s="11" t="str">
        <x:v>Chưa có nguồn ánh xạ</x:v>
      </x:c>
      <x:c r="N100" s="11" t="str">
        <x:v>Nhà nước pháp quyền</x:v>
      </x:c>
      <x:c r="O100" s="11" t="str">
        <x:v>법치국가</x:v>
      </x:c>
      <x:c r="P100" s="11" t="str">
        <x:v>Mô hình nhà nước thực thi và kiểm soát quyền lực bằng pháp luật.</x:v>
      </x:c>
      <x:c r="Q100" s="11" t="str">
        <x:v>Mô hình nhà nước thực thi và kiểm soát quyền lực bằng pháp luật.</x:v>
      </x:c>
      <x:c r="R100" s="11" t="str">
        <x:v>N3</x:v>
      </x:c>
      <x:c r="S100" s="11" t="str">
        <x:v>Giữ làm đơn vị nghiên cứu</x:v>
      </x:c>
      <x:c r="T100" s="11" t="str">
        <x:v>T048</x:v>
      </x:c>
    </x:row>
    <x:row r="101" ht="67.5" customHeight="1">
      <x:c r="A101" s="11" t="n">
        <x:v>96</x:v>
      </x:c>
      <x:c r="B101" s="11" t="str">
        <x:v>M050</x:v>
      </x:c>
      <x:c r="C101" s="11" t="str">
        <x:v>nhiệm kỳ</x:v>
      </x:c>
      <x:c r="D101" s="40" t="str">
        <x:v>institutional term *</x:v>
      </x:c>
      <x:c r="E101" s="11" t="str">
        <x:v>임기</x:v>
      </x:c>
      <x:c r="F101" s="11" t="str">
        <x:v>term of office / term / mandate / tenure</x:v>
      </x:c>
      <x:c r="G101" s="40" t="str">
        <x:v>Chưa đủ hai nguồn để so khớp</x:v>
      </x:c>
      <x:c r="H101" s="41" t="str">
        <x:v>Ứng viên — còn thiếu chứng cứ</x:v>
      </x:c>
      <x:c r="I101" s="11" t="str">
        <x:v>Collins ánh xạ 임기 tới term, mandate, tenure theo nghĩa thời gian giữ chức. institutional term trong hồ sơ cũ không được xác nhận; chưa có chân Việt–Anh được tra trực tiếp.</x:v>
      </x:c>
      <x:c r="J101" s="11" t="str">
        <x:v>* Nhãn tham chiếu từ bảng trước</x:v>
      </x:c>
      <x:c r="K101" s="11" t="str">
        <x:v>Chưa có nguồn ánh xạ</x:v>
      </x:c>
      <x:c r="L101" s="11" t="str">
        <x:v>Đối dịch trong từ điển</x:v>
      </x:c>
      <x:c r="M101" s="37" t="str">
        <x:v>EB088
Nguồn kiểm tra, dòng 732</x:v>
      </x:c>
      <x:c r="N101" s="11" t="str">
        <x:v>nhiệm kỳ</x:v>
      </x:c>
      <x:c r="O101" s="11" t="str">
        <x:v>임기</x:v>
      </x:c>
      <x:c r="P101" s="11" t="str">
        <x:v>Khoảng thời gian được xác định để đảm nhiệm một chức vụ hoặc hoạt động một khóa cơ quan.</x:v>
      </x:c>
      <x:c r="Q101" s="11" t="str">
        <x:v>Khoảng thời gian một người hoặc chính phủ giữ chức/quyền.</x:v>
      </x:c>
      <x:c r="R101" s="11" t="str">
        <x:v>Cần xem xét</x:v>
      </x:c>
      <x:c r="S101" s="11" t="str">
        <x:v>Giữ làm đơn vị nghiên cứu</x:v>
      </x:c>
      <x:c r="T101" s="11" t="str">
        <x:v>M050</x:v>
      </x:c>
    </x:row>
    <x:row r="102" ht="67.5" customHeight="1">
      <x:c r="A102" s="11" t="n">
        <x:v>97</x:v>
      </x:c>
      <x:c r="B102" s="11" t="str">
        <x:v>T006</x:v>
      </x:c>
      <x:c r="C102" s="11" t="str">
        <x:v>quyền con người</x:v>
      </x:c>
      <x:c r="D102" s="11" t="str">
        <x:v>human rights</x:v>
      </x:c>
      <x:c r="E102" s="11" t="str">
        <x:v>인권</x:v>
      </x:c>
      <x:c r="F102" s="11" t="str">
        <x:v>human rights</x:v>
      </x:c>
      <x:c r="G102" s="38" t="str">
        <x:v>Trùng biểu thức Anh</x:v>
      </x:c>
      <x:c r="H102" s="39" t="str">
        <x:v>Xác nhận — cùng biểu thức Anh</x:v>
      </x:c>
      <x:c r="I102" s="11" t="str">
        <x:v>Hai nguồn ánh xạ cùng khái niệm quyền của mọi con người, không phải chỉ quyền gắn quốc tịch.</x:v>
      </x:c>
      <x:c r="J102" s="11" t="str">
        <x:v>Đối dịch tường minh trong nguồn</x:v>
      </x:c>
      <x:c r="K102" s="37" t="str">
        <x:v>EB089
Nguồn kiểm tra, dòng 733</x:v>
      </x:c>
      <x:c r="L102" s="11" t="str">
        <x:v>Đối dịch trong từ điển</x:v>
      </x:c>
      <x:c r="M102" s="37" t="str">
        <x:v>EB090
Nguồn kiểm tra, dòng 734</x:v>
      </x:c>
      <x:c r="N102" s="11" t="str">
        <x:v>quyền con người</x:v>
      </x:c>
      <x:c r="O102" s="11" t="str">
        <x:v>인권</x:v>
      </x:c>
      <x:c r="P102" s="11" t="str">
        <x:v>Quyền vốn có của con người.</x:v>
      </x:c>
      <x:c r="Q102" s="11" t="str">
        <x:v>Các quyền căn bản mọi người cần được hưởng.</x:v>
      </x:c>
      <x:c r="R102" s="11" t="str">
        <x:v>N3</x:v>
      </x:c>
      <x:c r="S102" s="11" t="str">
        <x:v>Giữ làm đơn vị nghiên cứu</x:v>
      </x:c>
      <x:c r="T102" s="11" t="str">
        <x:v>T006</x:v>
      </x:c>
    </x:row>
    <x:row r="103" ht="87" customHeight="1">
      <x:c r="A103" s="11" t="n">
        <x:v>98</x:v>
      </x:c>
      <x:c r="B103" s="11" t="str">
        <x:v>T008</x:v>
      </x:c>
      <x:c r="C103" s="11" t="str">
        <x:v>quyền công dân</x:v>
      </x:c>
      <x:c r="D103" s="11" t="str">
        <x:v>civil rights</x:v>
      </x:c>
      <x:c r="E103" s="11" t="str">
        <x:v>시민권</x:v>
      </x:c>
      <x:c r="F103" s="11" t="str">
        <x:v>civil rights</x:v>
      </x:c>
      <x:c r="G103" s="40" t="str">
        <x:v>Trùng biểu thức Anh</x:v>
      </x:c>
      <x:c r="H103" s="41" t="str">
        <x:v>Có điều kiện — chưa chốt</x:v>
      </x:c>
      <x:c r="I103" s="11" t="str">
        <x:v>Collins cho 시민권 = citizenship và cũng civil rights; bảng đa ngôn ngữ ghi quyền công dân dưới civil rights. Tuy nhiên nghĩa hiến pháp Việt “quyền gắn tư cách công dân” không tự trùng toàn phạm vi civil rights/bình đẳng đối xử. Chỉ xác nhận khi khóa nghĩa trong câu.</x:v>
      </x:c>
      <x:c r="J103" s="11" t="str">
        <x:v>Đối dịch trong từ điển</x:v>
      </x:c>
      <x:c r="K103" s="37" t="str">
        <x:v>EB091
Nguồn kiểm tra, dòng 735</x:v>
      </x:c>
      <x:c r="L103" s="11" t="str">
        <x:v>Đối dịch trong từ điển</x:v>
      </x:c>
      <x:c r="M103" s="37" t="str">
        <x:v>EB092
Nguồn kiểm tra, dòng 736</x:v>
      </x:c>
      <x:c r="N103" s="11" t="str">
        <x:v>quyền công dân</x:v>
      </x:c>
      <x:c r="O103" s="11" t="str">
        <x:v>시민권</x:v>
      </x:c>
      <x:c r="P103" s="11" t="str">
        <x:v>Nghĩa civil rights trong bảng là quyền bình đẳng đối xử và cơ hội; 시민권 còn có nghĩa citizenship.</x:v>
      </x:c>
      <x:c r="Q103" s="11" t="str">
        <x:v>Nghĩa civil rights trong bảng là quyền bình đẳng đối xử và cơ hội; 시민권 còn có nghĩa citizenship.</x:v>
      </x:c>
      <x:c r="R103" s="11" t="str">
        <x:v>N3</x:v>
      </x:c>
      <x:c r="S103" s="11" t="str">
        <x:v>Giữ làm đơn vị nghiên cứu</x:v>
      </x:c>
      <x:c r="T103" s="11" t="str">
        <x:v>T008</x:v>
      </x:c>
    </x:row>
    <x:row r="104" ht="67.5" customHeight="1">
      <x:c r="A104" s="11" t="n">
        <x:v>99</x:v>
      </x:c>
      <x:c r="B104" s="11" t="str">
        <x:v>T013</x:v>
      </x:c>
      <x:c r="C104" s="11" t="str">
        <x:v>quyền tự quyết</x:v>
      </x:c>
      <x:c r="D104" s="40" t="str">
        <x:v>right to self-determination *</x:v>
      </x:c>
      <x:c r="E104" s="11" t="str">
        <x:v>자결권</x:v>
      </x:c>
      <x:c r="F104" s="11" t="str">
        <x:v>right of self-determination</x:v>
      </x:c>
      <x:c r="G104" s="40" t="str">
        <x:v>Chưa đủ hai nguồn để so khớp</x:v>
      </x:c>
      <x:c r="H104" s="41" t="str">
        <x:v>Ứng viên — còn thiếu chứng cứ</x:v>
      </x:c>
      <x:c r="I104" s="11" t="str">
        <x:v>Nguồn Hàn–Anh ICCPR Điều 1 nói quyền tự quyết của các dân tộc. Không diễn giải thành quyền tự quyết cá nhân; chân Việt–Anh còn thiếu ánh xạ trực tiếp.</x:v>
      </x:c>
      <x:c r="J104" s="11" t="str">
        <x:v>* Nhãn tham chiếu từ bảng trước</x:v>
      </x:c>
      <x:c r="K104" s="11" t="str">
        <x:v>Chưa có nguồn ánh xạ</x:v>
      </x:c>
      <x:c r="L104" s="11" t="str">
        <x:v>Đối chiếu văn bản song song</x:v>
      </x:c>
      <x:c r="M104" s="37" t="str">
        <x:v>EB093
Nguồn kiểm tra, dòng 737</x:v>
      </x:c>
      <x:c r="N104" s="11" t="str">
        <x:v>quyền tự quyết</x:v>
      </x:c>
      <x:c r="O104" s="11" t="str">
        <x:v>자결권</x:v>
      </x:c>
      <x:c r="P104" s="11" t="str">
        <x:v>Quyền của các dân tộc tự xác định địa vị chính trị và theo đuổi phát triển kinh tế, xã hội, văn hóa.</x:v>
      </x:c>
      <x:c r="Q104" s="11" t="str">
        <x:v>Quyền của các dân tộc tự định đoạt địa vị chính trị và phát triển.</x:v>
      </x:c>
      <x:c r="R104" s="11" t="str">
        <x:v>N3</x:v>
      </x:c>
      <x:c r="S104" s="11" t="str">
        <x:v>Giữ làm đơn vị nghiên cứu</x:v>
      </x:c>
      <x:c r="T104" s="11" t="str">
        <x:v>T013</x:v>
      </x:c>
    </x:row>
    <x:row r="105" ht="67.5" customHeight="1">
      <x:c r="A105" s="11" t="n">
        <x:v>100</x:v>
      </x:c>
      <x:c r="B105" s="11" t="str">
        <x:v>T056</x:v>
      </x:c>
      <x:c r="C105" s="11" t="str">
        <x:v>toàn vẹn lãnh thổ</x:v>
      </x:c>
      <x:c r="D105" s="40" t="str">
        <x:v>territorial integrity *</x:v>
      </x:c>
      <x:c r="E105" s="11" t="str">
        <x:v>영토 보전</x:v>
      </x:c>
      <x:c r="F105" s="40" t="str">
        <x:v>territorial integrity *</x:v>
      </x:c>
      <x:c r="G105" s="40" t="str">
        <x:v>Chưa đủ hai nguồn để so khớp</x:v>
      </x:c>
      <x:c r="H105" s="41" t="str">
        <x:v>Ứng viên — còn thiếu chứng cứ</x:v>
      </x:c>
      <x:c r="I105" s="11" t="str">
        <x:v>Territorial integrity là dạng Anh đề xuất; chưa có ánh xạ song ngữ trực tiếp hai phía trong lượt này. Tình trạng chưa phân nhóm không tự nói cặp dịch sai.</x:v>
      </x:c>
      <x:c r="J105" s="11" t="str">
        <x:v>* Nhãn tham chiếu từ bảng trước</x:v>
      </x:c>
      <x:c r="K105" s="11" t="str">
        <x:v>Chưa có nguồn ánh xạ</x:v>
      </x:c>
      <x:c r="L105" s="11" t="str">
        <x:v>* Nhãn tham chiếu từ bảng trước</x:v>
      </x:c>
      <x:c r="M105" s="11" t="str">
        <x:v>Chưa có nguồn ánh xạ</x:v>
      </x:c>
      <x:c r="N105" s="11" t="str">
        <x:v>toàn vẹn lãnh thổ</x:v>
      </x:c>
      <x:c r="O105" s="11" t="str">
        <x:v>영토 보전</x:v>
      </x:c>
      <x:c r="P105" s="11" t="str">
        <x:v>Tính thống nhất, không bị chia cắt của lãnh thổ quốc gia.</x:v>
      </x:c>
      <x:c r="Q105" s="11" t="str">
        <x:v>Tính thống nhất, không bị chia cắt của lãnh thổ quốc gia.</x:v>
      </x:c>
      <x:c r="R105" s="11" t="str">
        <x:v>Cần xem xét</x:v>
      </x:c>
      <x:c r="S105" s="11" t="str">
        <x:v>Giữ làm đơn vị nghiên cứu</x:v>
      </x:c>
      <x:c r="T105" s="11" t="str">
        <x:v>T056</x:v>
      </x:c>
    </x:row>
    <x:row r="106" ht="67.5" customHeight="1">
      <x:c r="A106" s="11" t="n">
        <x:v>101</x:v>
      </x:c>
      <x:c r="B106" s="11" t="str">
        <x:v>T147</x:v>
      </x:c>
      <x:c r="C106" s="11" t="str">
        <x:v>tự chủ chiến lược</x:v>
      </x:c>
      <x:c r="D106" s="40" t="str">
        <x:v>strategic autonomy *</x:v>
      </x:c>
      <x:c r="E106" s="11" t="str">
        <x:v>전략적 자율성</x:v>
      </x:c>
      <x:c r="F106" s="40" t="str">
        <x:v>strategic autonomy *</x:v>
      </x:c>
      <x:c r="G106" s="40" t="str">
        <x:v>Chưa đủ hai nguồn để so khớp</x:v>
      </x:c>
      <x:c r="H106" s="41" t="str">
        <x:v>Ứng viên — còn thiếu chứng cứ</x:v>
      </x:c>
      <x:c r="I106" s="11" t="str">
        <x:v>Strategic autonomy là dạng Anh dự kiến; tài liệu EEAS chỉ chứng minh khái niệm EN, chưa chứng minh hai chân VI–EN và KO–EN.</x:v>
      </x:c>
      <x:c r="J106" s="11" t="str">
        <x:v>* Nhãn tham chiếu từ bảng trước</x:v>
      </x:c>
      <x:c r="K106" s="11" t="str">
        <x:v>Chưa có nguồn ánh xạ</x:v>
      </x:c>
      <x:c r="L106" s="11" t="str">
        <x:v>* Nhãn tham chiếu từ bảng trước</x:v>
      </x:c>
      <x:c r="M106" s="11" t="str">
        <x:v>Chưa có nguồn ánh xạ</x:v>
      </x:c>
      <x:c r="N106" s="11" t="str">
        <x:v>tự chủ chiến lược</x:v>
      </x:c>
      <x:c r="O106" s="11" t="str">
        <x:v>전략적 자율성</x:v>
      </x:c>
      <x:c r="P106" s="11" t="str">
        <x:v>Năng lực tự lựa chọn và hành động về vấn đề chiến lược khi cần thiết, đồng thời có thể hợp tác với đối tác.</x:v>
      </x:c>
      <x:c r="Q106" s="11" t="str">
        <x:v>Năng lực tự lựa chọn và hành động về vấn đề chiến lược khi cần thiết, đồng thời có thể hợp tác với đối tác.</x:v>
      </x:c>
      <x:c r="R106" s="11" t="str">
        <x:v>Cần xem xét</x:v>
      </x:c>
      <x:c r="S106" s="11" t="str">
        <x:v>Giữ làm đơn vị nghiên cứu</x:v>
      </x:c>
      <x:c r="T106" s="11" t="str">
        <x:v>T147</x:v>
      </x:c>
    </x:row>
    <x:row r="107" ht="67.5" customHeight="1">
      <x:c r="A107" s="11" t="n">
        <x:v>102</x:v>
      </x:c>
      <x:c r="B107" s="11" t="str">
        <x:v>T018</x:v>
      </x:c>
      <x:c r="C107" s="11" t="str">
        <x:v>tư pháp</x:v>
      </x:c>
      <x:c r="D107" s="40" t="str">
        <x:v>judicial functions *</x:v>
      </x:c>
      <x:c r="E107" s="11" t="str">
        <x:v>사법</x:v>
      </x:c>
      <x:c r="F107" s="11" t="str">
        <x:v>justice; being judicial; being legal; law enforcement</x:v>
      </x:c>
      <x:c r="G107" s="40" t="str">
        <x:v>Chưa đủ hai nguồn để so khớp</x:v>
      </x:c>
      <x:c r="H107" s="41" t="str">
        <x:v>Ứng viên — còn thiếu chứng cứ</x:v>
      </x:c>
      <x:c r="I107" s="11" t="str">
        <x:v>N4.2 được hiểu bao gồm các loại hình/lĩnh vực thực hành như định nghĩa nhóm 4 đã nêu. Không dùng định nghĩa hẹp “quyền xét xử” để thay nghĩa lĩnh vực trong lượt này.</x:v>
      </x:c>
      <x:c r="J107" s="11" t="str">
        <x:v>* Nhãn tham chiếu từ bảng trước</x:v>
      </x:c>
      <x:c r="K107" s="11" t="str">
        <x:v>Chưa có nguồn ánh xạ</x:v>
      </x:c>
      <x:c r="L107" s="11" t="str">
        <x:v>Đối dịch trong từ điển</x:v>
      </x:c>
      <x:c r="M107" s="37" t="str">
        <x:v>EB094
Nguồn kiểm tra, dòng 738</x:v>
      </x:c>
      <x:c r="N107" s="11" t="str">
        <x:v>tư pháp</x:v>
      </x:c>
      <x:c r="O107" s="11" t="str">
        <x:v>사법</x:v>
      </x:c>
      <x:c r="P107" s="11" t="str">
        <x:v>Lĩnh vực thực hiện pháp luật và bảo vệ công lý.</x:v>
      </x:c>
      <x:c r="Q107" s="11" t="str">
        <x:v>Hoạt động tư pháp; không phải tên cơ quan tư pháp.</x:v>
      </x:c>
      <x:c r="R107" s="11" t="str">
        <x:v>N4</x:v>
      </x:c>
      <x:c r="S107" s="11" t="str">
        <x:v>Giữ làm đơn vị nghiên cứu</x:v>
      </x:c>
      <x:c r="T107" s="11" t="str">
        <x:v>T018</x:v>
      </x:c>
    </x:row>
    <x:row r="108" ht="67.5" customHeight="1">
      <x:c r="A108" s="11" t="n">
        <x:v>103</x:v>
      </x:c>
      <x:c r="B108" s="11" t="str">
        <x:v>T050</x:v>
      </x:c>
      <x:c r="C108" s="11" t="str">
        <x:v>tư tưởng Hồ Chí Minh</x:v>
      </x:c>
      <x:c r="D108" s="11" t="str">
        <x:v>Ho Chi Minh Thought</x:v>
      </x:c>
      <x:c r="E108" s="11" t="str">
        <x:v>호찌민 사상</x:v>
      </x:c>
      <x:c r="F108" s="40" t="str">
        <x:v>Ho Chi Minh Thought *</x:v>
      </x:c>
      <x:c r="G108" s="40" t="str">
        <x:v>Chưa đủ hai nguồn để so khớp</x:v>
      </x:c>
      <x:c r="H108" s="41" t="str">
        <x:v>Ứng viên — còn thiếu chứng cứ</x:v>
      </x:c>
      <x:c r="I108" s="11" t="str">
        <x:v>Đã xác minh chân Việt–Anh bằng tiêu đề song song do Đại sứ quán công bố; chân Hàn–Anh 호찌민 사상 vẫn chỉ là đề xuất trong hồ sơ. Không xác nhận cặp cho đến khi có chân Hàn độc lập.</x:v>
      </x:c>
      <x:c r="J108" s="11" t="str">
        <x:v>Đối chiếu văn bản song song</x:v>
      </x:c>
      <x:c r="K108" s="37" t="str">
        <x:v>EB095
Nguồn kiểm tra, dòng 739</x:v>
      </x:c>
      <x:c r="L108" s="11" t="str">
        <x:v>* Nhãn tham chiếu từ bảng trước</x:v>
      </x:c>
      <x:c r="M108" s="11" t="str">
        <x:v>Chưa có nguồn ánh xạ</x:v>
      </x:c>
      <x:c r="N108" s="11" t="str">
        <x:v>Tư tưởng Hồ Chí Minh</x:v>
      </x:c>
      <x:c r="O108" s="11" t="str">
        <x:v>호찌민 사상</x:v>
      </x:c>
      <x:c r="P108" s="11" t="str">
        <x:v>Tên hệ tư tưởng Hồ Chí Minh.</x:v>
      </x:c>
      <x:c r="Q108" s="11" t="str">
        <x:v>Hệ thống quan điểm của Hồ Chí Minh về cách mạng Việt Nam, phát triển lý luận Marx–Lenin trong điều kiện Việt Nam.</x:v>
      </x:c>
      <x:c r="R108" s="11" t="str">
        <x:v>N3</x:v>
      </x:c>
      <x:c r="S108" s="11" t="str">
        <x:v>Giữ làm đơn vị nghiên cứu</x:v>
      </x:c>
      <x:c r="T108" s="11" t="str">
        <x:v>T050</x:v>
      </x:c>
    </x:row>
    <x:row r="109" ht="67.5" customHeight="1">
      <x:c r="A109" s="11" t="n">
        <x:v>104</x:v>
      </x:c>
      <x:c r="B109" s="11" t="str">
        <x:v>M006</x:v>
      </x:c>
      <x:c r="C109" s="11" t="str">
        <x:v>vai trò trung tâm của ASEAN</x:v>
      </x:c>
      <x:c r="D109" s="11" t="str">
        <x:v>ASEAN Centrality</x:v>
      </x:c>
      <x:c r="E109" s="11" t="str">
        <x:v>아세안 중심성</x:v>
      </x:c>
      <x:c r="F109" s="11" t="str">
        <x:v>ASEAN Centrality</x:v>
      </x:c>
      <x:c r="G109" s="38" t="str">
        <x:v>Trùng biểu thức Anh</x:v>
      </x:c>
      <x:c r="H109" s="39" t="str">
        <x:v>Xác nhận — cùng biểu thức Anh</x:v>
      </x:c>
      <x:c r="I109" s="11" t="str">
        <x:v>Hai Bộ Ngoại giao ghi trực tiếp ASEAN Centrality và giải thích cùng vai trò chủ đạo của ASEAN trong hợp tác khu vực.</x:v>
      </x:c>
      <x:c r="J109" s="11" t="str">
        <x:v>Đối dịch tường minh trong nguồn</x:v>
      </x:c>
      <x:c r="K109" s="37" t="str">
        <x:v>EB096
Nguồn kiểm tra, dòng 740</x:v>
      </x:c>
      <x:c r="L109" s="11" t="str">
        <x:v>Đối dịch tường minh trong nguồn</x:v>
      </x:c>
      <x:c r="M109" s="37" t="str">
        <x:v>EB097
Nguồn kiểm tra, dòng 741</x:v>
      </x:c>
      <x:c r="N109" s="11" t="str">
        <x:v>vai trò trung tâm của ASEAN</x:v>
      </x:c>
      <x:c r="O109" s="11" t="str">
        <x:v>아세안 중심성</x:v>
      </x:c>
      <x:c r="P109" s="11" t="str">
        <x:v>Vai trò ASEAN giữ vị trí chủ đạo trong hợp tác khu vực.</x:v>
      </x:c>
      <x:c r="Q109" s="11" t="str">
        <x:v>Nguyên tắc ASEAN giữ vai trò trung tâm khi xây dựng, thúc đẩy hợp tác khu vực.</x:v>
      </x:c>
      <x:c r="R109" s="11" t="str">
        <x:v>N3</x:v>
      </x:c>
      <x:c r="S109" s="11" t="str">
        <x:v>Giữ làm đơn vị nghiên cứu</x:v>
      </x:c>
      <x:c r="T109" s="11" t="str">
        <x:v>M006</x:v>
      </x:c>
    </x:row>
    <x:row r="110" ht="67.5" customHeight="1">
      <x:c r="A110" s="11" t="n">
        <x:v>105</x:v>
      </x:c>
      <x:c r="B110" s="11" t="str">
        <x:v>M008</x:v>
      </x:c>
      <x:c r="C110" s="11" t="str">
        <x:v>ASEAN+3</x:v>
      </x:c>
      <x:c r="D110" s="40" t="str">
        <x:v>ASEAN Plus Three (APT) *</x:v>
      </x:c>
      <x:c r="E110" s="11" t="str">
        <x:v>아세안+3</x:v>
      </x:c>
      <x:c r="F110" s="11" t="str">
        <x:v>ASEAN Plus Three (APT)</x:v>
      </x:c>
      <x:c r="G110" s="40" t="str">
        <x:v>Chưa đủ hai nguồn để so khớp</x:v>
      </x:c>
      <x:c r="H110" s="41" t="str">
        <x:v>Ứng viên — còn thiếu chứng cứ</x:v>
      </x:c>
      <x:c r="I110" s="11" t="str">
        <x:v>Tên riêng APT và tập hợp đối tác cần khớp. Nguồn Hàn mở rộng ASEAN Plus Three rõ; chân Việt–Anh còn cần nguồn mở rộng trực tiếp hoặc bản song song.</x:v>
      </x:c>
      <x:c r="J110" s="11" t="str">
        <x:v>* Nhãn tham chiếu từ bảng trước</x:v>
      </x:c>
      <x:c r="K110" s="11" t="str">
        <x:v>Chưa có nguồn ánh xạ</x:v>
      </x:c>
      <x:c r="L110" s="11" t="str">
        <x:v>Đối dịch tường minh trong nguồn</x:v>
      </x:c>
      <x:c r="M110" s="37" t="str">
        <x:v>EB098
Nguồn kiểm tra, dòng 742</x:v>
      </x:c>
      <x:c r="N110" s="11" t="str">
        <x:v>ASEAN+3</x:v>
      </x:c>
      <x:c r="O110" s="11" t="str">
        <x:v>아세안+3</x:v>
      </x:c>
      <x:c r="P110" s="11" t="str">
        <x:v>Khuôn khổ hợp tác ASEAN với Trung Quốc, Nhật Bản và Hàn Quốc.</x:v>
      </x:c>
      <x:c r="Q110" s="11" t="str">
        <x:v>Khuôn khổ ASEAN với Trung Quốc, Nhật Bản, Hàn Quốc.</x:v>
      </x:c>
      <x:c r="R110" s="11" t="str">
        <x:v>N3</x:v>
      </x:c>
      <x:c r="S110" s="11" t="str">
        <x:v>Giữ làm đơn vị nghiên cứu</x:v>
      </x:c>
      <x:c r="T110" s="11" t="str">
        <x:v>M008</x:v>
      </x:c>
    </x:row>
    <x:row r="111" ht="67.5" customHeight="1">
      <x:c r="A111" s="11" t="n">
        <x:v>106</x:v>
      </x:c>
      <x:c r="B111" s="11" t="str">
        <x:v>M010</x:v>
      </x:c>
      <x:c r="C111" s="11" t="str">
        <x:v>Diễn đàn khu vực ASEAN (ARF)</x:v>
      </x:c>
      <x:c r="D111" s="11" t="str">
        <x:v>ASEAN Regional Forum</x:v>
      </x:c>
      <x:c r="E111" s="11" t="str">
        <x:v>아세안지역포럼</x:v>
      </x:c>
      <x:c r="F111" s="11" t="str">
        <x:v>ASEAN Regional Forum</x:v>
      </x:c>
      <x:c r="G111" s="38" t="str">
        <x:v>Trùng biểu thức Anh</x:v>
      </x:c>
      <x:c r="H111" s="39" t="str">
        <x:v>Xác nhận — cùng biểu thức Anh</x:v>
      </x:c>
      <x:c r="I111" s="11" t="str">
        <x:v>Tên diễn đàn ARF được mở rộng đầy đủ thành ASEAN Regional Forum ở cả nguồn Việt và Hàn; ánh xạ tên riêng không phụ thuộc quyết định nhóm phân loại.</x:v>
      </x:c>
      <x:c r="J111" s="11" t="str">
        <x:v>Đối dịch tường minh trong nguồn</x:v>
      </x:c>
      <x:c r="K111" s="37" t="str">
        <x:v>EB099
Nguồn kiểm tra, dòng 743</x:v>
      </x:c>
      <x:c r="L111" s="11" t="str">
        <x:v>Đối dịch tường minh trong nguồn</x:v>
      </x:c>
      <x:c r="M111" s="37" t="str">
        <x:v>EB100
Nguồn kiểm tra, dòng 744</x:v>
      </x:c>
      <x:c r="N111" s="11" t="str">
        <x:v>Diễn đàn khu vực ASEAN</x:v>
      </x:c>
      <x:c r="O111" s="11" t="str">
        <x:v>아세안지역포럼</x:v>
      </x:c>
      <x:c r="P111" s="11" t="str">
        <x:v>Diễn đàn hợp tác và đối thoại chính trị, an ninh ARF.</x:v>
      </x:c>
      <x:c r="Q111" s="11" t="str">
        <x:v>Diễn đàn ARF.</x:v>
      </x:c>
      <x:c r="R111" s="11" t="str">
        <x:v>N3</x:v>
      </x:c>
      <x:c r="S111" s="11" t="str">
        <x:v>Giữ làm đơn vị nghiên cứu</x:v>
      </x:c>
      <x:c r="T111" s="11" t="str">
        <x:v>M010</x:v>
      </x:c>
    </x:row>
    <x:row r="112" ht="67.5" customHeight="1">
      <x:c r="A112" s="11" t="n">
        <x:v>107</x:v>
      </x:c>
      <x:c r="B112" s="11" t="str">
        <x:v>T134</x:v>
      </x:c>
      <x:c r="C112" s="11" t="str">
        <x:v>đối tác chiến lược</x:v>
      </x:c>
      <x:c r="D112" s="11" t="str">
        <x:v>strengthened strategic partnership</x:v>
      </x:c>
      <x:c r="E112" s="11" t="str">
        <x:v>전략적 동반자 관계</x:v>
      </x:c>
      <x:c r="F112" s="11" t="str">
        <x:v>Strategic Partnership</x:v>
      </x:c>
      <x:c r="G112" s="40" t="str">
        <x:v>Biến thể / có nhãn Anh chung</x:v>
      </x:c>
      <x:c r="H112" s="41" t="str">
        <x:v>Có điều kiện — chưa chốt</x:v>
      </x:c>
      <x:c r="I112" s="11" t="str">
        <x:v>Nguồn xác nhận cách gọi khuôn khổ; nhãn Việt rút gọn đối tác phải hiểu là quan hệ, không phải một chủ thể partner. Anh có thành tố strengthened trong nguồn Việt.</x:v>
      </x:c>
      <x:c r="J112" s="11" t="str">
        <x:v>Đối chiếu văn bản song song</x:v>
      </x:c>
      <x:c r="K112" s="37" t="str">
        <x:v>EB101
Nguồn kiểm tra, dòng 745</x:v>
      </x:c>
      <x:c r="L112" s="11" t="str">
        <x:v>Đối chiếu văn bản song song</x:v>
      </x:c>
      <x:c r="M112" s="37" t="str">
        <x:v>EB102
Nguồn kiểm tra, dòng 746</x:v>
      </x:c>
      <x:c r="N112" s="11" t="str">
        <x:v>quan hệ Đối tác chiến lược</x:v>
      </x:c>
      <x:c r="O112" s="11" t="str">
        <x:v>전략적 동반자 관계</x:v>
      </x:c>
      <x:c r="P112" s="11" t="str">
        <x:v>Danh xưng khuôn khổ quan hệ giữa các bên có mức độ hợp tác và ý nghĩa chiến lược được thỏa thuận.</x:v>
      </x:c>
      <x:c r="Q112" s="11" t="str">
        <x:v>Đối chiếu nghĩa Hàn đã ghi trong trang Thuật ngữ.</x:v>
      </x:c>
      <x:c r="R112" s="11" t="str">
        <x:v>N4</x:v>
      </x:c>
      <x:c r="S112" s="11" t="str">
        <x:v>Giữ làm đơn vị nghiên cứu</x:v>
      </x:c>
      <x:c r="T112" s="11" t="str">
        <x:v>T134</x:v>
      </x:c>
    </x:row>
    <x:row r="113" ht="72" customHeight="1">
      <x:c r="A113" s="11" t="n">
        <x:v>108</x:v>
      </x:c>
      <x:c r="B113" s="11" t="str">
        <x:v>T137</x:v>
      </x:c>
      <x:c r="C113" s="11" t="str">
        <x:v>đối tác chiến lược toàn diện</x:v>
      </x:c>
      <x:c r="D113" s="11" t="str">
        <x:v>Comprehensive Strategic Partnership</x:v>
      </x:c>
      <x:c r="E113" s="11" t="str">
        <x:v>포괄적 전략적 동반자 관계</x:v>
      </x:c>
      <x:c r="F113" s="11" t="str">
        <x:v>Comprehensive Strategic Partnership</x:v>
      </x:c>
      <x:c r="G113" s="40" t="str">
        <x:v>Trùng biểu thức Anh</x:v>
      </x:c>
      <x:c r="H113" s="41" t="str">
        <x:v>Có điều kiện — chưa chốt</x:v>
      </x:c>
      <x:c r="I113" s="11" t="str">
        <x:v>Nhãn Anh trùng; cần chốt biến thể 전략/전략적 và quan hệ Việt Nam–Hàn Quốc. Không suy mọi quan hệ có tên CSP có cùng toàn bộ quyền/nghĩa vụ.</x:v>
      </x:c>
      <x:c r="J113" s="11" t="str">
        <x:v>Đối chiếu văn bản song song</x:v>
      </x:c>
      <x:c r="K113" s="37" t="str">
        <x:v>EB103
Nguồn kiểm tra, dòng 747</x:v>
      </x:c>
      <x:c r="L113" s="11" t="str">
        <x:v>Đối dịch tường minh trong nguồn</x:v>
      </x:c>
      <x:c r="M113" s="37" t="str">
        <x:v>EB104
Nguồn kiểm tra, dòng 748</x:v>
      </x:c>
      <x:c r="N113" s="11" t="str">
        <x:v>Đối tác chiến lược toàn diện</x:v>
      </x:c>
      <x:c r="O113" s="11" t="str">
        <x:v>포괄적 전략 동반자 관계</x:v>
      </x:c>
      <x:c r="P113" s="11" t="str">
        <x:v>Tên một khuôn khổ quan hệ đối tác được các bên thỏa thuận, nhấn mạnh tính chiến lược và phạm vi hợp tác toàn diện; nội hàm phụ thuộc từng cặp đối tác và văn kiện.</x:v>
      </x:c>
      <x:c r="Q113" s="11" t="str">
        <x:v>Khuôn khổ quan hệ đối tác chiến lược toàn diện; nội dung tùy cặp đối tác.</x:v>
      </x:c>
      <x:c r="R113" s="11" t="str">
        <x:v>N4</x:v>
      </x:c>
      <x:c r="S113" s="11" t="str">
        <x:v>Giữ làm đơn vị nghiên cứu</x:v>
      </x:c>
      <x:c r="T113" s="11" t="str">
        <x:v>T137</x:v>
      </x:c>
    </x:row>
    <x:row r="114" ht="72" customHeight="1">
      <x:c r="A114" s="11" t="n">
        <x:v>109</x:v>
      </x:c>
      <x:c r="B114" s="11" t="str">
        <x:v>T163</x:v>
      </x:c>
      <x:c r="C114" s="11" t="str">
        <x:v>đối tác hợp tác chiến lược toàn diện</x:v>
      </x:c>
      <x:c r="D114" s="40" t="str">
        <x:v>comprehensive strategic cooperative partnership *</x:v>
      </x:c>
      <x:c r="E114" s="11" t="str">
        <x:v>포괄적 전략적 협력 동반자 관계</x:v>
      </x:c>
      <x:c r="F114" s="40" t="str">
        <x:v>comprehensive strategic cooperative partnership *</x:v>
      </x:c>
      <x:c r="G114" s="40" t="str">
        <x:v>Chưa đủ hai nguồn để so khớp</x:v>
      </x:c>
      <x:c r="H114" s="41" t="str">
        <x:v>Ứng viên — còn thiếu chứng cứ</x:v>
      </x:c>
      <x:c r="I114" s="11" t="str">
        <x:v>Giữ riêng biểu thức/ID theo mẫu 167 và liên kết với T137. Tính khác biệt tên gọi không tự chứng minh hai khái niệm hoặc hai cấp quan hệ tách biệt phổ quát.</x:v>
      </x:c>
      <x:c r="J114" s="11" t="str">
        <x:v>* Nhãn tham chiếu từ bảng trước</x:v>
      </x:c>
      <x:c r="K114" s="11" t="str">
        <x:v>Chưa có nguồn ánh xạ</x:v>
      </x:c>
      <x:c r="L114" s="11" t="str">
        <x:v>* Đề xuất để tiếp tục tra cứu</x:v>
      </x:c>
      <x:c r="M114" s="11" t="str">
        <x:v>Chưa có nguồn ánh xạ</x:v>
      </x:c>
      <x:c r="N114" s="11" t="str">
        <x:v>đối tác hợp tác chiến lược toàn diện</x:v>
      </x:c>
      <x:c r="O114" s="11" t="str">
        <x:v>포괄적 전략적 협력 동반자 관계</x:v>
      </x:c>
      <x:c r="P114" s="11" t="str">
        <x:v>Tên chính thức của một khuôn khổ quan hệ đối tác có các thành tố hợp tác, chiến lược và toàn diện; phải xác định theo từng cặp đối tác, không tự coi cao hơn tên không có hợp tác.</x:v>
      </x:c>
      <x:c r="Q114" s="11" t="str">
        <x:v>Đối chiếu nghĩa Hàn đã ghi trong trang Thuật ngữ.</x:v>
      </x:c>
      <x:c r="R114" s="11" t="str">
        <x:v>N4</x:v>
      </x:c>
      <x:c r="S114" s="11" t="str">
        <x:v>Giữ làm đơn vị nghiên cứu</x:v>
      </x:c>
      <x:c r="T114" s="11" t="str">
        <x:v>T163</x:v>
      </x:c>
    </x:row>
    <x:row r="115" ht="67.5" customHeight="1">
      <x:c r="A115" s="11" t="n">
        <x:v>110</x:v>
      </x:c>
      <x:c r="B115" s="11" t="str">
        <x:v>T150</x:v>
      </x:c>
      <x:c r="C115" s="11" t="str">
        <x:v>đối tác toàn diện</x:v>
      </x:c>
      <x:c r="D115" s="40" t="str">
        <x:v>comprehensive partnership *</x:v>
      </x:c>
      <x:c r="E115" s="11" t="str">
        <x:v>포괄적 동반자 관계</x:v>
      </x:c>
      <x:c r="F115" s="40" t="str">
        <x:v>comprehensive partnership *</x:v>
      </x:c>
      <x:c r="G115" s="40" t="str">
        <x:v>Chưa đủ hai nguồn để so khớp</x:v>
      </x:c>
      <x:c r="H115" s="41" t="str">
        <x:v>Ứng viên — còn thiếu chứng cứ</x:v>
      </x:c>
      <x:c r="I115" s="11" t="str">
        <x:v>Cần nguồn đối dịch cho cả hai nhánh trước khi kết luận tương ứng qua tiếng Anh.</x:v>
      </x:c>
      <x:c r="J115" s="11" t="str">
        <x:v>* Nhãn tham chiếu từ bảng trước</x:v>
      </x:c>
      <x:c r="K115" s="11" t="str">
        <x:v>Chưa có nguồn ánh xạ</x:v>
      </x:c>
      <x:c r="L115" s="11" t="str">
        <x:v>* Đề xuất để tiếp tục tra cứu</x:v>
      </x:c>
      <x:c r="M115" s="11" t="str">
        <x:v>Chưa có nguồn ánh xạ</x:v>
      </x:c>
      <x:c r="N115" s="11" t="str">
        <x:v>đối tác toàn diện</x:v>
      </x:c>
      <x:c r="O115" s="11" t="str">
        <x:v>포괄적 동반자 관계</x:v>
      </x:c>
      <x:c r="P115" s="11" t="str">
        <x:v>Khuôn khổ quan hệ đối tác bao quát nhiều lĩnh vực hợp tác theo thỏa thuận giữa các bên.</x:v>
      </x:c>
      <x:c r="Q115" s="11" t="str">
        <x:v>Đối chiếu nghĩa Hàn đã ghi trong trang Thuật ngữ.</x:v>
      </x:c>
      <x:c r="R115" s="11" t="str">
        <x:v>N4</x:v>
      </x:c>
      <x:c r="S115" s="11" t="str">
        <x:v>Giữ làm đơn vị nghiên cứu</x:v>
      </x:c>
      <x:c r="T115" s="11" t="str">
        <x:v>T150</x:v>
      </x:c>
    </x:row>
    <x:row r="116" ht="67.5" customHeight="1">
      <x:c r="A116" s="11" t="n">
        <x:v>111</x:v>
      </x:c>
      <x:c r="B116" s="11" t="str">
        <x:v>T161</x:v>
      </x:c>
      <x:c r="C116" s="11" t="str">
        <x:v>đối thoại chiến lược</x:v>
      </x:c>
      <x:c r="D116" s="40" t="str">
        <x:v>strategic dialogue *</x:v>
      </x:c>
      <x:c r="E116" s="11" t="str">
        <x:v>전략대화</x:v>
      </x:c>
      <x:c r="F116" s="40" t="str">
        <x:v>strategic dialogue *</x:v>
      </x:c>
      <x:c r="G116" s="40" t="str">
        <x:v>Chưa đủ hai nguồn để so khớp</x:v>
      </x:c>
      <x:c r="H116" s="41" t="str">
        <x:v>Ứng viên — còn thiếu chứng cứ</x:v>
      </x:c>
      <x:c r="I116" s="11" t="str">
        <x:v>Ngữ liệu đã chọn cơ chế đối thoại 3+3 Việt Nam–Trung Quốc. Strategic dialogue chung chưa xác nhận đúng cơ chế cụ thể hoặc dạng Hàn 전략대화 trong ngữ liệu.</x:v>
      </x:c>
      <x:c r="J116" s="11" t="str">
        <x:v>* Nhãn tham chiếu từ bảng trước</x:v>
      </x:c>
      <x:c r="K116" s="11" t="str">
        <x:v>Chưa có nguồn ánh xạ</x:v>
      </x:c>
      <x:c r="L116" s="11" t="str">
        <x:v>* Nhãn tham chiếu từ bảng trước</x:v>
      </x:c>
      <x:c r="M116" s="11" t="str">
        <x:v>Chưa có nguồn ánh xạ</x:v>
      </x:c>
      <x:c r="N116" s="11" t="str">
        <x:v>đối thoại chiến lược</x:v>
      </x:c>
      <x:c r="O116" s="11" t="str">
        <x:v>전략대화</x:v>
      </x:c>
      <x:c r="P116" s="11" t="str">
        <x:v>Trong lượt đã chọn: cơ chế đối thoại 3+3 cấp Bộ trưởng Ngoại giao, Quốc phòng, Công an Việt Nam–Trung Quốc.</x:v>
      </x:c>
      <x:c r="Q116" s="11" t="str">
        <x:v>Trong lượt đã chọn: cơ chế đối thoại 3+3 cấp Bộ trưởng Ngoại giao, Quốc phòng, Công an Việt Nam–Trung Quốc.</x:v>
      </x:c>
      <x:c r="R116" s="11" t="str">
        <x:v>N3</x:v>
      </x:c>
      <x:c r="S116" s="11" t="str">
        <x:v>Giữ làm đơn vị nghiên cứu</x:v>
      </x:c>
      <x:c r="T116" s="11" t="str">
        <x:v>T161</x:v>
      </x:c>
    </x:row>
    <x:row r="117" ht="67.5" customHeight="1">
      <x:c r="A117" s="11" t="n">
        <x:v>112</x:v>
      </x:c>
      <x:c r="B117" s="11" t="str">
        <x:v>M009</x:v>
      </x:c>
      <x:c r="C117" s="11" t="str">
        <x:v>Hội nghị cấp cao Đông Á (EAS)</x:v>
      </x:c>
      <x:c r="D117" s="40" t="str">
        <x:v>East Asia Summit (EAS) *</x:v>
      </x:c>
      <x:c r="E117" s="11" t="str">
        <x:v>동아시아정상회의</x:v>
      </x:c>
      <x:c r="F117" s="11" t="str">
        <x:v>East Asia Summit</x:v>
      </x:c>
      <x:c r="G117" s="40" t="str">
        <x:v>Chưa đủ hai nguồn để so khớp</x:v>
      </x:c>
      <x:c r="H117" s="41" t="str">
        <x:v>Ứng viên — còn thiếu chứng cứ</x:v>
      </x:c>
      <x:c r="I117" s="11" t="str">
        <x:v>EAS là tên riêng được khóa bởi đối tượng hội nghị. Nguồn Hàn mở rộng tên Anh; chân Việt mới có tên và viết tắt, chưa ghi là ánh xạ đã xác nhận.</x:v>
      </x:c>
      <x:c r="J117" s="11" t="str">
        <x:v>* Nhãn tham chiếu từ bảng trước</x:v>
      </x:c>
      <x:c r="K117" s="11" t="str">
        <x:v>Chưa có nguồn ánh xạ</x:v>
      </x:c>
      <x:c r="L117" s="11" t="str">
        <x:v>Đối dịch tường minh trong nguồn</x:v>
      </x:c>
      <x:c r="M117" s="37" t="str">
        <x:v>EB105
Nguồn kiểm tra, dòng 749</x:v>
      </x:c>
      <x:c r="N117" s="11" t="str">
        <x:v>Hội nghị cấp cao Đông Á (EAS)</x:v>
      </x:c>
      <x:c r="O117" s="11" t="str">
        <x:v>동아시아정상회의</x:v>
      </x:c>
      <x:c r="P117" s="11" t="str">
        <x:v>Cơ chế đối thoại cấp lãnh đạo về các vấn đề chiến lược, chính trị và kinh tế ở Đông Á.</x:v>
      </x:c>
      <x:c r="Q117" s="11" t="str">
        <x:v>Diễn đàn cấp lãnh đạo EAS.</x:v>
      </x:c>
      <x:c r="R117" s="11" t="str">
        <x:v>N3</x:v>
      </x:c>
      <x:c r="S117" s="11" t="str">
        <x:v>Giữ làm đơn vị nghiên cứu</x:v>
      </x:c>
      <x:c r="T117" s="11" t="str">
        <x:v>M009</x:v>
      </x:c>
    </x:row>
    <x:row r="118" ht="67.5" customHeight="1">
      <x:c r="A118" s="11" t="n">
        <x:v>113</x:v>
      </x:c>
      <x:c r="B118" s="11" t="str">
        <x:v>T143</x:v>
      </x:c>
      <x:c r="C118" s="11" t="str">
        <x:v>quan hệ ngoại giao</x:v>
      </x:c>
      <x:c r="D118" s="11" t="str">
        <x:v>diplomatic ties</x:v>
      </x:c>
      <x:c r="E118" s="11" t="str">
        <x:v>외교관계</x:v>
      </x:c>
      <x:c r="F118" s="40" t="str">
        <x:v>diplomatic relations *</x:v>
      </x:c>
      <x:c r="G118" s="40" t="str">
        <x:v>Chưa đủ hai nguồn để so khớp</x:v>
      </x:c>
      <x:c r="H118" s="41" t="str">
        <x:v>Ứng viên — còn thiếu chứng cứ</x:v>
      </x:c>
      <x:c r="I118" s="11" t="str">
        <x:v>Cần nguồn đối dịch cho cả hai nhánh trước khi kết luận tương ứng qua tiếng Anh.</x:v>
      </x:c>
      <x:c r="J118" s="11" t="str">
        <x:v>Đối chiếu văn bản song song</x:v>
      </x:c>
      <x:c r="K118" s="37" t="str">
        <x:v>EB106
Nguồn kiểm tra, dòng 750</x:v>
      </x:c>
      <x:c r="L118" s="11" t="str">
        <x:v>* Đề xuất để tiếp tục tra cứu</x:v>
      </x:c>
      <x:c r="M118" s="11" t="str">
        <x:v>Chưa có nguồn ánh xạ</x:v>
      </x:c>
      <x:c r="N118" s="11" t="str">
        <x:v>quan hệ ngoại giao</x:v>
      </x:c>
      <x:c r="O118" s="11" t="str">
        <x:v>외교관계</x:v>
      </x:c>
      <x:c r="P118" s="11" t="str">
        <x:v>Quan hệ chính thức giữa các quốc gia được xác lập bằng sự đồng thuận để tiến hành giao tiếp và đại diện ngoại giao.</x:v>
      </x:c>
      <x:c r="Q118" s="11" t="str">
        <x:v>Đối chiếu nghĩa Hàn đã ghi trong trang Thuật ngữ.</x:v>
      </x:c>
      <x:c r="R118" s="11" t="str">
        <x:v>N4</x:v>
      </x:c>
      <x:c r="S118" s="11" t="str">
        <x:v>Giữ làm đơn vị nghiên cứu</x:v>
      </x:c>
      <x:c r="T118" s="11" t="str">
        <x:v>T143</x:v>
      </x:c>
    </x:row>
    <x:row r="119" ht="67.5" customHeight="1">
      <x:c r="A119" s="11" t="n">
        <x:v>114</x:v>
      </x:c>
      <x:c r="B119" s="11" t="str">
        <x:v>T001</x:v>
      </x:c>
      <x:c r="C119" s="11" t="str">
        <x:v>bầu cử</x:v>
      </x:c>
      <x:c r="D119" s="11" t="str">
        <x:v>election</x:v>
      </x:c>
      <x:c r="E119" s="11" t="str">
        <x:v>선거</x:v>
      </x:c>
      <x:c r="F119" s="11" t="str">
        <x:v>election</x:v>
      </x:c>
      <x:c r="G119" s="38" t="str">
        <x:v>Trùng biểu thức Anh</x:v>
      </x:c>
      <x:c r="H119" s="39" t="str">
        <x:v>Xác nhận — cùng biểu thức Anh</x:v>
      </x:c>
      <x:c r="I119" s="11" t="str">
        <x:v>Xác nhận ở nghĩa hoạt động bầu cử; từ chỉ loại cuộc của tiếng Việt không thay đổi khái niệm.</x:v>
      </x:c>
      <x:c r="J119" s="11" t="str">
        <x:v>Đối dịch trong từ điển</x:v>
      </x:c>
      <x:c r="K119" s="37" t="str">
        <x:v>EB107
Nguồn kiểm tra, dòng 751</x:v>
      </x:c>
      <x:c r="L119" s="11" t="str">
        <x:v>Đối dịch trong từ điển</x:v>
      </x:c>
      <x:c r="M119" s="37" t="str">
        <x:v>EB108
Nguồn kiểm tra, dòng 752</x:v>
      </x:c>
      <x:c r="N119" s="11" t="str">
        <x:v>cuộc bầu cử</x:v>
      </x:c>
      <x:c r="O119" s="11" t="str">
        <x:v>선거</x:v>
      </x:c>
      <x:c r="P119" s="11" t="str">
        <x:v>Hoạt động bầu chọn người vào chức vụ bằng bỏ phiếu.</x:v>
      </x:c>
      <x:c r="Q119" s="11" t="str">
        <x:v>Hoạt động bầu chọn người vào chức vụ bằng bỏ phiếu.</x:v>
      </x:c>
      <x:c r="R119" s="11" t="str">
        <x:v>N4</x:v>
      </x:c>
      <x:c r="S119" s="11" t="str">
        <x:v>Giữ làm đơn vị nghiên cứu</x:v>
      </x:c>
      <x:c r="T119" s="11" t="str">
        <x:v>T001</x:v>
      </x:c>
    </x:row>
    <x:row r="120" ht="67.5" customHeight="1">
      <x:c r="A120" s="11" t="n">
        <x:v>115</x:v>
      </x:c>
      <x:c r="B120" s="11" t="str">
        <x:v>T004</x:v>
      </x:c>
      <x:c r="C120" s="11" t="str">
        <x:v>bầu cử đại biểu Quốc hội</x:v>
      </x:c>
      <x:c r="D120" s="40" t="str">
        <x:v>election of National Assembly deputies *</x:v>
      </x:c>
      <x:c r="E120" s="11" t="str">
        <x:v>국회 의원 선거</x:v>
      </x:c>
      <x:c r="F120" s="40" t="str">
        <x:v>election of National Assembly deputies *</x:v>
      </x:c>
      <x:c r="G120" s="40" t="str">
        <x:v>Chưa đủ hai nguồn để so khớp</x:v>
      </x:c>
      <x:c r="H120" s="41" t="str">
        <x:v>Ứng viên — còn thiếu chứng cứ</x:v>
      </x:c>
      <x:c r="I120" s="11" t="str">
        <x:v>compatible = có khả năng tương ứng theo nghĩa làm việc; chưa thay thế kiểm tra câu song hành.</x:v>
      </x:c>
      <x:c r="J120" s="11" t="str">
        <x:v>* Nhãn tham chiếu từ bảng trước</x:v>
      </x:c>
      <x:c r="K120" s="11" t="str">
        <x:v>Chưa có nguồn ánh xạ</x:v>
      </x:c>
      <x:c r="L120" s="11" t="str">
        <x:v>* Đề xuất để tiếp tục tra cứu</x:v>
      </x:c>
      <x:c r="M120" s="11" t="str">
        <x:v>Chưa có nguồn ánh xạ</x:v>
      </x:c>
      <x:c r="N120" s="11" t="str">
        <x:v>bầu cử đại biểu Quốc hội</x:v>
      </x:c>
      <x:c r="O120" s="11" t="str">
        <x:v>국회 의원 선거</x:v>
      </x:c>
      <x:c r="P120" s="11" t="str">
        <x:v>Cuộc bầu cử nhằm lựa chọn các đại biểu vào Quốc hội.</x:v>
      </x:c>
      <x:c r="Q120" s="11" t="str">
        <x:v>Đối chiếu nghĩa Hàn đã ghi trong trang Thuật ngữ.</x:v>
      </x:c>
      <x:c r="R120" s="11" t="str">
        <x:v>N4</x:v>
      </x:c>
      <x:c r="S120" s="11" t="str">
        <x:v>Giữ làm đơn vị nghiên cứu</x:v>
      </x:c>
      <x:c r="T120" s="11" t="str">
        <x:v>T004</x:v>
      </x:c>
    </x:row>
    <x:row r="121" ht="67.5" customHeight="1">
      <x:c r="A121" s="11" t="n">
        <x:v>116</x:v>
      </x:c>
      <x:c r="B121" s="11" t="str">
        <x:v>T041</x:v>
      </x:c>
      <x:c r="C121" s="11" t="str">
        <x:v>cải cách hành chính</x:v>
      </x:c>
      <x:c r="D121" s="40" t="str">
        <x:v>administrative reform *</x:v>
      </x:c>
      <x:c r="E121" s="11" t="str">
        <x:v>행정 개혁</x:v>
      </x:c>
      <x:c r="F121" s="40" t="str">
        <x:v>administrative reform *</x:v>
      </x:c>
      <x:c r="G121" s="40" t="str">
        <x:v>Chưa đủ hai nguồn để so khớp</x:v>
      </x:c>
      <x:c r="H121" s="41" t="str">
        <x:v>Ứng viên — còn thiếu chứng cứ</x:v>
      </x:c>
      <x:c r="I121" s="11" t="str">
        <x:v>compatible = có khả năng tương ứng theo nghĩa làm việc; chưa thay thế kiểm tra câu song hành.</x:v>
      </x:c>
      <x:c r="J121" s="11" t="str">
        <x:v>* Nhãn tham chiếu từ bảng trước</x:v>
      </x:c>
      <x:c r="K121" s="11" t="str">
        <x:v>Chưa có nguồn ánh xạ</x:v>
      </x:c>
      <x:c r="L121" s="11" t="str">
        <x:v>* Đề xuất để tiếp tục tra cứu</x:v>
      </x:c>
      <x:c r="M121" s="11" t="str">
        <x:v>Chưa có nguồn ánh xạ</x:v>
      </x:c>
      <x:c r="N121" s="11" t="str">
        <x:v>cải cách hành chính</x:v>
      </x:c>
      <x:c r="O121" s="11" t="str">
        <x:v>행정 개혁</x:v>
      </x:c>
      <x:c r="P121" s="11" t="str">
        <x:v>Quá trình đổi mới thể chế, tổ chức, thủ tục và phương thức hoạt động của nền hành chính.</x:v>
      </x:c>
      <x:c r="Q121" s="11" t="str">
        <x:v>Đối chiếu nghĩa Hàn đã ghi trong trang Thuật ngữ.</x:v>
      </x:c>
      <x:c r="R121" s="11" t="str">
        <x:v>N4</x:v>
      </x:c>
      <x:c r="S121" s="11" t="str">
        <x:v>Giữ làm đơn vị nghiên cứu</x:v>
      </x:c>
      <x:c r="T121" s="11" t="str">
        <x:v>T041</x:v>
      </x:c>
    </x:row>
    <x:row r="122" ht="67.5" customHeight="1">
      <x:c r="A122" s="11" t="n">
        <x:v>117</x:v>
      </x:c>
      <x:c r="B122" s="11" t="str">
        <x:v>T060</x:v>
      </x:c>
      <x:c r="C122" s="11" t="str">
        <x:v>cải cách thể chế</x:v>
      </x:c>
      <x:c r="D122" s="40" t="str">
        <x:v>institutional reform *</x:v>
      </x:c>
      <x:c r="E122" s="11" t="str">
        <x:v>제도 개혁</x:v>
      </x:c>
      <x:c r="F122" s="40" t="str">
        <x:v>institutional reform *</x:v>
      </x:c>
      <x:c r="G122" s="40" t="str">
        <x:v>Chưa đủ hai nguồn để so khớp</x:v>
      </x:c>
      <x:c r="H122" s="41" t="str">
        <x:v>Ứng viên — còn thiếu chứng cứ</x:v>
      </x:c>
      <x:c r="I122" s="11" t="str">
        <x:v>compatible = có khả năng tương ứng theo nghĩa làm việc; chưa thay thế kiểm tra câu song hành.</x:v>
      </x:c>
      <x:c r="J122" s="11" t="str">
        <x:v>* Nhãn tham chiếu từ bảng trước</x:v>
      </x:c>
      <x:c r="K122" s="11" t="str">
        <x:v>Chưa có nguồn ánh xạ</x:v>
      </x:c>
      <x:c r="L122" s="11" t="str">
        <x:v>* Đề xuất để tiếp tục tra cứu</x:v>
      </x:c>
      <x:c r="M122" s="11" t="str">
        <x:v>Chưa có nguồn ánh xạ</x:v>
      </x:c>
      <x:c r="N122" s="11" t="str">
        <x:v>cải cách thể chế</x:v>
      </x:c>
      <x:c r="O122" s="11" t="str">
        <x:v>제도 개혁</x:v>
      </x:c>
      <x:c r="P122" s="11" t="str">
        <x:v>Quá trình sửa đổi hoặc đổi mới các quy tắc và thiết chế chi phối hoạt động của một hệ thống.</x:v>
      </x:c>
      <x:c r="Q122" s="11" t="str">
        <x:v>Đối chiếu nghĩa Hàn đã ghi trong trang Thuật ngữ.</x:v>
      </x:c>
      <x:c r="R122" s="11" t="str">
        <x:v>N4</x:v>
      </x:c>
      <x:c r="S122" s="11" t="str">
        <x:v>Giữ làm đơn vị nghiên cứu</x:v>
      </x:c>
      <x:c r="T122" s="11" t="str">
        <x:v>T060</x:v>
      </x:c>
    </x:row>
    <x:row r="123" ht="102" customHeight="1">
      <x:c r="A123" s="11" t="n">
        <x:v>118</x:v>
      </x:c>
      <x:c r="B123" s="11" t="str">
        <x:v>M047</x:v>
      </x:c>
      <x:c r="C123" s="11" t="str">
        <x:v>chào xã giao</x:v>
      </x:c>
      <x:c r="D123" s="40" t="str">
        <x:v>courtesy call *</x:v>
      </x:c>
      <x:c r="E123" s="11" t="str">
        <x:v>예방할</x:v>
      </x:c>
      <x:c r="F123" s="40" t="str">
        <x:v>pay a courtesy call (inflected form of 예방하다) *</x:v>
      </x:c>
      <x:c r="G123" s="40" t="str">
        <x:v>Chưa đủ hai nguồn để so khớp</x:v>
      </x:c>
      <x:c r="H123" s="41" t="str">
        <x:v>Ứng viên — còn thiếu chứng cứ</x:v>
      </x:c>
      <x:c r="I123" s="11" t="str">
        <x:v>Giữ nguyên dạng ngữ liệu 예방할; dạng tra cứu đề xuất 예방하다/예방(禮訪). Không nhầm 豫防 là phòng ngừa. Bằng chứng khác trong hồ sơ có 예방 방문; không thay âm thầm dạng gốc. Đã thử tìm trên nguồn Quốc ngữ viện nhưng chưa đọc được mục từ nguyên dạng phù hợp; needs_check không có nghĩa thuật ngữ không tồn tại.</x:v>
      </x:c>
      <x:c r="J123" s="11" t="str">
        <x:v>* Nhãn tham chiếu từ bảng trước</x:v>
      </x:c>
      <x:c r="K123" s="11" t="str">
        <x:v>Chưa có nguồn ánh xạ</x:v>
      </x:c>
      <x:c r="L123" s="11" t="str">
        <x:v>* Đề xuất để tiếp tục tra cứu</x:v>
      </x:c>
      <x:c r="M123" s="11" t="str">
        <x:v>Chưa có nguồn ánh xạ</x:v>
      </x:c>
      <x:c r="N123" s="11" t="str">
        <x:v>chào xã giao</x:v>
      </x:c>
      <x:c r="O123" s="11" t="str">
        <x:v>예방할</x:v>
      </x:c>
      <x:c r="P123" s="11" t="str">
        <x:v>Cuộc tiếp xúc mang tính nghi thức nhằm chào hỏi, thể hiện sự tôn trọng và duy trì quan hệ.</x:v>
      </x:c>
      <x:c r="Q123" s="11" t="str">
        <x:v>Đối chiếu nghĩa Hàn đã ghi trong trang Thuật ngữ.</x:v>
      </x:c>
      <x:c r="R123" s="11" t="str">
        <x:v>N4</x:v>
      </x:c>
      <x:c r="S123" s="11" t="str">
        <x:v>Cần xem xét tư cách/phạm vi</x:v>
      </x:c>
      <x:c r="T123" s="11" t="str">
        <x:v>M047</x:v>
      </x:c>
    </x:row>
    <x:row r="124" ht="67.5" customHeight="1">
      <x:c r="A124" s="11" t="n">
        <x:v>119</x:v>
      </x:c>
      <x:c r="B124" s="11" t="str">
        <x:v>T025</x:v>
      </x:c>
      <x:c r="C124" s="11" t="str">
        <x:v>Đại hội đại biểu toàn quốc</x:v>
      </x:c>
      <x:c r="D124" s="40" t="str">
        <x:v>National Party Congress *</x:v>
      </x:c>
      <x:c r="E124" s="11" t="str">
        <x:v>전국대회</x:v>
      </x:c>
      <x:c r="F124" s="40" t="str">
        <x:v>National Party Congress *</x:v>
      </x:c>
      <x:c r="G124" s="40" t="str">
        <x:v>Chưa đủ hai nguồn để so khớp</x:v>
      </x:c>
      <x:c r="H124" s="41" t="str">
        <x:v>Ứng viên — còn thiếu chứng cứ</x:v>
      </x:c>
      <x:c r="I124" s="11" t="str">
        <x:v>compatible = có khả năng tương ứng theo nghĩa làm việc; chưa thay thế kiểm tra câu song hành.</x:v>
      </x:c>
      <x:c r="J124" s="11" t="str">
        <x:v>* Nhãn tham chiếu từ bảng trước</x:v>
      </x:c>
      <x:c r="K124" s="11" t="str">
        <x:v>Chưa có nguồn ánh xạ</x:v>
      </x:c>
      <x:c r="L124" s="11" t="str">
        <x:v>* Đề xuất để tiếp tục tra cứu</x:v>
      </x:c>
      <x:c r="M124" s="11" t="str">
        <x:v>Chưa có nguồn ánh xạ</x:v>
      </x:c>
      <x:c r="N124" s="11" t="str">
        <x:v>Đại hội đại biểu toàn quốc</x:v>
      </x:c>
      <x:c r="O124" s="11" t="str">
        <x:v>전국대회</x:v>
      </x:c>
      <x:c r="P124" s="11" t="str">
        <x:v>Đại hội đại biểu toàn quốc của chính đảng.</x:v>
      </x:c>
      <x:c r="Q124" s="11" t="str">
        <x:v>Đối chiếu nghĩa Hàn đã ghi trong trang Thuật ngữ.</x:v>
      </x:c>
      <x:c r="R124" s="11" t="str">
        <x:v>N4</x:v>
      </x:c>
      <x:c r="S124" s="11" t="str">
        <x:v>Giữ làm đơn vị nghiên cứu</x:v>
      </x:c>
      <x:c r="T124" s="11" t="str">
        <x:v>T025</x:v>
      </x:c>
    </x:row>
    <x:row r="125" ht="67.5" customHeight="1">
      <x:c r="A125" s="11" t="n">
        <x:v>120</x:v>
      </x:c>
      <x:c r="B125" s="11" t="str">
        <x:v>T012</x:v>
      </x:c>
      <x:c r="C125" s="11" t="str">
        <x:v>đề cử</x:v>
      </x:c>
      <x:c r="D125" s="11" t="str">
        <x:v>nominate / nomination</x:v>
      </x:c>
      <x:c r="E125" s="11" t="str">
        <x:v>지명한</x:v>
      </x:c>
      <x:c r="F125" s="40" t="str">
        <x:v>nominated (attributive form of 지명하다) *</x:v>
      </x:c>
      <x:c r="G125" s="40" t="str">
        <x:v>Chưa đủ hai nguồn để so khớp</x:v>
      </x:c>
      <x:c r="H125" s="41" t="str">
        <x:v>Có điều kiện — chưa chốt</x:v>
      </x:c>
      <x:c r="I125" s="11" t="str">
        <x:v>Dạng Hàn 지명한 là dạng biến hình, cần chuẩn hóa về 지명하다 và khóa nghĩa đề cử; không coi đây là mục từ danh từ nomination đã được xác nhận hai nhánh.</x:v>
      </x:c>
      <x:c r="J125" s="11" t="str">
        <x:v>Đối dịch trong từ điển</x:v>
      </x:c>
      <x:c r="K125" s="37" t="str">
        <x:v>EB109
Nguồn kiểm tra, dòng 753</x:v>
      </x:c>
      <x:c r="L125" s="11" t="str">
        <x:v>* Đề xuất để tiếp tục tra cứu</x:v>
      </x:c>
      <x:c r="M125" s="11" t="str">
        <x:v>Chưa có nguồn ánh xạ</x:v>
      </x:c>
      <x:c r="N125" s="11" t="str">
        <x:v>đề cử</x:v>
      </x:c>
      <x:c r="O125" s="11" t="str">
        <x:v>지명한</x:v>
      </x:c>
      <x:c r="P125" s="11" t="str">
        <x:v>Đề xuất một người để xem xét bầu hoặc chọn.</x:v>
      </x:c>
      <x:c r="Q125" s="11" t="str">
        <x:v>Đối chiếu nghĩa Hàn đã ghi trong trang Thuật ngữ.</x:v>
      </x:c>
      <x:c r="R125" s="11" t="str">
        <x:v>N4</x:v>
      </x:c>
      <x:c r="S125" s="11" t="str">
        <x:v>Cần xem xét tư cách/phạm vi</x:v>
      </x:c>
      <x:c r="T125" s="11" t="str">
        <x:v>T012</x:v>
      </x:c>
    </x:row>
    <x:row r="126" ht="67.5" customHeight="1">
      <x:c r="A126" s="11" t="n">
        <x:v>121</x:v>
      </x:c>
      <x:c r="B126" s="11" t="str">
        <x:v>T153</x:v>
      </x:c>
      <x:c r="C126" s="11" t="str">
        <x:v>điện đàm</x:v>
      </x:c>
      <x:c r="D126" s="11" t="str">
        <x:v>phone calls</x:v>
      </x:c>
      <x:c r="E126" s="11" t="str">
        <x:v>전화 회담</x:v>
      </x:c>
      <x:c r="F126" s="40" t="str">
        <x:v>telephone talks *</x:v>
      </x:c>
      <x:c r="G126" s="40" t="str">
        <x:v>Chưa đủ hai nguồn để so khớp</x:v>
      </x:c>
      <x:c r="H126" s="41" t="str">
        <x:v>Ứng viên — còn thiếu chứng cứ</x:v>
      </x:c>
      <x:c r="I126" s="11" t="str">
        <x:v>compatible = có khả năng tương ứng theo nghĩa làm việc; chưa thay thế kiểm tra câu song hành.</x:v>
      </x:c>
      <x:c r="J126" s="11" t="str">
        <x:v>Đối chiếu văn bản song song</x:v>
      </x:c>
      <x:c r="K126" s="37" t="str">
        <x:v>EB110
Nguồn kiểm tra, dòng 754</x:v>
      </x:c>
      <x:c r="L126" s="11" t="str">
        <x:v>* Đề xuất để tiếp tục tra cứu</x:v>
      </x:c>
      <x:c r="M126" s="11" t="str">
        <x:v>Chưa có nguồn ánh xạ</x:v>
      </x:c>
      <x:c r="N126" s="11" t="str">
        <x:v>điện đàm</x:v>
      </x:c>
      <x:c r="O126" s="11" t="str">
        <x:v>전화 회담</x:v>
      </x:c>
      <x:c r="P126" s="11" t="str">
        <x:v>Cuộc trao đổi qua điện thoại giữa các chủ thể chính trị hoặc ngoại giao; không bao gồm mọi cuộc gọi thông thường.</x:v>
      </x:c>
      <x:c r="Q126" s="11" t="str">
        <x:v>Đối chiếu nghĩa Hàn đã ghi trong trang Thuật ngữ.</x:v>
      </x:c>
      <x:c r="R126" s="11" t="str">
        <x:v>N4</x:v>
      </x:c>
      <x:c r="S126" s="11" t="str">
        <x:v>Giữ làm đơn vị nghiên cứu</x:v>
      </x:c>
      <x:c r="T126" s="11" t="str">
        <x:v>T153</x:v>
      </x:c>
    </x:row>
    <x:row r="127" ht="67.5" customHeight="1">
      <x:c r="A127" s="11" t="n">
        <x:v>122</x:v>
      </x:c>
      <x:c r="B127" s="11" t="str">
        <x:v>T016</x:v>
      </x:c>
      <x:c r="C127" s="11" t="str">
        <x:v>Đổi mới</x:v>
      </x:c>
      <x:c r="D127" s="40" t="str">
        <x:v>Doi Moi (Renovation) *</x:v>
      </x:c>
      <x:c r="E127" s="11" t="str">
        <x:v>도이머이(혁신)</x:v>
      </x:c>
      <x:c r="F127" s="40" t="str">
        <x:v>Doi Moi (Renovation) *</x:v>
      </x:c>
      <x:c r="G127" s="40" t="str">
        <x:v>Chưa đủ hai nguồn để so khớp</x:v>
      </x:c>
      <x:c r="H127" s="41" t="str">
        <x:v>Ứng viên — còn thiếu chứng cứ</x:v>
      </x:c>
      <x:c r="I127" s="11" t="str">
        <x:v>Cần nguồn đối dịch cho cả hai nhánh trước khi kết luận tương ứng qua tiếng Anh.</x:v>
      </x:c>
      <x:c r="J127" s="11" t="str">
        <x:v>* Nhãn tham chiếu từ bảng trước</x:v>
      </x:c>
      <x:c r="K127" s="11" t="str">
        <x:v>Chưa có nguồn ánh xạ</x:v>
      </x:c>
      <x:c r="L127" s="11" t="str">
        <x:v>* Đề xuất để tiếp tục tra cứu</x:v>
      </x:c>
      <x:c r="M127" s="11" t="str">
        <x:v>Chưa có nguồn ánh xạ</x:v>
      </x:c>
      <x:c r="N127" s="11" t="str">
        <x:v>Đổi mới</x:v>
      </x:c>
      <x:c r="O127" s="11" t="str">
        <x:v>도이머이(혁신)</x:v>
      </x:c>
      <x:c r="P127" s="11" t="str">
        <x:v>Đường lối và quá trình cải cách toàn diện được Việt Nam triển khai từ Đại hội VI; không chỉ sự thay đổi nói chung.</x:v>
      </x:c>
      <x:c r="Q127" s="11" t="str">
        <x:v>Đối chiếu nghĩa Hàn đã ghi trong trang Thuật ngữ.</x:v>
      </x:c>
      <x:c r="R127" s="11" t="str">
        <x:v>N4</x:v>
      </x:c>
      <x:c r="S127" s="11" t="str">
        <x:v>Giữ làm đơn vị nghiên cứu</x:v>
      </x:c>
      <x:c r="T127" s="11" t="str">
        <x:v>T016</x:v>
      </x:c>
    </x:row>
    <x:row r="128" ht="67.5" customHeight="1">
      <x:c r="A128" s="11" t="n">
        <x:v>123</x:v>
      </x:c>
      <x:c r="B128" s="11" t="str">
        <x:v>T160</x:v>
      </x:c>
      <x:c r="C128" s="11" t="str">
        <x:v>đối ngoại quốc phòng</x:v>
      </x:c>
      <x:c r="D128" s="40" t="str">
        <x:v>defence external relations *</x:v>
      </x:c>
      <x:c r="E128" s="11" t="str">
        <x:v>국방 외교</x:v>
      </x:c>
      <x:c r="F128" s="40" t="str">
        <x:v>defence external relations *</x:v>
      </x:c>
      <x:c r="G128" s="40" t="str">
        <x:v>Chưa đủ hai nguồn để so khớp</x:v>
      </x:c>
      <x:c r="H128" s="41" t="str">
        <x:v>Ứng viên — còn thiếu chứng cứ</x:v>
      </x:c>
      <x:c r="I128" s="11" t="str">
        <x:v>compatible = có khả năng tương ứng theo nghĩa làm việc; chưa thay thế kiểm tra câu song hành.</x:v>
      </x:c>
      <x:c r="J128" s="11" t="str">
        <x:v>* Nhãn tham chiếu từ bảng trước</x:v>
      </x:c>
      <x:c r="K128" s="11" t="str">
        <x:v>Chưa có nguồn ánh xạ</x:v>
      </x:c>
      <x:c r="L128" s="11" t="str">
        <x:v>* Đề xuất để tiếp tục tra cứu</x:v>
      </x:c>
      <x:c r="M128" s="11" t="str">
        <x:v>Chưa có nguồn ánh xạ</x:v>
      </x:c>
      <x:c r="N128" s="11" t="str">
        <x:v>đối ngoại quốc phòng</x:v>
      </x:c>
      <x:c r="O128" s="11" t="str">
        <x:v>국방 외교</x:v>
      </x:c>
      <x:c r="P128" s="11" t="str">
        <x:v>Hoạt động đối ngoại trong lĩnh vực quốc phòng nhằm xây dựng quan hệ, hợp tác và bảo vệ lợi ích quốc gia.</x:v>
      </x:c>
      <x:c r="Q128" s="11" t="str">
        <x:v>Đối chiếu nghĩa Hàn đã ghi trong trang Thuật ngữ.</x:v>
      </x:c>
      <x:c r="R128" s="11" t="str">
        <x:v>N4</x:v>
      </x:c>
      <x:c r="S128" s="11" t="str">
        <x:v>Giữ làm đơn vị nghiên cứu</x:v>
      </x:c>
      <x:c r="T128" s="11" t="str">
        <x:v>T160</x:v>
      </x:c>
    </x:row>
    <x:row r="129" ht="67.5" customHeight="1">
      <x:c r="A129" s="11" t="n">
        <x:v>124</x:v>
      </x:c>
      <x:c r="B129" s="11" t="str">
        <x:v>T165</x:v>
      </x:c>
      <x:c r="C129" s="11" t="str">
        <x:v>đối thoại chính sách</x:v>
      </x:c>
      <x:c r="D129" s="40" t="str">
        <x:v>policy dialogue *</x:v>
      </x:c>
      <x:c r="E129" s="11" t="str">
        <x:v>정책 대화</x:v>
      </x:c>
      <x:c r="F129" s="40" t="str">
        <x:v>policy dialogue *</x:v>
      </x:c>
      <x:c r="G129" s="40" t="str">
        <x:v>Chưa đủ hai nguồn để so khớp</x:v>
      </x:c>
      <x:c r="H129" s="41" t="str">
        <x:v>Ứng viên — còn thiếu chứng cứ</x:v>
      </x:c>
      <x:c r="I129" s="11" t="str">
        <x:v>compatible = có khả năng tương ứng theo nghĩa làm việc; chưa thay thế kiểm tra câu song hành.</x:v>
      </x:c>
      <x:c r="J129" s="11" t="str">
        <x:v>* Nhãn tham chiếu từ bảng trước</x:v>
      </x:c>
      <x:c r="K129" s="11" t="str">
        <x:v>Chưa có nguồn ánh xạ</x:v>
      </x:c>
      <x:c r="L129" s="11" t="str">
        <x:v>* Đề xuất để tiếp tục tra cứu</x:v>
      </x:c>
      <x:c r="M129" s="11" t="str">
        <x:v>Chưa có nguồn ánh xạ</x:v>
      </x:c>
      <x:c r="N129" s="11" t="str">
        <x:v>đối thoại chính sách</x:v>
      </x:c>
      <x:c r="O129" s="11" t="str">
        <x:v>정책 대화</x:v>
      </x:c>
      <x:c r="P129" s="11" t="str">
        <x:v>Cơ chế hoặc cuộc trao đổi giữa các bên về định hướng, nội dung hoặc việc thực hiện chính sách.</x:v>
      </x:c>
      <x:c r="Q129" s="11" t="str">
        <x:v>Đối chiếu nghĩa Hàn đã ghi trong trang Thuật ngữ.</x:v>
      </x:c>
      <x:c r="R129" s="11" t="str">
        <x:v>N4</x:v>
      </x:c>
      <x:c r="S129" s="11" t="str">
        <x:v>Giữ làm đơn vị nghiên cứu</x:v>
      </x:c>
      <x:c r="T129" s="11" t="str">
        <x:v>T165</x:v>
      </x:c>
    </x:row>
    <x:row r="130" ht="67.5" customHeight="1">
      <x:c r="A130" s="11" t="n">
        <x:v>125</x:v>
      </x:c>
      <x:c r="B130" s="11" t="str">
        <x:v>T040</x:v>
      </x:c>
      <x:c r="C130" s="11" t="str">
        <x:v>giải phóng dân tộc</x:v>
      </x:c>
      <x:c r="D130" s="40" t="str">
        <x:v>national liberation *</x:v>
      </x:c>
      <x:c r="E130" s="11" t="str">
        <x:v>민족 해방</x:v>
      </x:c>
      <x:c r="F130" s="40" t="str">
        <x:v>national liberation *</x:v>
      </x:c>
      <x:c r="G130" s="40" t="str">
        <x:v>Chưa đủ hai nguồn để so khớp</x:v>
      </x:c>
      <x:c r="H130" s="41" t="str">
        <x:v>Ứng viên — còn thiếu chứng cứ</x:v>
      </x:c>
      <x:c r="I130" s="11" t="str">
        <x:v>compatible = có khả năng tương ứng theo nghĩa làm việc; chưa thay thế kiểm tra câu song hành.</x:v>
      </x:c>
      <x:c r="J130" s="11" t="str">
        <x:v>* Nhãn tham chiếu từ bảng trước</x:v>
      </x:c>
      <x:c r="K130" s="11" t="str">
        <x:v>Chưa có nguồn ánh xạ</x:v>
      </x:c>
      <x:c r="L130" s="11" t="str">
        <x:v>* Đề xuất để tiếp tục tra cứu</x:v>
      </x:c>
      <x:c r="M130" s="11" t="str">
        <x:v>Chưa có nguồn ánh xạ</x:v>
      </x:c>
      <x:c r="N130" s="11" t="str">
        <x:v>giải phóng dân tộc</x:v>
      </x:c>
      <x:c r="O130" s="11" t="str">
        <x:v>민족 해방</x:v>
      </x:c>
      <x:c r="P130" s="11" t="str">
        <x:v>Quá trình đấu tranh chấm dứt sự thống trị, áp bức dân tộc để giành quyền tự quyết và độc lập.</x:v>
      </x:c>
      <x:c r="Q130" s="11" t="str">
        <x:v>Đối chiếu nghĩa Hàn đã ghi trong trang Thuật ngữ.</x:v>
      </x:c>
      <x:c r="R130" s="11" t="str">
        <x:v>N4</x:v>
      </x:c>
      <x:c r="S130" s="11" t="str">
        <x:v>Giữ làm đơn vị nghiên cứu</x:v>
      </x:c>
      <x:c r="T130" s="11" t="str">
        <x:v>T040</x:v>
      </x:c>
    </x:row>
    <x:row r="131" ht="67.5" customHeight="1">
      <x:c r="A131" s="11" t="n">
        <x:v>126</x:v>
      </x:c>
      <x:c r="B131" s="11" t="str">
        <x:v>T010</x:v>
      </x:c>
      <x:c r="C131" s="11" t="str">
        <x:v>giám sát tối cao</x:v>
      </x:c>
      <x:c r="D131" s="40" t="str">
        <x:v>supreme oversight *</x:v>
      </x:c>
      <x:c r="E131" s="11" t="str">
        <x:v>최고 감독</x:v>
      </x:c>
      <x:c r="F131" s="40" t="str">
        <x:v>supreme oversight *</x:v>
      </x:c>
      <x:c r="G131" s="40" t="str">
        <x:v>Chưa đủ hai nguồn để so khớp</x:v>
      </x:c>
      <x:c r="H131" s="41" t="str">
        <x:v>Ứng viên — còn thiếu chứng cứ</x:v>
      </x:c>
      <x:c r="I131" s="11" t="str">
        <x:v>Cần nguồn đối dịch cho cả hai nhánh trước khi kết luận tương ứng qua tiếng Anh.</x:v>
      </x:c>
      <x:c r="J131" s="11" t="str">
        <x:v>* Nhãn tham chiếu từ bảng trước</x:v>
      </x:c>
      <x:c r="K131" s="11" t="str">
        <x:v>Chưa có nguồn ánh xạ</x:v>
      </x:c>
      <x:c r="L131" s="11" t="str">
        <x:v>* Đề xuất để tiếp tục tra cứu</x:v>
      </x:c>
      <x:c r="M131" s="11" t="str">
        <x:v>Chưa có nguồn ánh xạ</x:v>
      </x:c>
      <x:c r="N131" s="11" t="str">
        <x:v>giám sát tối cao</x:v>
      </x:c>
      <x:c r="O131" s="11" t="str">
        <x:v>최고 감독</x:v>
      </x:c>
      <x:c r="P131" s="11" t="str">
        <x:v>Hoạt động giám sát ở cấp cao nhất của Quốc hội đối với việc thực hiện Hiến pháp, luật và nghị quyết theo thẩm quyền.</x:v>
      </x:c>
      <x:c r="Q131" s="11" t="str">
        <x:v>Đối chiếu nghĩa Hàn đã ghi trong trang Thuật ngữ.</x:v>
      </x:c>
      <x:c r="R131" s="11" t="str">
        <x:v>N4</x:v>
      </x:c>
      <x:c r="S131" s="11" t="str">
        <x:v>Giữ làm đơn vị nghiên cứu</x:v>
      </x:c>
      <x:c r="T131" s="11" t="str">
        <x:v>T010</x:v>
      </x:c>
    </x:row>
    <x:row r="132" ht="67.5" customHeight="1">
      <x:c r="A132" s="11" t="n">
        <x:v>127</x:v>
      </x:c>
      <x:c r="B132" s="11" t="str">
        <x:v>T141</x:v>
      </x:c>
      <x:c r="C132" s="11" t="str">
        <x:v>hội đàm</x:v>
      </x:c>
      <x:c r="D132" s="11" t="str">
        <x:v>talks</x:v>
      </x:c>
      <x:c r="E132" s="11" t="str">
        <x:v>회담</x:v>
      </x:c>
      <x:c r="F132" s="11" t="str">
        <x:v>talks</x:v>
      </x:c>
      <x:c r="G132" s="38" t="str">
        <x:v>Trùng biểu thức Anh</x:v>
      </x:c>
      <x:c r="H132" s="39" t="str">
        <x:v>Xác nhận — cùng biểu thức Anh</x:v>
      </x:c>
      <x:c r="I132" s="11" t="str">
        <x:v>VI được xác nhận bằng tiêu đề song ngữ chính thức về cùng sự kiện; KO bằng mục từ độc lập. Talks là dạng số nhiều có nghĩa hội đàm, không dùng talk nghĩa nói chuyện chung.</x:v>
      </x:c>
      <x:c r="J132" s="11" t="str">
        <x:v>Đối chiếu văn bản song song</x:v>
      </x:c>
      <x:c r="K132" s="37" t="str">
        <x:v>EB111
Nguồn kiểm tra, dòng 755</x:v>
      </x:c>
      <x:c r="L132" s="11" t="str">
        <x:v>Đối dịch trong từ điển</x:v>
      </x:c>
      <x:c r="M132" s="37" t="str">
        <x:v>EB112
Nguồn kiểm tra, dòng 756</x:v>
      </x:c>
      <x:c r="N132" s="11" t="str">
        <x:v>hội đàm</x:v>
      </x:c>
      <x:c r="O132" s="11" t="str">
        <x:v>회담</x:v>
      </x:c>
      <x:c r="P132" s="11" t="str">
        <x:v>Cuộc trao đổi chính thức giữa các bên nhằm bàn bạc về quan hệ, vấn đề hoặc phương án hợp tác.</x:v>
      </x:c>
      <x:c r="Q132" s="11" t="str">
        <x:v>Các cuộc thảo luận chính thức nhằm đạt thỏa thuận, trong ngữ cảnh này giữa các chủ thể ngoại giao.</x:v>
      </x:c>
      <x:c r="R132" s="11" t="str">
        <x:v>N4</x:v>
      </x:c>
      <x:c r="S132" s="11" t="str">
        <x:v>Giữ làm đơn vị nghiên cứu</x:v>
      </x:c>
      <x:c r="T132" s="11" t="str">
        <x:v>T141</x:v>
      </x:c>
    </x:row>
    <x:row r="133" ht="67.5" customHeight="1">
      <x:c r="A133" s="11" t="n">
        <x:v>128</x:v>
      </x:c>
      <x:c r="B133" s="11" t="str">
        <x:v>T148</x:v>
      </x:c>
      <x:c r="C133" s="11" t="str">
        <x:v>hội nghị cấp cao</x:v>
      </x:c>
      <x:c r="D133" s="40" t="str">
        <x:v>summit *</x:v>
      </x:c>
      <x:c r="E133" s="11" t="str">
        <x:v>정상회의</x:v>
      </x:c>
      <x:c r="F133" s="40" t="str">
        <x:v>summit *</x:v>
      </x:c>
      <x:c r="G133" s="40" t="str">
        <x:v>Chưa đủ hai nguồn để so khớp</x:v>
      </x:c>
      <x:c r="H133" s="41" t="str">
        <x:v>Ứng viên — còn thiếu chứng cứ</x:v>
      </x:c>
      <x:c r="I133" s="11" t="str">
        <x:v>Cần nguồn đối dịch cho cả hai nhánh trước khi kết luận tương ứng qua tiếng Anh.</x:v>
      </x:c>
      <x:c r="J133" s="11" t="str">
        <x:v>* Nhãn tham chiếu từ bảng trước</x:v>
      </x:c>
      <x:c r="K133" s="11" t="str">
        <x:v>Chưa có nguồn ánh xạ</x:v>
      </x:c>
      <x:c r="L133" s="11" t="str">
        <x:v>* Đề xuất để tiếp tục tra cứu</x:v>
      </x:c>
      <x:c r="M133" s="11" t="str">
        <x:v>Chưa có nguồn ánh xạ</x:v>
      </x:c>
      <x:c r="N133" s="11" t="str">
        <x:v>hội nghị cấp cao</x:v>
      </x:c>
      <x:c r="O133" s="11" t="str">
        <x:v>정상회의</x:v>
      </x:c>
      <x:c r="P133" s="11" t="str">
        <x:v>Hội nghị có sự tham dự của những người lãnh đạo ở cấp cao nhất hoặc cấp được thể thức hội nghị quy định.</x:v>
      </x:c>
      <x:c r="Q133" s="11" t="str">
        <x:v>Đối chiếu nghĩa Hàn đã ghi trong trang Thuật ngữ.</x:v>
      </x:c>
      <x:c r="R133" s="11" t="str">
        <x:v>N4</x:v>
      </x:c>
      <x:c r="S133" s="11" t="str">
        <x:v>Giữ làm đơn vị nghiên cứu</x:v>
      </x:c>
      <x:c r="T133" s="11" t="str">
        <x:v>T148</x:v>
      </x:c>
    </x:row>
    <x:row r="134" ht="67.5" customHeight="1">
      <x:c r="A134" s="11" t="n">
        <x:v>129</x:v>
      </x:c>
      <x:c r="B134" s="11" t="str">
        <x:v>M004</x:v>
      </x:c>
      <x:c r="C134" s="11" t="str">
        <x:v>Hội nghị cấp cao APEC</x:v>
      </x:c>
      <x:c r="D134" s="40" t="str">
        <x:v>APEC Economic Leaders' Meeting *</x:v>
      </x:c>
      <x:c r="E134" s="11" t="str">
        <x:v>APEC 정상회의</x:v>
      </x:c>
      <x:c r="F134" s="40" t="str">
        <x:v>APEC Economic Leaders' Meeting *</x:v>
      </x:c>
      <x:c r="G134" s="40" t="str">
        <x:v>Chưa đủ hai nguồn để so khớp</x:v>
      </x:c>
      <x:c r="H134" s="41" t="str">
        <x:v>Ứng viên — còn thiếu chứng cứ</x:v>
      </x:c>
      <x:c r="I134" s="11" t="str">
        <x:v>compatible = có khả năng tương ứng theo nghĩa làm việc; chưa thay thế kiểm tra câu song hành.</x:v>
      </x:c>
      <x:c r="J134" s="11" t="str">
        <x:v>* Nhãn tham chiếu từ bảng trước</x:v>
      </x:c>
      <x:c r="K134" s="11" t="str">
        <x:v>Chưa có nguồn ánh xạ</x:v>
      </x:c>
      <x:c r="L134" s="11" t="str">
        <x:v>* Đề xuất để tiếp tục tra cứu</x:v>
      </x:c>
      <x:c r="M134" s="11" t="str">
        <x:v>Chưa có nguồn ánh xạ</x:v>
      </x:c>
      <x:c r="N134" s="11" t="str">
        <x:v>Hội nghị cấp cao APEC</x:v>
      </x:c>
      <x:c r="O134" s="11" t="str">
        <x:v>APEC 정상회의</x:v>
      </x:c>
      <x:c r="P134" s="11" t="str">
        <x:v>Hội nghị của các nhà lãnh đạo các nền kinh tế thành viên APEC.</x:v>
      </x:c>
      <x:c r="Q134" s="11" t="str">
        <x:v>Đối chiếu nghĩa Hàn đã ghi trong trang Thuật ngữ.</x:v>
      </x:c>
      <x:c r="R134" s="11" t="str">
        <x:v>N4</x:v>
      </x:c>
      <x:c r="S134" s="11" t="str">
        <x:v>Giữ làm đơn vị nghiên cứu</x:v>
      </x:c>
      <x:c r="T134" s="11" t="str">
        <x:v>M004</x:v>
      </x:c>
    </x:row>
    <x:row r="135" ht="67.5" customHeight="1">
      <x:c r="A135" s="11" t="n">
        <x:v>130</x:v>
      </x:c>
      <x:c r="B135" s="11" t="str">
        <x:v>M019</x:v>
      </x:c>
      <x:c r="C135" s="11" t="str">
        <x:v>Hội nghị cấp cao Mekong–Hàn Quốc</x:v>
      </x:c>
      <x:c r="D135" s="40" t="str">
        <x:v>Mekong–Republic of Korea Summit *</x:v>
      </x:c>
      <x:c r="E135" s="11" t="str">
        <x:v>메콩-한 정상회의</x:v>
      </x:c>
      <x:c r="F135" s="40" t="str">
        <x:v>Mekong–Republic of Korea Summit *</x:v>
      </x:c>
      <x:c r="G135" s="40" t="str">
        <x:v>Chưa đủ hai nguồn để so khớp</x:v>
      </x:c>
      <x:c r="H135" s="41" t="str">
        <x:v>Ứng viên — còn thiếu chứng cứ</x:v>
      </x:c>
      <x:c r="I135" s="11" t="str">
        <x:v>compatible = có khả năng tương ứng theo nghĩa làm việc; chưa thay thế kiểm tra câu song hành.</x:v>
      </x:c>
      <x:c r="J135" s="11" t="str">
        <x:v>* Nhãn tham chiếu từ bảng trước</x:v>
      </x:c>
      <x:c r="K135" s="11" t="str">
        <x:v>Chưa có nguồn ánh xạ</x:v>
      </x:c>
      <x:c r="L135" s="11" t="str">
        <x:v>* Đề xuất để tiếp tục tra cứu</x:v>
      </x:c>
      <x:c r="M135" s="11" t="str">
        <x:v>Chưa có nguồn ánh xạ</x:v>
      </x:c>
      <x:c r="N135" s="11" t="str">
        <x:v>Hội nghị cấp cao Mekong–Hàn Quốc</x:v>
      </x:c>
      <x:c r="O135" s="11" t="str">
        <x:v>메콩-한 정상회의</x:v>
      </x:c>
      <x:c r="P135" s="11" t="str">
        <x:v>Hội nghị cấp lãnh đạo trong khuôn khổ hợp tác Mekong–Hàn Quốc.</x:v>
      </x:c>
      <x:c r="Q135" s="11" t="str">
        <x:v>Đối chiếu nghĩa Hàn đã ghi trong trang Thuật ngữ.</x:v>
      </x:c>
      <x:c r="R135" s="11" t="str">
        <x:v>N4</x:v>
      </x:c>
      <x:c r="S135" s="11" t="str">
        <x:v>Giữ làm đơn vị nghiên cứu</x:v>
      </x:c>
      <x:c r="T135" s="11" t="str">
        <x:v>M019</x:v>
      </x:c>
    </x:row>
    <x:row r="136" ht="67.5" customHeight="1">
      <x:c r="A136" s="11" t="n">
        <x:v>131</x:v>
      </x:c>
      <x:c r="B136" s="11" t="str">
        <x:v>T138</x:v>
      </x:c>
      <x:c r="C136" s="11" t="str">
        <x:v>hội nhập quốc tế</x:v>
      </x:c>
      <x:c r="D136" s="40" t="str">
        <x:v>international integration *</x:v>
      </x:c>
      <x:c r="E136" s="11" t="str">
        <x:v>국제 통합</x:v>
      </x:c>
      <x:c r="F136" s="40" t="str">
        <x:v>international integration *</x:v>
      </x:c>
      <x:c r="G136" s="40" t="str">
        <x:v>Chưa đủ hai nguồn để so khớp</x:v>
      </x:c>
      <x:c r="H136" s="41" t="str">
        <x:v>Ứng viên — còn thiếu chứng cứ</x:v>
      </x:c>
      <x:c r="I136" s="11" t="str">
        <x:v>compatible = có khả năng tương ứng theo nghĩa làm việc; chưa thay thế kiểm tra câu song hành.</x:v>
      </x:c>
      <x:c r="J136" s="11" t="str">
        <x:v>* Nhãn tham chiếu từ bảng trước</x:v>
      </x:c>
      <x:c r="K136" s="11" t="str">
        <x:v>Chưa có nguồn ánh xạ</x:v>
      </x:c>
      <x:c r="L136" s="11" t="str">
        <x:v>* Đề xuất để tiếp tục tra cứu</x:v>
      </x:c>
      <x:c r="M136" s="11" t="str">
        <x:v>Chưa có nguồn ánh xạ</x:v>
      </x:c>
      <x:c r="N136" s="11" t="str">
        <x:v>hội nhập quốc tế</x:v>
      </x:c>
      <x:c r="O136" s="11" t="str">
        <x:v>국제 통합</x:v>
      </x:c>
      <x:c r="P136" s="11" t="str">
        <x:v>Quá trình một quốc gia tham gia ngày càng sâu vào các quan hệ, thể chế và cơ chế hợp tác quốc tế.</x:v>
      </x:c>
      <x:c r="Q136" s="11" t="str">
        <x:v>Đối chiếu nghĩa Hàn đã ghi trong trang Thuật ngữ.</x:v>
      </x:c>
      <x:c r="R136" s="11" t="str">
        <x:v>N4</x:v>
      </x:c>
      <x:c r="S136" s="11" t="str">
        <x:v>Giữ làm đơn vị nghiên cứu</x:v>
      </x:c>
      <x:c r="T136" s="11" t="str">
        <x:v>T138</x:v>
      </x:c>
    </x:row>
    <x:row r="137" ht="67.5" customHeight="1">
      <x:c r="A137" s="11" t="n">
        <x:v>132</x:v>
      </x:c>
      <x:c r="B137" s="11" t="str">
        <x:v>M003</x:v>
      </x:c>
      <x:c r="C137" s="11" t="str">
        <x:v>hợp tác đa phương</x:v>
      </x:c>
      <x:c r="D137" s="40" t="str">
        <x:v>multilateral cooperation *</x:v>
      </x:c>
      <x:c r="E137" s="11" t="str">
        <x:v>다자 협력</x:v>
      </x:c>
      <x:c r="F137" s="40" t="str">
        <x:v>multilateral cooperation *</x:v>
      </x:c>
      <x:c r="G137" s="40" t="str">
        <x:v>Chưa đủ hai nguồn để so khớp</x:v>
      </x:c>
      <x:c r="H137" s="41" t="str">
        <x:v>Ứng viên — còn thiếu chứng cứ</x:v>
      </x:c>
      <x:c r="I137" s="11" t="str">
        <x:v>compatible = có khả năng tương ứng theo nghĩa làm việc; chưa thay thế kiểm tra câu song hành.</x:v>
      </x:c>
      <x:c r="J137" s="11" t="str">
        <x:v>* Nhãn tham chiếu từ bảng trước</x:v>
      </x:c>
      <x:c r="K137" s="11" t="str">
        <x:v>Chưa có nguồn ánh xạ</x:v>
      </x:c>
      <x:c r="L137" s="11" t="str">
        <x:v>* Đề xuất để tiếp tục tra cứu</x:v>
      </x:c>
      <x:c r="M137" s="11" t="str">
        <x:v>Chưa có nguồn ánh xạ</x:v>
      </x:c>
      <x:c r="N137" s="11" t="str">
        <x:v>hợp tác đa phương</x:v>
      </x:c>
      <x:c r="O137" s="11" t="str">
        <x:v>다자 협력</x:v>
      </x:c>
      <x:c r="P137" s="11" t="str">
        <x:v>Hoạt động hợp tác có sự tham gia của nhiều quốc gia hoặc nhiều bên trong một khuôn khổ chung.</x:v>
      </x:c>
      <x:c r="Q137" s="11" t="str">
        <x:v>Đối chiếu nghĩa Hàn đã ghi trong trang Thuật ngữ.</x:v>
      </x:c>
      <x:c r="R137" s="11" t="str">
        <x:v>N4</x:v>
      </x:c>
      <x:c r="S137" s="11" t="str">
        <x:v>Giữ làm đơn vị nghiên cứu</x:v>
      </x:c>
      <x:c r="T137" s="11" t="str">
        <x:v>M003</x:v>
      </x:c>
    </x:row>
    <x:row r="138" ht="67.5" customHeight="1">
      <x:c r="A138" s="11" t="n">
        <x:v>133</x:v>
      </x:c>
      <x:c r="B138" s="11" t="str">
        <x:v>M035</x:v>
      </x:c>
      <x:c r="C138" s="11" t="str">
        <x:v>hợp tác nghị viện</x:v>
      </x:c>
      <x:c r="D138" s="40" t="str">
        <x:v>parliamentary cooperation *</x:v>
      </x:c>
      <x:c r="E138" s="11" t="str">
        <x:v>의회 협력</x:v>
      </x:c>
      <x:c r="F138" s="40" t="str">
        <x:v>parliamentary cooperation *</x:v>
      </x:c>
      <x:c r="G138" s="40" t="str">
        <x:v>Chưa đủ hai nguồn để so khớp</x:v>
      </x:c>
      <x:c r="H138" s="41" t="str">
        <x:v>Ứng viên — còn thiếu chứng cứ</x:v>
      </x:c>
      <x:c r="I138" s="11" t="str">
        <x:v>compatible = có khả năng tương ứng theo nghĩa làm việc; chưa thay thế kiểm tra câu song hành.</x:v>
      </x:c>
      <x:c r="J138" s="11" t="str">
        <x:v>* Nhãn tham chiếu từ bảng trước</x:v>
      </x:c>
      <x:c r="K138" s="11" t="str">
        <x:v>Chưa có nguồn ánh xạ</x:v>
      </x:c>
      <x:c r="L138" s="11" t="str">
        <x:v>* Đề xuất để tiếp tục tra cứu</x:v>
      </x:c>
      <x:c r="M138" s="11" t="str">
        <x:v>Chưa có nguồn ánh xạ</x:v>
      </x:c>
      <x:c r="N138" s="11" t="str">
        <x:v>hợp tác nghị viện</x:v>
      </x:c>
      <x:c r="O138" s="11" t="str">
        <x:v>의회 협력</x:v>
      </x:c>
      <x:c r="P138" s="11" t="str">
        <x:v>Hoạt động phối hợp, trao đổi và hỗ trợ giữa các nghị viện hoặc cơ quan nghị viện.</x:v>
      </x:c>
      <x:c r="Q138" s="11" t="str">
        <x:v>Đối chiếu nghĩa Hàn đã ghi trong trang Thuật ngữ.</x:v>
      </x:c>
      <x:c r="R138" s="11" t="str">
        <x:v>N4</x:v>
      </x:c>
      <x:c r="S138" s="11" t="str">
        <x:v>Giữ làm đơn vị nghiên cứu</x:v>
      </x:c>
      <x:c r="T138" s="11" t="str">
        <x:v>M035</x:v>
      </x:c>
    </x:row>
    <x:row r="139" ht="67.5" customHeight="1">
      <x:c r="A139" s="11" t="n">
        <x:v>134</x:v>
      </x:c>
      <x:c r="B139" s="11" t="str">
        <x:v>T178</x:v>
      </x:c>
      <x:c r="C139" s="11" t="str">
        <x:v>hợp tác quốc phòng</x:v>
      </x:c>
      <x:c r="D139" s="40" t="str">
        <x:v>defence cooperation *</x:v>
      </x:c>
      <x:c r="E139" s="11" t="str">
        <x:v>국방 협력</x:v>
      </x:c>
      <x:c r="F139" s="40" t="str">
        <x:v>defence cooperation *</x:v>
      </x:c>
      <x:c r="G139" s="40" t="str">
        <x:v>Chưa đủ hai nguồn để so khớp</x:v>
      </x:c>
      <x:c r="H139" s="41" t="str">
        <x:v>Ứng viên — còn thiếu chứng cứ</x:v>
      </x:c>
      <x:c r="I139" s="11" t="str">
        <x:v>compatible = có khả năng tương ứng theo nghĩa làm việc; chưa thay thế kiểm tra câu song hành.</x:v>
      </x:c>
      <x:c r="J139" s="11" t="str">
        <x:v>* Nhãn tham chiếu từ bảng trước</x:v>
      </x:c>
      <x:c r="K139" s="11" t="str">
        <x:v>Chưa có nguồn ánh xạ</x:v>
      </x:c>
      <x:c r="L139" s="11" t="str">
        <x:v>* Đề xuất để tiếp tục tra cứu</x:v>
      </x:c>
      <x:c r="M139" s="11" t="str">
        <x:v>Chưa có nguồn ánh xạ</x:v>
      </x:c>
      <x:c r="N139" s="11" t="str">
        <x:v>hợp tác quốc phòng</x:v>
      </x:c>
      <x:c r="O139" s="11" t="str">
        <x:v>국방 협력</x:v>
      </x:c>
      <x:c r="P139" s="11" t="str">
        <x:v>Hoạt động phối hợp và hỗ trợ giữa các bên trong lĩnh vực quốc phòng.</x:v>
      </x:c>
      <x:c r="Q139" s="11" t="str">
        <x:v>Đối chiếu nghĩa Hàn đã ghi trong trang Thuật ngữ.</x:v>
      </x:c>
      <x:c r="R139" s="11" t="str">
        <x:v>N4</x:v>
      </x:c>
      <x:c r="S139" s="11" t="str">
        <x:v>Giữ làm đơn vị nghiên cứu</x:v>
      </x:c>
      <x:c r="T139" s="11" t="str">
        <x:v>T178</x:v>
      </x:c>
    </x:row>
    <x:row r="140" ht="72" customHeight="1">
      <x:c r="A140" s="11" t="n">
        <x:v>135</x:v>
      </x:c>
      <x:c r="B140" s="11" t="str">
        <x:v>T030</x:v>
      </x:c>
      <x:c r="C140" s="11" t="str">
        <x:v>lập pháp</x:v>
      </x:c>
      <x:c r="D140" s="11" t="str">
        <x:v>legislation</x:v>
      </x:c>
      <x:c r="E140" s="11" t="str">
        <x:v>입법</x:v>
      </x:c>
      <x:c r="F140" s="11" t="str">
        <x:v>legislature; lawmaking</x:v>
      </x:c>
      <x:c r="G140" s="40" t="str">
        <x:v>Biến thể / có nhãn Anh chung</x:v>
      </x:c>
      <x:c r="H140" s="41" t="str">
        <x:v>Có điều kiện — chưa chốt</x:v>
      </x:c>
      <x:c r="I140" s="11" t="str">
        <x:v>Hai định nghĩa cùng chỉ hành vi làm luật nhưng nhãn Anh đang là legislation và lawmaking; không gọi là trùng nguyên dạng. Từ legislature trên nhánh Hàn không được chọn cho nghĩa hoạt động.</x:v>
      </x:c>
      <x:c r="J140" s="11" t="str">
        <x:v>Đối dịch trong từ điển</x:v>
      </x:c>
      <x:c r="K140" s="37" t="str">
        <x:v>EB113
Nguồn kiểm tra, dòng 757</x:v>
      </x:c>
      <x:c r="L140" s="11" t="str">
        <x:v>Đối dịch trong từ điển</x:v>
      </x:c>
      <x:c r="M140" s="37" t="str">
        <x:v>EB114
Nguồn kiểm tra, dòng 758</x:v>
      </x:c>
      <x:c r="N140" s="11" t="str">
        <x:v>sự lập pháp</x:v>
      </x:c>
      <x:c r="O140" s="11" t="str">
        <x:v>입법</x:v>
      </x:c>
      <x:c r="P140" s="11" t="str">
        <x:v>Hoạt động làm và ban hành luật.</x:v>
      </x:c>
      <x:c r="Q140" s="11" t="str">
        <x:v>Hoạt động làm và ban hành luật.</x:v>
      </x:c>
      <x:c r="R140" s="11" t="str">
        <x:v>N4</x:v>
      </x:c>
      <x:c r="S140" s="11" t="str">
        <x:v>Giữ làm đơn vị nghiên cứu</x:v>
      </x:c>
      <x:c r="T140" s="11" t="str">
        <x:v>T030</x:v>
      </x:c>
    </x:row>
    <x:row r="141" ht="67.5" customHeight="1">
      <x:c r="A141" s="11" t="n">
        <x:v>136</x:v>
      </x:c>
      <x:c r="B141" s="11" t="str">
        <x:v>M012</x:v>
      </x:c>
      <x:c r="C141" s="11" t="str">
        <x:v>lễ đón chính thức</x:v>
      </x:c>
      <x:c r="D141" s="40" t="str">
        <x:v>official welcome ceremony *</x:v>
      </x:c>
      <x:c r="E141" s="11" t="str">
        <x:v>공식 환영식</x:v>
      </x:c>
      <x:c r="F141" s="40" t="str">
        <x:v>official welcome ceremony *</x:v>
      </x:c>
      <x:c r="G141" s="40" t="str">
        <x:v>Chưa đủ hai nguồn để so khớp</x:v>
      </x:c>
      <x:c r="H141" s="41" t="str">
        <x:v>Ứng viên — còn thiếu chứng cứ</x:v>
      </x:c>
      <x:c r="I141" s="11" t="str">
        <x:v>compatible = có khả năng tương ứng theo nghĩa làm việc; chưa thay thế kiểm tra câu song hành.</x:v>
      </x:c>
      <x:c r="J141" s="11" t="str">
        <x:v>* Nhãn tham chiếu từ bảng trước</x:v>
      </x:c>
      <x:c r="K141" s="11" t="str">
        <x:v>Chưa có nguồn ánh xạ</x:v>
      </x:c>
      <x:c r="L141" s="11" t="str">
        <x:v>* Đề xuất để tiếp tục tra cứu</x:v>
      </x:c>
      <x:c r="M141" s="11" t="str">
        <x:v>Chưa có nguồn ánh xạ</x:v>
      </x:c>
      <x:c r="N141" s="11" t="str">
        <x:v>lễ đón chính thức</x:v>
      </x:c>
      <x:c r="O141" s="11" t="str">
        <x:v>공식 환영식</x:v>
      </x:c>
      <x:c r="P141" s="11" t="str">
        <x:v>Nghi lễ chính thức được tổ chức để đón khách theo chương trình và thể thức lễ tân.</x:v>
      </x:c>
      <x:c r="Q141" s="11" t="str">
        <x:v>Đối chiếu nghĩa Hàn đã ghi trong trang Thuật ngữ.</x:v>
      </x:c>
      <x:c r="R141" s="11" t="str">
        <x:v>N4</x:v>
      </x:c>
      <x:c r="S141" s="11" t="str">
        <x:v>Giữ làm đơn vị nghiên cứu</x:v>
      </x:c>
      <x:c r="T141" s="11" t="str">
        <x:v>M012</x:v>
      </x:c>
    </x:row>
    <x:row r="142" ht="67.5" customHeight="1">
      <x:c r="A142" s="11" t="n">
        <x:v>137</x:v>
      </x:c>
      <x:c r="B142" s="11" t="str">
        <x:v>T146</x:v>
      </x:c>
      <x:c r="C142" s="11" t="str">
        <x:v>nâng cấp quan hệ</x:v>
      </x:c>
      <x:c r="D142" s="40" t="str">
        <x:v>upgrading of relations *</x:v>
      </x:c>
      <x:c r="E142" s="11" t="str">
        <x:v>관계가 포괄적 전략적 동반자 관계로 격상된</x:v>
      </x:c>
      <x:c r="F142" s="40" t="str">
        <x:v>relations were elevated to a comprehensive strategic partnership *</x:v>
      </x:c>
      <x:c r="G142" s="40" t="str">
        <x:v>Chưa đủ hai nguồn để so khớp</x:v>
      </x:c>
      <x:c r="H142" s="41" t="str">
        <x:v>Ứng viên — còn thiếu chứng cứ</x:v>
      </x:c>
      <x:c r="I142" s="11" t="str">
        <x:v>Cụm Hàn nguyên văn là một cấu trúc câu chứa kết quả nâng lên đối tác chiến lược toàn diện; nhãn Việt là khái quát. Dạng tra cứu đề xuất 관계 격상, không thay chuỗi nguồn.</x:v>
      </x:c>
      <x:c r="J142" s="11" t="str">
        <x:v>* Nhãn tham chiếu từ bảng trước</x:v>
      </x:c>
      <x:c r="K142" s="11" t="str">
        <x:v>Chưa có nguồn ánh xạ</x:v>
      </x:c>
      <x:c r="L142" s="11" t="str">
        <x:v>* Đề xuất để tiếp tục tra cứu</x:v>
      </x:c>
      <x:c r="M142" s="11" t="str">
        <x:v>Chưa có nguồn ánh xạ</x:v>
      </x:c>
      <x:c r="N142" s="11" t="str">
        <x:v>nâng cấp quan hệ</x:v>
      </x:c>
      <x:c r="O142" s="11" t="str">
        <x:v>관계가 포괄적 전략적 동반자 관계로 격상된</x:v>
      </x:c>
      <x:c r="P142" s="11" t="str">
        <x:v>Việc các bên thỏa thuận đưa quan hệ lên một khuôn khổ hoặc cấp độ hợp tác cao hơn.</x:v>
      </x:c>
      <x:c r="Q142" s="11" t="str">
        <x:v>Đối chiếu nghĩa Hàn đã ghi trong trang Thuật ngữ.</x:v>
      </x:c>
      <x:c r="R142" s="11" t="str">
        <x:v>N4</x:v>
      </x:c>
      <x:c r="S142" s="11" t="str">
        <x:v>Biểu thức ngữ liệu, chưa là mục từ chuẩn</x:v>
      </x:c>
      <x:c r="T142" s="11" t="str">
        <x:v>T146</x:v>
      </x:c>
    </x:row>
    <x:row r="143" ht="72" customHeight="1">
      <x:c r="A143" s="11" t="n">
        <x:v>138</x:v>
      </x:c>
      <x:c r="B143" s="11" t="str">
        <x:v>T131</x:v>
      </x:c>
      <x:c r="C143" s="11" t="str">
        <x:v>ngoại giao</x:v>
      </x:c>
      <x:c r="D143" s="11" t="str">
        <x:v>diplomacy</x:v>
      </x:c>
      <x:c r="E143" s="11" t="str">
        <x:v>외교</x:v>
      </x:c>
      <x:c r="F143" s="11" t="str">
        <x:v>diplomacy</x:v>
      </x:c>
      <x:c r="G143" s="38" t="str">
        <x:v>Trùng biểu thức Anh</x:v>
      </x:c>
      <x:c r="H143" s="39" t="str">
        <x:v>Xác nhận — cùng biểu thức Anh</x:v>
      </x:c>
      <x:c r="I143" s="11" t="str">
        <x:v>Hai nhánh dùng cùng diplomacy trong nghĩa hoạt động quan hệ đối ngoại của quốc gia. Nhãn Việt trong từ điển có ngành ngoại giao; cần phân biệt tên lĩnh vực và một hoạt động cụ thể khi phân loại.</x:v>
      </x:c>
      <x:c r="J143" s="11" t="str">
        <x:v>Đối dịch trong từ điển</x:v>
      </x:c>
      <x:c r="K143" s="37" t="str">
        <x:v>EB115
Nguồn kiểm tra, dòng 759</x:v>
      </x:c>
      <x:c r="L143" s="11" t="str">
        <x:v>Đối dịch trong từ điển</x:v>
      </x:c>
      <x:c r="M143" s="37" t="str">
        <x:v>EB116
Nguồn kiểm tra, dòng 760</x:v>
      </x:c>
      <x:c r="N143" s="11" t="str">
        <x:v>ngành ngoại giao</x:v>
      </x:c>
      <x:c r="O143" s="11" t="str">
        <x:v>외교</x:v>
      </x:c>
      <x:c r="P143" s="11" t="str">
        <x:v>Hoạt động ngoại giao giữa các nước.</x:v>
      </x:c>
      <x:c r="Q143" s="11" t="str">
        <x:v>Hoạt động xử lý quan hệ giữa các chính phủ.</x:v>
      </x:c>
      <x:c r="R143" s="11" t="str">
        <x:v>N4</x:v>
      </x:c>
      <x:c r="S143" s="11" t="str">
        <x:v>Giữ làm đơn vị nghiên cứu</x:v>
      </x:c>
      <x:c r="T143" s="11" t="str">
        <x:v>T131</x:v>
      </x:c>
    </x:row>
    <x:row r="144" ht="67.5" customHeight="1">
      <x:c r="A144" s="11" t="n">
        <x:v>139</x:v>
      </x:c>
      <x:c r="B144" s="11" t="str">
        <x:v>T172</x:v>
      </x:c>
      <x:c r="C144" s="11" t="str">
        <x:v>ngoại giao đa phương</x:v>
      </x:c>
      <x:c r="D144" s="11" t="str">
        <x:v>Multilateral Diplomacy</x:v>
      </x:c>
      <x:c r="E144" s="11" t="str">
        <x:v>다자외교</x:v>
      </x:c>
      <x:c r="F144" s="11" t="str">
        <x:v>multilateral diplomacy</x:v>
      </x:c>
      <x:c r="G144" s="38" t="str">
        <x:v>Trùng biểu thức Anh</x:v>
      </x:c>
      <x:c r="H144" s="39" t="str">
        <x:v>Xác nhận — cùng biểu thức Anh</x:v>
      </x:c>
      <x:c r="I144" s="11" t="str">
        <x:v>Xác nhận lĩnh vực thực hành ngoại giao nhiều bên; không gộp với chủ nghĩa đa phương.</x:v>
      </x:c>
      <x:c r="J144" s="11" t="str">
        <x:v>Đối chiếu văn bản song song</x:v>
      </x:c>
      <x:c r="K144" s="37" t="str">
        <x:v>EB117
Nguồn kiểm tra, dòng 761</x:v>
      </x:c>
      <x:c r="L144" s="11" t="str">
        <x:v>Đối chiếu văn bản song song</x:v>
      </x:c>
      <x:c r="M144" s="37" t="str">
        <x:v>EB118
Nguồn kiểm tra, dòng 762</x:v>
      </x:c>
      <x:c r="N144" s="11" t="str">
        <x:v>Ngoại giao đa phương</x:v>
      </x:c>
      <x:c r="O144" s="11" t="str">
        <x:v>다자외교</x:v>
      </x:c>
      <x:c r="P144" s="11" t="str">
        <x:v>Hoạt động ngoại giao tiến hành trong khuôn khổ có nhiều quốc gia hoặc chủ thể cùng tham gia.</x:v>
      </x:c>
      <x:c r="Q144" s="11" t="str">
        <x:v>Đối chiếu nghĩa Hàn đã ghi trong trang Thuật ngữ.</x:v>
      </x:c>
      <x:c r="R144" s="11" t="str">
        <x:v>N4</x:v>
      </x:c>
      <x:c r="S144" s="11" t="str">
        <x:v>Giữ làm đơn vị nghiên cứu</x:v>
      </x:c>
      <x:c r="T144" s="11" t="str">
        <x:v>T172</x:v>
      </x:c>
    </x:row>
    <x:row r="145" ht="67.5" customHeight="1">
      <x:c r="A145" s="11" t="n">
        <x:v>140</x:v>
      </x:c>
      <x:c r="B145" s="11" t="str">
        <x:v>T156</x:v>
      </x:c>
      <x:c r="C145" s="11" t="str">
        <x:v>ngoại giao kinh tế</x:v>
      </x:c>
      <x:c r="D145" s="11" t="str">
        <x:v>economic diplomacy</x:v>
      </x:c>
      <x:c r="E145" s="11" t="str">
        <x:v>경제외교</x:v>
      </x:c>
      <x:c r="F145" s="11" t="str">
        <x:v>economic diplomacy</x:v>
      </x:c>
      <x:c r="G145" s="38" t="str">
        <x:v>Trùng biểu thức Anh</x:v>
      </x:c>
      <x:c r="H145" s="39" t="str">
        <x:v>Xác nhận — cùng biểu thức Anh</x:v>
      </x:c>
      <x:c r="I145" s="11" t="str">
        <x:v>Hai nhánh dùng economic diplomacy trong cùng lĩnh vực thực hành. Hai mã là hai dòng cùng khái niệm, không tính thành hai khái niệm độc lập.</x:v>
      </x:c>
      <x:c r="J145" s="11" t="str">
        <x:v>Đối chiếu văn bản song song</x:v>
      </x:c>
      <x:c r="K145" s="37" t="str">
        <x:v>EB119
Nguồn kiểm tra, dòng 763</x:v>
      </x:c>
      <x:c r="L145" s="11" t="str">
        <x:v>Đối chiếu văn bản song song</x:v>
      </x:c>
      <x:c r="M145" s="37" t="str">
        <x:v>EB120
Nguồn kiểm tra, dòng 764</x:v>
      </x:c>
      <x:c r="N145" s="11" t="str">
        <x:v>ngoại giao kinh tế</x:v>
      </x:c>
      <x:c r="O145" s="11" t="str">
        <x:v>경제외교</x:v>
      </x:c>
      <x:c r="P145" s="11" t="str">
        <x:v>Hoạt động ngoại giao phục vụ mục tiêu kinh tế và sử dụng công cụ kinh tế trong quan hệ đối ngoại.</x:v>
      </x:c>
      <x:c r="Q145" s="11" t="str">
        <x:v>Lĩnh vực thực hành ngoại giao phục vụ mục tiêu kinh tế.</x:v>
      </x:c>
      <x:c r="R145" s="11" t="str">
        <x:v>N4</x:v>
      </x:c>
      <x:c r="S145" s="11" t="str">
        <x:v>Giữ làm đơn vị nghiên cứu</x:v>
      </x:c>
      <x:c r="T145" s="11" t="str">
        <x:v>T156</x:v>
      </x:c>
    </x:row>
    <x:row r="146" ht="67.5" customHeight="1">
      <x:c r="A146" s="11" t="n">
        <x:v>141</x:v>
      </x:c>
      <x:c r="B146" s="11" t="str">
        <x:v>T167</x:v>
      </x:c>
      <x:c r="C146" s="11" t="str">
        <x:v>ngoại giao nghị viện</x:v>
      </x:c>
      <x:c r="D146" s="40" t="str">
        <x:v>parliamentary diplomacy *</x:v>
      </x:c>
      <x:c r="E146" s="11" t="str">
        <x:v>의회 외교</x:v>
      </x:c>
      <x:c r="F146" s="40" t="str">
        <x:v>parliamentary diplomacy *</x:v>
      </x:c>
      <x:c r="G146" s="40" t="str">
        <x:v>Chưa đủ hai nguồn để so khớp</x:v>
      </x:c>
      <x:c r="H146" s="41" t="str">
        <x:v>Ứng viên — còn thiếu chứng cứ</x:v>
      </x:c>
      <x:c r="I146" s="11" t="str">
        <x:v>compatible = có khả năng tương ứng theo nghĩa làm việc; chưa thay thế kiểm tra câu song hành.</x:v>
      </x:c>
      <x:c r="J146" s="11" t="str">
        <x:v>* Nhãn tham chiếu từ bảng trước</x:v>
      </x:c>
      <x:c r="K146" s="11" t="str">
        <x:v>Chưa có nguồn ánh xạ</x:v>
      </x:c>
      <x:c r="L146" s="11" t="str">
        <x:v>* Đề xuất để tiếp tục tra cứu</x:v>
      </x:c>
      <x:c r="M146" s="11" t="str">
        <x:v>Chưa có nguồn ánh xạ</x:v>
      </x:c>
      <x:c r="N146" s="11" t="str">
        <x:v>ngoại giao nghị viện</x:v>
      </x:c>
      <x:c r="O146" s="11" t="str">
        <x:v>의회 외교</x:v>
      </x:c>
      <x:c r="P146" s="11" t="str">
        <x:v>Hoạt động đối ngoại do nghị viện, nghị sĩ và các cơ quan nghị viện thực hiện.</x:v>
      </x:c>
      <x:c r="Q146" s="11" t="str">
        <x:v>Đối chiếu nghĩa Hàn đã ghi trong trang Thuật ngữ.</x:v>
      </x:c>
      <x:c r="R146" s="11" t="str">
        <x:v>N4</x:v>
      </x:c>
      <x:c r="S146" s="11" t="str">
        <x:v>Giữ làm đơn vị nghiên cứu</x:v>
      </x:c>
      <x:c r="T146" s="11" t="str">
        <x:v>T167</x:v>
      </x:c>
    </x:row>
    <x:row r="147" ht="67.5" customHeight="1">
      <x:c r="A147" s="11" t="n">
        <x:v>142</x:v>
      </x:c>
      <x:c r="B147" s="11" t="str">
        <x:v>T168</x:v>
      </x:c>
      <x:c r="C147" s="11" t="str">
        <x:v>ngoại giao nhân dân</x:v>
      </x:c>
      <x:c r="D147" s="40" t="str">
        <x:v>people-to-people diplomacy *</x:v>
      </x:c>
      <x:c r="E147" s="11" t="str">
        <x:v>인민외교</x:v>
      </x:c>
      <x:c r="F147" s="40" t="str">
        <x:v>people-to-people diplomacy *</x:v>
      </x:c>
      <x:c r="G147" s="40" t="str">
        <x:v>Chưa đủ hai nguồn để so khớp</x:v>
      </x:c>
      <x:c r="H147" s="41" t="str">
        <x:v>Ứng viên — còn thiếu chứng cứ</x:v>
      </x:c>
      <x:c r="I147" s="11" t="str">
        <x:v>Cần nguồn đối dịch cho cả hai nhánh trước khi kết luận tương ứng qua tiếng Anh.</x:v>
      </x:c>
      <x:c r="J147" s="11" t="str">
        <x:v>* Nhãn tham chiếu từ bảng trước</x:v>
      </x:c>
      <x:c r="K147" s="11" t="str">
        <x:v>Chưa có nguồn ánh xạ</x:v>
      </x:c>
      <x:c r="L147" s="11" t="str">
        <x:v>* Đề xuất để tiếp tục tra cứu</x:v>
      </x:c>
      <x:c r="M147" s="11" t="str">
        <x:v>Chưa có nguồn ánh xạ</x:v>
      </x:c>
      <x:c r="N147" s="11" t="str">
        <x:v>ngoại giao nhân dân</x:v>
      </x:c>
      <x:c r="O147" s="11" t="str">
        <x:v>인민외교</x:v>
      </x:c>
      <x:c r="P147" s="11" t="str">
        <x:v>Hoạt động đối ngoại thông qua các tổ chức nhân dân và giao tiếp giữa nhân dân các nước.</x:v>
      </x:c>
      <x:c r="Q147" s="11" t="str">
        <x:v>Đối chiếu nghĩa Hàn đã ghi trong trang Thuật ngữ.</x:v>
      </x:c>
      <x:c r="R147" s="11" t="str">
        <x:v>N4</x:v>
      </x:c>
      <x:c r="S147" s="11" t="str">
        <x:v>Giữ làm đơn vị nghiên cứu</x:v>
      </x:c>
      <x:c r="T147" s="11" t="str">
        <x:v>T168</x:v>
      </x:c>
    </x:row>
    <x:row r="148" ht="67.5" customHeight="1">
      <x:c r="A148" s="11" t="n">
        <x:v>143</x:v>
      </x:c>
      <x:c r="B148" s="11" t="str">
        <x:v>T162</x:v>
      </x:c>
      <x:c r="C148" s="11" t="str">
        <x:v>ngoại giao văn hóa</x:v>
      </x:c>
      <x:c r="D148" s="11" t="str">
        <x:v>cultural diplomacy</x:v>
      </x:c>
      <x:c r="E148" s="11" t="str">
        <x:v>문화 외교</x:v>
      </x:c>
      <x:c r="F148" s="40" t="str">
        <x:v>cultural diplomacy *</x:v>
      </x:c>
      <x:c r="G148" s="40" t="str">
        <x:v>Chưa đủ hai nguồn để so khớp</x:v>
      </x:c>
      <x:c r="H148" s="41" t="str">
        <x:v>Ứng viên — còn thiếu chứng cứ</x:v>
      </x:c>
      <x:c r="I148" s="11" t="str">
        <x:v>compatible = có khả năng tương ứng theo nghĩa làm việc; chưa thay thế kiểm tra câu song hành.</x:v>
      </x:c>
      <x:c r="J148" s="11" t="str">
        <x:v>Đối chiếu văn bản song song</x:v>
      </x:c>
      <x:c r="K148" s="37" t="str">
        <x:v>EB121
Nguồn kiểm tra, dòng 765</x:v>
      </x:c>
      <x:c r="L148" s="11" t="str">
        <x:v>* Đề xuất để tiếp tục tra cứu</x:v>
      </x:c>
      <x:c r="M148" s="11" t="str">
        <x:v>Chưa có nguồn ánh xạ</x:v>
      </x:c>
      <x:c r="N148" s="11" t="str">
        <x:v>ngoại giao văn hóa</x:v>
      </x:c>
      <x:c r="O148" s="11" t="str">
        <x:v>문화 외교</x:v>
      </x:c>
      <x:c r="P148" s="11" t="str">
        <x:v>Hoạt động ngoại giao sử dụng văn hóa và giao lưu văn hóa nhằm tăng hiểu biết, quan hệ và ảnh hưởng quốc tế.</x:v>
      </x:c>
      <x:c r="Q148" s="11" t="str">
        <x:v>Đối chiếu nghĩa Hàn đã ghi trong trang Thuật ngữ.</x:v>
      </x:c>
      <x:c r="R148" s="11" t="str">
        <x:v>N4</x:v>
      </x:c>
      <x:c r="S148" s="11" t="str">
        <x:v>Giữ làm đơn vị nghiên cứu</x:v>
      </x:c>
      <x:c r="T148" s="11" t="str">
        <x:v>T162</x:v>
      </x:c>
    </x:row>
    <x:row r="149" ht="67.5" customHeight="1">
      <x:c r="A149" s="11" t="n">
        <x:v>144</x:v>
      </x:c>
      <x:c r="B149" s="11" t="str">
        <x:v>T032</x:v>
      </x:c>
      <x:c r="C149" s="11" t="str">
        <x:v>phòng, chống tham nhũng</x:v>
      </x:c>
      <x:c r="D149" s="40" t="str">
        <x:v>prevention and combating of corruption *</x:v>
      </x:c>
      <x:c r="E149" s="11" t="str">
        <x:v>부패 방지 및 통제</x:v>
      </x:c>
      <x:c r="F149" s="40" t="str">
        <x:v>prevention and combating of corruption *</x:v>
      </x:c>
      <x:c r="G149" s="40" t="str">
        <x:v>Chưa đủ hai nguồn để so khớp</x:v>
      </x:c>
      <x:c r="H149" s="41" t="str">
        <x:v>Ứng viên — còn thiếu chứng cứ</x:v>
      </x:c>
      <x:c r="I149" s="11" t="str">
        <x:v>compatible = có khả năng tương ứng theo nghĩa làm việc; chưa thay thế kiểm tra câu song hành.</x:v>
      </x:c>
      <x:c r="J149" s="11" t="str">
        <x:v>* Nhãn tham chiếu từ bảng trước</x:v>
      </x:c>
      <x:c r="K149" s="11" t="str">
        <x:v>Chưa có nguồn ánh xạ</x:v>
      </x:c>
      <x:c r="L149" s="11" t="str">
        <x:v>* Đề xuất để tiếp tục tra cứu</x:v>
      </x:c>
      <x:c r="M149" s="11" t="str">
        <x:v>Chưa có nguồn ánh xạ</x:v>
      </x:c>
      <x:c r="N149" s="11" t="str">
        <x:v>phòng, chống tham nhũng</x:v>
      </x:c>
      <x:c r="O149" s="11" t="str">
        <x:v>부패 방지 및 통제</x:v>
      </x:c>
      <x:c r="P149" s="11" t="str">
        <x:v>Hoạt động phòng ngừa, phát hiện và xử lý hành vi tham nhũng.</x:v>
      </x:c>
      <x:c r="Q149" s="11" t="str">
        <x:v>Đối chiếu nghĩa Hàn đã ghi trong trang Thuật ngữ.</x:v>
      </x:c>
      <x:c r="R149" s="11" t="str">
        <x:v>N4</x:v>
      </x:c>
      <x:c r="S149" s="11" t="str">
        <x:v>Giữ làm đơn vị nghiên cứu</x:v>
      </x:c>
      <x:c r="T149" s="11" t="str">
        <x:v>T032</x:v>
      </x:c>
    </x:row>
    <x:row r="150" ht="67.5" customHeight="1">
      <x:c r="A150" s="11" t="n">
        <x:v>145</x:v>
      </x:c>
      <x:c r="B150" s="11" t="str">
        <x:v>T033</x:v>
      </x:c>
      <x:c r="C150" s="11" t="str">
        <x:v>quản lý nhà nước</x:v>
      </x:c>
      <x:c r="D150" s="40" t="str">
        <x:v>state management *</x:v>
      </x:c>
      <x:c r="E150" s="11" t="str">
        <x:v>국가 운영</x:v>
      </x:c>
      <x:c r="F150" s="40" t="str">
        <x:v>running the State; state administration *</x:v>
      </x:c>
      <x:c r="G150" s="44" t="str">
        <x:v>Chưa đủ hai nguồn để so khớp</x:v>
      </x:c>
      <x:c r="H150" s="45" t="str">
        <x:v>Lệch nghĩa / phạm vi</x:v>
      </x:c>
      <x:c r="I150" s="11" t="str">
        <x:v>국가 운영 có phạm vi điều hành quốc gia rộng; nguồn phụ còn có 국가 관리. Chưa xác nhận toàn bộ phạm vi pháp lý quản lý nhà nước tương đương một-một.</x:v>
      </x:c>
      <x:c r="J150" s="11" t="str">
        <x:v>* Nhãn tham chiếu từ bảng trước</x:v>
      </x:c>
      <x:c r="K150" s="11" t="str">
        <x:v>Chưa có nguồn ánh xạ</x:v>
      </x:c>
      <x:c r="L150" s="11" t="str">
        <x:v>* Đề xuất để tiếp tục tra cứu</x:v>
      </x:c>
      <x:c r="M150" s="11" t="str">
        <x:v>Chưa có nguồn ánh xạ</x:v>
      </x:c>
      <x:c r="N150" s="11" t="str">
        <x:v>quản lý nhà nước</x:v>
      </x:c>
      <x:c r="O150" s="11" t="str">
        <x:v>국가 운영</x:v>
      </x:c>
      <x:c r="P150" s="11" t="str">
        <x:v>Hoạt động điều hành xã hội bằng quyền lực nhà nước.</x:v>
      </x:c>
      <x:c r="Q150" s="11" t="str">
        <x:v>Đối chiếu nghĩa Hàn đã ghi trong trang Thuật ngữ.</x:v>
      </x:c>
      <x:c r="R150" s="11" t="str">
        <x:v>N4</x:v>
      </x:c>
      <x:c r="S150" s="11" t="str">
        <x:v>Cần xem xét tư cách/phạm vi</x:v>
      </x:c>
      <x:c r="T150" s="11" t="str">
        <x:v>T033</x:v>
      </x:c>
    </x:row>
    <x:row r="151" ht="67.5" customHeight="1">
      <x:c r="A151" s="11" t="n">
        <x:v>146</x:v>
      </x:c>
      <x:c r="B151" s="11" t="str">
        <x:v>T045</x:v>
      </x:c>
      <x:c r="C151" s="11" t="str">
        <x:v>quản trị quốc gia</x:v>
      </x:c>
      <x:c r="D151" s="40" t="str">
        <x:v>national governance *</x:v>
      </x:c>
      <x:c r="E151" s="11" t="str">
        <x:v>국가 거버넌스</x:v>
      </x:c>
      <x:c r="F151" s="40" t="str">
        <x:v>national governance *</x:v>
      </x:c>
      <x:c r="G151" s="40" t="str">
        <x:v>Chưa đủ hai nguồn để so khớp</x:v>
      </x:c>
      <x:c r="H151" s="41" t="str">
        <x:v>Ứng viên — còn thiếu chứng cứ</x:v>
      </x:c>
      <x:c r="I151" s="11" t="str">
        <x:v>compatible = có khả năng tương ứng theo nghĩa làm việc; chưa thay thế kiểm tra câu song hành.</x:v>
      </x:c>
      <x:c r="J151" s="11" t="str">
        <x:v>* Nhãn tham chiếu từ bảng trước</x:v>
      </x:c>
      <x:c r="K151" s="11" t="str">
        <x:v>Chưa có nguồn ánh xạ</x:v>
      </x:c>
      <x:c r="L151" s="11" t="str">
        <x:v>* Đề xuất để tiếp tục tra cứu</x:v>
      </x:c>
      <x:c r="M151" s="11" t="str">
        <x:v>Chưa có nguồn ánh xạ</x:v>
      </x:c>
      <x:c r="N151" s="11" t="str">
        <x:v>quản trị quốc gia</x:v>
      </x:c>
      <x:c r="O151" s="11" t="str">
        <x:v>국가 거버넌스</x:v>
      </x:c>
      <x:c r="P151" s="11" t="str">
        <x:v>Quá trình tổ chức, phối hợp và điều hành các công việc chung của quốc gia với sự tham gia của các chủ thể có liên quan.</x:v>
      </x:c>
      <x:c r="Q151" s="11" t="str">
        <x:v>Đối chiếu nghĩa Hàn đã ghi trong trang Thuật ngữ.</x:v>
      </x:c>
      <x:c r="R151" s="11" t="str">
        <x:v>N4</x:v>
      </x:c>
      <x:c r="S151" s="11" t="str">
        <x:v>Giữ làm đơn vị nghiên cứu</x:v>
      </x:c>
      <x:c r="T151" s="11" t="str">
        <x:v>T045</x:v>
      </x:c>
    </x:row>
    <x:row r="152" ht="72" customHeight="1">
      <x:c r="A152" s="11" t="n">
        <x:v>147</x:v>
      </x:c>
      <x:c r="B152" s="11" t="str">
        <x:v>CGI004</x:v>
      </x:c>
      <x:c r="C152" s="11" t="str">
        <x:v>tái đắc cử</x:v>
      </x:c>
      <x:c r="D152" s="40" t="str">
        <x:v>re-election *</x:v>
      </x:c>
      <x:c r="E152" s="11" t="str">
        <x:v>재선</x:v>
      </x:c>
      <x:c r="F152" s="40" t="str">
        <x:v>re-election *</x:v>
      </x:c>
      <x:c r="G152" s="40" t="str">
        <x:v>Chưa đủ hai nguồn để so khớp</x:v>
      </x:c>
      <x:c r="H152" s="41" t="str">
        <x:v>Ứng viên — còn thiếu chứng cứ</x:v>
      </x:c>
      <x:c r="I152"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J152" s="11" t="str">
        <x:v>* Nhãn tham chiếu từ bảng trước</x:v>
      </x:c>
      <x:c r="K152" s="11" t="str">
        <x:v>Chưa có nguồn ánh xạ</x:v>
      </x:c>
      <x:c r="L152" s="11" t="str">
        <x:v>* Đề xuất để tiếp tục tra cứu</x:v>
      </x:c>
      <x:c r="M152" s="11" t="str">
        <x:v>Chưa có nguồn ánh xạ</x:v>
      </x:c>
      <x:c r="N152" s="11" t="str">
        <x:v>tái đắc cử</x:v>
      </x:c>
      <x:c r="O152" s="11" t="str">
        <x:v>재선</x:v>
      </x:c>
      <x:c r="P152" s="11" t="str">
        <x:v>Sự kiện hoặc kết quả một người được bầu lại vào chức vụ mà người đó đã được bầu giữ trước đó.</x:v>
      </x:c>
      <x:c r="Q152" s="11" t="str">
        <x:v>Đối chiếu nghĩa Hàn đã ghi trong trang Thuật ngữ.</x:v>
      </x:c>
      <x:c r="R152" s="11" t="str">
        <x:v>N4</x:v>
      </x:c>
      <x:c r="S152" s="11" t="str">
        <x:v>Giữ làm đơn vị nghiên cứu</x:v>
      </x:c>
      <x:c r="T152" s="11" t="str">
        <x:v>CGI004</x:v>
      </x:c>
    </x:row>
    <x:row r="153" ht="67.5" customHeight="1">
      <x:c r="A153" s="11" t="n">
        <x:v>148</x:v>
      </x:c>
      <x:c r="B153" s="11" t="str">
        <x:v>T136</x:v>
      </x:c>
      <x:c r="C153" s="11" t="str">
        <x:v>thăm cấp Nhà nước</x:v>
      </x:c>
      <x:c r="D153" s="11" t="str">
        <x:v>State visit</x:v>
      </x:c>
      <x:c r="E153" s="11" t="str">
        <x:v>국빈 방문</x:v>
      </x:c>
      <x:c r="F153" s="11" t="str">
        <x:v>state visit</x:v>
      </x:c>
      <x:c r="G153" s="38" t="str">
        <x:v>Trùng biểu thức Anh</x:v>
      </x:c>
      <x:c r="H153" s="39" t="str">
        <x:v>Xác nhận — cùng biểu thức Anh</x:v>
      </x:c>
      <x:c r="I153" s="11" t="str">
        <x:v>Xác nhận loại chuyến thăm State visit; khác biệt viết hoa không làm thay đổi nghĩa.</x:v>
      </x:c>
      <x:c r="J153" s="11" t="str">
        <x:v>Đối chiếu văn bản song song</x:v>
      </x:c>
      <x:c r="K153" s="37" t="str">
        <x:v>EB122
Nguồn kiểm tra, dòng 766</x:v>
      </x:c>
      <x:c r="L153" s="11" t="str">
        <x:v>Đối dịch tường minh trong nguồn</x:v>
      </x:c>
      <x:c r="M153" s="37" t="str">
        <x:v>EB123
Nguồn kiểm tra, dòng 767</x:v>
      </x:c>
      <x:c r="N153" s="11" t="str">
        <x:v>thăm cấp Nhà nước</x:v>
      </x:c>
      <x:c r="O153" s="11" t="str">
        <x:v>국빈 방문</x:v>
      </x:c>
      <x:c r="P153" s="11" t="str">
        <x:v>Chuyến thăm ở cấp nghi lễ nhà nước cao, dành cho nguyên thủ theo lời mời và quy định lễ tân của nước chủ nhà.</x:v>
      </x:c>
      <x:c r="Q153" s="11" t="str">
        <x:v>Chuyến thăm cấp Nhà nước.</x:v>
      </x:c>
      <x:c r="R153" s="11" t="str">
        <x:v>N4</x:v>
      </x:c>
      <x:c r="S153" s="11" t="str">
        <x:v>Giữ làm đơn vị nghiên cứu</x:v>
      </x:c>
      <x:c r="T153" s="11" t="str">
        <x:v>T136</x:v>
      </x:c>
    </x:row>
    <x:row r="154" ht="67.5" customHeight="1">
      <x:c r="A154" s="11" t="n">
        <x:v>149</x:v>
      </x:c>
      <x:c r="B154" s="11" t="str">
        <x:v>T139</x:v>
      </x:c>
      <x:c r="C154" s="11" t="str">
        <x:v>thăm chính thức</x:v>
      </x:c>
      <x:c r="D154" s="11" t="str">
        <x:v>official visit</x:v>
      </x:c>
      <x:c r="E154" s="11" t="str">
        <x:v>공식 방문</x:v>
      </x:c>
      <x:c r="F154" s="40" t="str">
        <x:v>Official visit *</x:v>
      </x:c>
      <x:c r="G154" s="40" t="str">
        <x:v>Chưa đủ hai nguồn để so khớp</x:v>
      </x:c>
      <x:c r="H154" s="41" t="str">
        <x:v>Ứng viên — còn thiếu chứng cứ</x:v>
      </x:c>
      <x:c r="I154" s="11" t="str">
        <x:v>compatible = có khả năng tương ứng theo nghĩa làm việc; chưa thay thế kiểm tra câu song hành.</x:v>
      </x:c>
      <x:c r="J154" s="11" t="str">
        <x:v>Đối chiếu văn bản song song</x:v>
      </x:c>
      <x:c r="K154" s="37" t="str">
        <x:v>EB124
Nguồn kiểm tra, dòng 768</x:v>
      </x:c>
      <x:c r="L154" s="11" t="str">
        <x:v>* Đề xuất để tiếp tục tra cứu</x:v>
      </x:c>
      <x:c r="M154" s="11" t="str">
        <x:v>Chưa có nguồn ánh xạ</x:v>
      </x:c>
      <x:c r="N154" s="11" t="str">
        <x:v>thăm chính thức</x:v>
      </x:c>
      <x:c r="O154" s="11" t="str">
        <x:v>공식 방문</x:v>
      </x:c>
      <x:c r="P154" s="11" t="str">
        <x:v>Chuyến thăm được tổ chức chính thức theo lời mời và chương trình làm việc, với chế độ lễ tân được quy định.</x:v>
      </x:c>
      <x:c r="Q154" s="11" t="str">
        <x:v>Đối chiếu nghĩa Hàn đã ghi trong trang Thuật ngữ.</x:v>
      </x:c>
      <x:c r="R154" s="11" t="str">
        <x:v>N4</x:v>
      </x:c>
      <x:c r="S154" s="11" t="str">
        <x:v>Giữ làm đơn vị nghiên cứu</x:v>
      </x:c>
      <x:c r="T154" s="11" t="str">
        <x:v>T139</x:v>
      </x:c>
    </x:row>
    <x:row r="155" ht="67.5" customHeight="1">
      <x:c r="A155" s="11" t="n">
        <x:v>150</x:v>
      </x:c>
      <x:c r="B155" s="11" t="str">
        <x:v>T144</x:v>
      </x:c>
      <x:c r="C155" s="11" t="str">
        <x:v>thiết lập quan hệ ngoại giao</x:v>
      </x:c>
      <x:c r="D155" s="11" t="str">
        <x:v>establishment of diplomatic ties</x:v>
      </x:c>
      <x:c r="E155" s="11" t="str">
        <x:v>수교</x:v>
      </x:c>
      <x:c r="F155" s="11" t="str">
        <x:v>establishment of diplomatic relations</x:v>
      </x:c>
      <x:c r="G155" s="42" t="str">
        <x:v>Biến thể / có nhãn Anh chung</x:v>
      </x:c>
      <x:c r="H155" s="43" t="str">
        <x:v>Tương ứng — biến thể Anh</x:v>
      </x:c>
      <x:c r="I155" s="11" t="str">
        <x:v>diplomatic ties / diplomatic relations cùng chỉ quan hệ ngoại giao trong hai sự kiện xác lập quan hệ; không so đồng nhất hai sự kiện lịch sử.</x:v>
      </x:c>
      <x:c r="J155" s="11" t="str">
        <x:v>Đối chiếu văn bản song song</x:v>
      </x:c>
      <x:c r="K155" s="37" t="str">
        <x:v>EB125
Nguồn kiểm tra, dòng 769</x:v>
      </x:c>
      <x:c r="L155" s="11" t="str">
        <x:v>Đối chiếu văn bản song song</x:v>
      </x:c>
      <x:c r="M155" s="37" t="str">
        <x:v>EB126
Nguồn kiểm tra, dòng 770</x:v>
      </x:c>
      <x:c r="N155" s="11" t="str">
        <x:v>thiết lập quan hệ ngoại giao</x:v>
      </x:c>
      <x:c r="O155" s="11" t="str">
        <x:v>수교</x:v>
      </x:c>
      <x:c r="P155" s="11" t="str">
        <x:v>Hành động các quốc gia thỏa thuận chính thức hình thành quan hệ ngoại giao.</x:v>
      </x:c>
      <x:c r="Q155" s="11" t="str">
        <x:v>Đối chiếu nghĩa Hàn đã ghi trong trang Thuật ngữ.</x:v>
      </x:c>
      <x:c r="R155" s="11" t="str">
        <x:v>N4</x:v>
      </x:c>
      <x:c r="S155" s="11" t="str">
        <x:v>Giữ làm đơn vị nghiên cứu</x:v>
      </x:c>
      <x:c r="T155" s="11" t="str">
        <x:v>T144</x:v>
      </x:c>
    </x:row>
    <x:row r="156" ht="67.5" customHeight="1">
      <x:c r="A156" s="11" t="n">
        <x:v>151</x:v>
      </x:c>
      <x:c r="B156" s="11" t="str">
        <x:v>T180</x:v>
      </x:c>
      <x:c r="C156" s="11" t="str">
        <x:v>thông tin đối ngoại</x:v>
      </x:c>
      <x:c r="D156" s="40" t="str">
        <x:v>external information *</x:v>
      </x:c>
      <x:c r="E156" s="11" t="str">
        <x:v>대외 정보</x:v>
      </x:c>
      <x:c r="F156" s="40" t="str">
        <x:v>external information *</x:v>
      </x:c>
      <x:c r="G156" s="40" t="str">
        <x:v>Chưa đủ hai nguồn để so khớp</x:v>
      </x:c>
      <x:c r="H156" s="41" t="str">
        <x:v>Ứng viên — còn thiếu chứng cứ</x:v>
      </x:c>
      <x:c r="I156" s="11" t="str">
        <x:v>Chọn nghĩa hoạt động thông tin đối ngoại theo câu Việt; 대외 정보 tự thân chưa thể hiện đầy đủ phạm vi. Không gán nghĩa tình báo.</x:v>
      </x:c>
      <x:c r="J156" s="11" t="str">
        <x:v>* Nhãn tham chiếu từ bảng trước</x:v>
      </x:c>
      <x:c r="K156" s="11" t="str">
        <x:v>Chưa có nguồn ánh xạ</x:v>
      </x:c>
      <x:c r="L156" s="11" t="str">
        <x:v>* Đề xuất để tiếp tục tra cứu</x:v>
      </x:c>
      <x:c r="M156" s="11" t="str">
        <x:v>Chưa có nguồn ánh xạ</x:v>
      </x:c>
      <x:c r="N156" s="11" t="str">
        <x:v>thông tin đối ngoại</x:v>
      </x:c>
      <x:c r="O156" s="11" t="str">
        <x:v>대외 정보</x:v>
      </x:c>
      <x:c r="P156" s="11" t="str">
        <x:v>Hoạt động cung cấp, truyền đạt thông tin phục vụ quan hệ đối ngoại và sự hiểu biết giữa trong nước với quốc tế.</x:v>
      </x:c>
      <x:c r="Q156" s="11" t="str">
        <x:v>Đối chiếu nghĩa Hàn đã ghi trong trang Thuật ngữ.</x:v>
      </x:c>
      <x:c r="R156" s="11" t="str">
        <x:v>N4</x:v>
      </x:c>
      <x:c r="S156" s="11" t="str">
        <x:v>Cần xem xét tư cách/phạm vi</x:v>
      </x:c>
      <x:c r="T156" s="11" t="str">
        <x:v>T180</x:v>
      </x:c>
    </x:row>
    <x:row r="157" ht="67.5" customHeight="1">
      <x:c r="A157" s="11" t="n">
        <x:v>152</x:v>
      </x:c>
      <x:c r="B157" s="11" t="str">
        <x:v>M045</x:v>
      </x:c>
      <x:c r="C157" s="11" t="str">
        <x:v>thực thi pháp luật trên biển</x:v>
      </x:c>
      <x:c r="D157" s="40" t="str">
        <x:v>maritime law enforcement *</x:v>
      </x:c>
      <x:c r="E157" s="11" t="str">
        <x:v>해양 법 집행</x:v>
      </x:c>
      <x:c r="F157" s="40" t="str">
        <x:v>maritime law enforcement *</x:v>
      </x:c>
      <x:c r="G157" s="40" t="str">
        <x:v>Chưa đủ hai nguồn để so khớp</x:v>
      </x:c>
      <x:c r="H157" s="41" t="str">
        <x:v>Ứng viên — còn thiếu chứng cứ</x:v>
      </x:c>
      <x:c r="I157" s="11" t="str">
        <x:v>compatible = có khả năng tương ứng theo nghĩa làm việc; chưa thay thế kiểm tra câu song hành.</x:v>
      </x:c>
      <x:c r="J157" s="11" t="str">
        <x:v>* Nhãn tham chiếu từ bảng trước</x:v>
      </x:c>
      <x:c r="K157" s="11" t="str">
        <x:v>Chưa có nguồn ánh xạ</x:v>
      </x:c>
      <x:c r="L157" s="11" t="str">
        <x:v>* Đề xuất để tiếp tục tra cứu</x:v>
      </x:c>
      <x:c r="M157" s="11" t="str">
        <x:v>Chưa có nguồn ánh xạ</x:v>
      </x:c>
      <x:c r="N157" s="11" t="str">
        <x:v>thực thi pháp luật trên biển</x:v>
      </x:c>
      <x:c r="O157" s="11" t="str">
        <x:v>해양 법 집행</x:v>
      </x:c>
      <x:c r="P157" s="11" t="str">
        <x:v>Hoạt động kiểm tra, ngăn chặn và xử lý vi phạm, bảo đảm tuân thủ pháp luật trên biển theo thẩm quyền.</x:v>
      </x:c>
      <x:c r="Q157" s="11" t="str">
        <x:v>Đối chiếu nghĩa Hàn đã ghi trong trang Thuật ngữ.</x:v>
      </x:c>
      <x:c r="R157" s="11" t="str">
        <x:v>N4</x:v>
      </x:c>
      <x:c r="S157" s="11" t="str">
        <x:v>Giữ làm đơn vị nghiên cứu</x:v>
      </x:c>
      <x:c r="T157" s="11" t="str">
        <x:v>M045</x:v>
      </x:c>
    </x:row>
    <x:row r="158" ht="67.5" customHeight="1">
      <x:c r="A158" s="11" t="n">
        <x:v>153</x:v>
      </x:c>
      <x:c r="B158" s="11" t="str">
        <x:v>T069</x:v>
      </x:c>
      <x:c r="C158" s="11" t="str">
        <x:v>tinh giản biên chế</x:v>
      </x:c>
      <x:c r="D158" s="40" t="str">
        <x:v>public-sector workforce downsizing *</x:v>
      </x:c>
      <x:c r="E158" s="11" t="str">
        <x:v>인력 감축</x:v>
      </x:c>
      <x:c r="F158" s="40" t="str">
        <x:v>workforce reduction *</x:v>
      </x:c>
      <x:c r="G158" s="44" t="str">
        <x:v>Chưa đủ hai nguồn để so khớp</x:v>
      </x:c>
      <x:c r="H158" s="45" t="str">
        <x:v>Lệch nghĩa / phạm vi</x:v>
      </x:c>
      <x:c r="I158" s="11" t="str">
        <x:v>인력 감축 chỉ việc giảm nhân lực nói chung; phải kiểm tra câu để xác nhận nghĩa tinh giản biên chế công.</x:v>
      </x:c>
      <x:c r="J158" s="11" t="str">
        <x:v>* Nhãn tham chiếu từ bảng trước</x:v>
      </x:c>
      <x:c r="K158" s="11" t="str">
        <x:v>Chưa có nguồn ánh xạ</x:v>
      </x:c>
      <x:c r="L158" s="11" t="str">
        <x:v>* Đề xuất để tiếp tục tra cứu</x:v>
      </x:c>
      <x:c r="M158" s="11" t="str">
        <x:v>Chưa có nguồn ánh xạ</x:v>
      </x:c>
      <x:c r="N158" s="11" t="str">
        <x:v>tinh giản biên chế</x:v>
      </x:c>
      <x:c r="O158" s="11" t="str">
        <x:v>인력 감축</x:v>
      </x:c>
      <x:c r="P158" s="11" t="str">
        <x:v>Việc đánh giá, sắp xếp và giảm số người thuộc biên chế theo tiêu chuẩn, đối tượng và quy trình quy định.</x:v>
      </x:c>
      <x:c r="Q158" s="11" t="str">
        <x:v>Đối chiếu nghĩa Hàn đã ghi trong trang Thuật ngữ.</x:v>
      </x:c>
      <x:c r="R158" s="11" t="str">
        <x:v>N4</x:v>
      </x:c>
      <x:c r="S158" s="11" t="str">
        <x:v>Cần xem xét tư cách/phạm vi</x:v>
      </x:c>
      <x:c r="T158" s="11" t="str">
        <x:v>T069</x:v>
      </x:c>
    </x:row>
    <x:row r="159" ht="72" customHeight="1">
      <x:c r="A159" s="11" t="n">
        <x:v>154</x:v>
      </x:c>
      <x:c r="B159" s="11" t="str">
        <x:v>T014</x:v>
      </x:c>
      <x:c r="C159" s="11" t="str">
        <x:v>tổng tuyển cử</x:v>
      </x:c>
      <x:c r="D159" s="11" t="str">
        <x:v>general election</x:v>
      </x:c>
      <x:c r="E159" s="11" t="str">
        <x:v>총선</x:v>
      </x:c>
      <x:c r="F159" s="11" t="str">
        <x:v>general election</x:v>
      </x:c>
      <x:c r="G159" s="38" t="str">
        <x:v>Trùng biểu thức Anh</x:v>
      </x:c>
      <x:c r="H159" s="39" t="str">
        <x:v>Xác nhận — cùng biểu thức Anh</x:v>
      </x:c>
      <x:c r="I159" s="11" t="str">
        <x:v>Hai nhánh là toàn cụm từ điển, KO đúng nguyên dạng 총선. Xác nhận nghĩa cuộc bầu cử chung; khi dùng trong corpus vẫn xác định phạm vi quốc gia và cơ quan được bầu, tránh gộp sơ tuyển với tổng tuyển cử.</x:v>
      </x:c>
      <x:c r="J159" s="11" t="str">
        <x:v>Đối dịch trong từ điển</x:v>
      </x:c>
      <x:c r="K159" s="37" t="str">
        <x:v>EB127
Nguồn kiểm tra, dòng 771</x:v>
      </x:c>
      <x:c r="L159" s="11" t="str">
        <x:v>Đối dịch trong từ điển</x:v>
      </x:c>
      <x:c r="M159" s="37" t="str">
        <x:v>EB128
Nguồn kiểm tra, dòng 772</x:v>
      </x:c>
      <x:c r="N159" s="11" t="str">
        <x:v>cuộc tổng tuyển cử</x:v>
      </x:c>
      <x:c r="O159" s="11" t="str">
        <x:v>총선</x:v>
      </x:c>
      <x:c r="P159" s="11" t="str">
        <x:v>Cuộc tổng tuyển cử trên phạm vi toàn quốc trong ngữ cảnh nghiên cứu.</x:v>
      </x:c>
      <x:c r="Q159" s="11" t="str">
        <x:v>Cuộc bầu cử chung để chọn người đại diện cho dân trong bộ máy chính quyền.</x:v>
      </x:c>
      <x:c r="R159" s="11" t="str">
        <x:v>N4</x:v>
      </x:c>
      <x:c r="S159" s="11" t="str">
        <x:v>Giữ làm đơn vị nghiên cứu</x:v>
      </x:c>
      <x:c r="T159" s="11" t="str">
        <x:v>T014</x:v>
      </x:c>
    </x:row>
    <x:row r="160" ht="67.5" customHeight="1">
      <x:c r="A160" s="11" t="n">
        <x:v>155</x:v>
      </x:c>
      <x:c r="B160" s="11" t="str">
        <x:v>T176</x:v>
      </x:c>
      <x:c r="C160" s="11" t="str">
        <x:v>trao đổi đoàn cấp cao</x:v>
      </x:c>
      <x:c r="D160" s="40" t="str">
        <x:v>exchanges of high-level delegations *</x:v>
      </x:c>
      <x:c r="E160" s="11" t="str">
        <x:v>고위급 대표단 교류</x:v>
      </x:c>
      <x:c r="F160" s="40" t="str">
        <x:v>exchanges of high-level delegations *</x:v>
      </x:c>
      <x:c r="G160" s="40" t="str">
        <x:v>Chưa đủ hai nguồn để so khớp</x:v>
      </x:c>
      <x:c r="H160" s="41" t="str">
        <x:v>Ứng viên — còn thiếu chứng cứ</x:v>
      </x:c>
      <x:c r="I160" s="11" t="str">
        <x:v>compatible = có khả năng tương ứng theo nghĩa làm việc; chưa thay thế kiểm tra câu song hành.</x:v>
      </x:c>
      <x:c r="J160" s="11" t="str">
        <x:v>* Nhãn tham chiếu từ bảng trước</x:v>
      </x:c>
      <x:c r="K160" s="11" t="str">
        <x:v>Chưa có nguồn ánh xạ</x:v>
      </x:c>
      <x:c r="L160" s="11" t="str">
        <x:v>* Đề xuất để tiếp tục tra cứu</x:v>
      </x:c>
      <x:c r="M160" s="11" t="str">
        <x:v>Chưa có nguồn ánh xạ</x:v>
      </x:c>
      <x:c r="N160" s="11" t="str">
        <x:v>trao đổi đoàn cấp cao</x:v>
      </x:c>
      <x:c r="O160" s="11" t="str">
        <x:v>고위급 대표단 교류</x:v>
      </x:c>
      <x:c r="P160" s="11" t="str">
        <x:v>Hoạt động các bên cử và tiếp nhận đoàn đại biểu ở cấp cao để thúc đẩy quan hệ.</x:v>
      </x:c>
      <x:c r="Q160" s="11" t="str">
        <x:v>Đối chiếu nghĩa Hàn đã ghi trong trang Thuật ngữ.</x:v>
      </x:c>
      <x:c r="R160" s="11" t="str">
        <x:v>N4</x:v>
      </x:c>
      <x:c r="S160" s="11" t="str">
        <x:v>Giữ làm đơn vị nghiên cứu</x:v>
      </x:c>
      <x:c r="T160" s="11" t="str">
        <x:v>T176</x:v>
      </x:c>
    </x:row>
    <x:row r="161" ht="67.5" customHeight="1">
      <x:c r="A161" s="11" t="n">
        <x:v>156</x:v>
      </x:c>
      <x:c r="B161" s="11" t="str">
        <x:v>T026</x:v>
      </x:c>
      <x:c r="C161" s="11" t="str">
        <x:v>xây dựng Đảng</x:v>
      </x:c>
      <x:c r="D161" s="40" t="str">
        <x:v>Party building *</x:v>
      </x:c>
      <x:c r="E161" s="11" t="str">
        <x:v>당 건설</x:v>
      </x:c>
      <x:c r="F161" s="40" t="str">
        <x:v>Party building *</x:v>
      </x:c>
      <x:c r="G161" s="40" t="str">
        <x:v>Chưa đủ hai nguồn để so khớp</x:v>
      </x:c>
      <x:c r="H161" s="41" t="str">
        <x:v>Ứng viên — còn thiếu chứng cứ</x:v>
      </x:c>
      <x:c r="I161" s="11" t="str">
        <x:v>compatible = có khả năng tương ứng theo nghĩa làm việc; chưa thay thế kiểm tra câu song hành.</x:v>
      </x:c>
      <x:c r="J161" s="11" t="str">
        <x:v>* Nhãn tham chiếu từ bảng trước</x:v>
      </x:c>
      <x:c r="K161" s="11" t="str">
        <x:v>Chưa có nguồn ánh xạ</x:v>
      </x:c>
      <x:c r="L161" s="11" t="str">
        <x:v>* Đề xuất để tiếp tục tra cứu</x:v>
      </x:c>
      <x:c r="M161" s="11" t="str">
        <x:v>Chưa có nguồn ánh xạ</x:v>
      </x:c>
      <x:c r="N161" s="11" t="str">
        <x:v>xây dựng Đảng</x:v>
      </x:c>
      <x:c r="O161" s="11" t="str">
        <x:v>당 건설</x:v>
      </x:c>
      <x:c r="P161" s="11" t="str">
        <x:v>Củng cố tổ chức, tư tưởng và hoạt động Đảng.</x:v>
      </x:c>
      <x:c r="Q161" s="11" t="str">
        <x:v>Đối chiếu nghĩa Hàn đã ghi trong trang Thuật ngữ.</x:v>
      </x:c>
      <x:c r="R161" s="11" t="str">
        <x:v>N4</x:v>
      </x:c>
      <x:c r="S161" s="11" t="str">
        <x:v>Giữ làm đơn vị nghiên cứu</x:v>
      </x:c>
      <x:c r="T161" s="11" t="str">
        <x:v>T026</x:v>
      </x:c>
    </x:row>
    <x:row r="162" ht="67.5" customHeight="1">
      <x:c r="A162" s="11" t="n">
        <x:v>157</x:v>
      </x:c>
      <x:c r="B162" s="11" t="str">
        <x:v>M020</x:v>
      </x:c>
      <x:c r="C162" s="11" t="str">
        <x:v>bản ghi nhớ</x:v>
      </x:c>
      <x:c r="D162" s="11" t="str">
        <x:v>Memorandum of Understanding</x:v>
      </x:c>
      <x:c r="E162" s="11" t="str">
        <x:v>양해각서</x:v>
      </x:c>
      <x:c r="F162" s="11" t="str">
        <x:v>Memorandum of Understanding</x:v>
      </x:c>
      <x:c r="G162" s="38" t="str">
        <x:v>Trùng biểu thức Anh</x:v>
      </x:c>
      <x:c r="H162" s="39" t="str">
        <x:v>Xác nhận — cùng biểu thức Anh</x:v>
      </x:c>
      <x:c r="I162" s="11" t="str">
        <x:v>Xác nhận tương ứng tên loại văn bản. Nhãn MOU không tự quyết định văn bản cụ thể có ràng buộc pháp lý hay không.</x:v>
      </x:c>
      <x:c r="J162" s="11" t="str">
        <x:v>Đối chiếu văn bản song song</x:v>
      </x:c>
      <x:c r="K162" s="37" t="str">
        <x:v>EB129
Nguồn kiểm tra, dòng 773</x:v>
      </x:c>
      <x:c r="L162" s="11" t="str">
        <x:v>Đối dịch tường minh trong nguồn</x:v>
      </x:c>
      <x:c r="M162" s="37" t="str">
        <x:v>EB130
Nguồn kiểm tra, dòng 774</x:v>
      </x:c>
      <x:c r="N162" s="11" t="str">
        <x:v>Bản ghi nhớ</x:v>
      </x:c>
      <x:c r="O162" s="11" t="str">
        <x:v>양해각서</x:v>
      </x:c>
      <x:c r="P162" s="11" t="str">
        <x:v>Văn bản ghi lại sự hiểu biết hoặc các nội dung được các bên thống nhất; hiệu lực pháp lý tùy nội dung và hình thức cụ thể.</x:v>
      </x:c>
      <x:c r="Q162" s="11" t="str">
        <x:v>Loại văn bản ghi nhận thỏa thuận hoặc hiểu biết chung.</x:v>
      </x:c>
      <x:c r="R162" s="11" t="str">
        <x:v>N5</x:v>
      </x:c>
      <x:c r="S162" s="11" t="str">
        <x:v>Giữ làm đơn vị nghiên cứu</x:v>
      </x:c>
      <x:c r="T162" s="11" t="str">
        <x:v>M020</x:v>
      </x:c>
    </x:row>
    <x:row r="163" ht="67.5" customHeight="1">
      <x:c r="A163" s="11" t="n">
        <x:v>158</x:v>
      </x:c>
      <x:c r="B163" s="11" t="str">
        <x:v>CGI001</x:v>
      </x:c>
      <x:c r="C163" s="11" t="str">
        <x:v>báo cáo chính trị</x:v>
      </x:c>
      <x:c r="D163" s="40" t="str">
        <x:v>political report *</x:v>
      </x:c>
      <x:c r="E163" s="11" t="str">
        <x:v>정치 보고서</x:v>
      </x:c>
      <x:c r="F163" s="40" t="str">
        <x:v>political report *</x:v>
      </x:c>
      <x:c r="G163" s="40" t="str">
        <x:v>Chưa đủ hai nguồn để so khớp</x:v>
      </x:c>
      <x:c r="H163" s="41" t="str">
        <x:v>Ứng viên — còn thiếu chứng cứ</x:v>
      </x:c>
      <x:c r="I163" s="11" t="str">
        <x:v>compatible = có khả năng tương ứng theo nghĩa làm việc; chưa thay thế kiểm tra câu song hành.</x:v>
      </x:c>
      <x:c r="J163" s="11" t="str">
        <x:v>* Nhãn tham chiếu từ bảng trước</x:v>
      </x:c>
      <x:c r="K163" s="11" t="str">
        <x:v>Chưa có nguồn ánh xạ</x:v>
      </x:c>
      <x:c r="L163" s="11" t="str">
        <x:v>* Đề xuất để tiếp tục tra cứu</x:v>
      </x:c>
      <x:c r="M163" s="11" t="str">
        <x:v>Chưa có nguồn ánh xạ</x:v>
      </x:c>
      <x:c r="N163" s="11" t="str">
        <x:v>báo cáo chính trị</x:v>
      </x:c>
      <x:c r="O163" s="11" t="str">
        <x:v>정치 보고서</x:v>
      </x:c>
      <x:c r="P163" s="11" t="str">
        <x:v>Loại văn kiện chính trị trình bày đánh giá tình hình và phương hướng, nhiệm vụ, được trình và thảo luận tại Đại hội Đảng.</x:v>
      </x:c>
      <x:c r="Q163" s="11" t="str">
        <x:v>Đối chiếu nghĩa Hàn đã ghi trong trang Thuật ngữ.</x:v>
      </x:c>
      <x:c r="R163" s="11" t="str">
        <x:v>N5</x:v>
      </x:c>
      <x:c r="S163" s="11" t="str">
        <x:v>Giữ làm đơn vị nghiên cứu</x:v>
      </x:c>
      <x:c r="T163" s="11" t="str">
        <x:v>CGI001</x:v>
      </x:c>
    </x:row>
    <x:row r="164" ht="67.5" customHeight="1">
      <x:c r="A164" s="11" t="n">
        <x:v>159</x:v>
      </x:c>
      <x:c r="B164" s="11" t="str">
        <x:v>T158</x:v>
      </x:c>
      <x:c r="C164" s="11" t="str">
        <x:v>Công ước Liên hợp quốc về Luật Biển</x:v>
      </x:c>
      <x:c r="D164" s="11" t="str">
        <x:v>United Nations Convention on the Law of the Sea</x:v>
      </x:c>
      <x:c r="E164" s="11" t="str">
        <x:v>1982년 유엔해양법협약(UNCLOS)</x:v>
      </x:c>
      <x:c r="F164" s="11" t="str">
        <x:v>United Nations Convention on the Law of the Sea</x:v>
      </x:c>
      <x:c r="G164" s="38" t="str">
        <x:v>Trùng biểu thức Anh</x:v>
      </x:c>
      <x:c r="H164" s="39" t="str">
        <x:v>Xác nhận — cùng biểu thức Anh</x:v>
      </x:c>
      <x:c r="I164" s="11" t="str">
        <x:v>Xác nhận cùng văn kiện UNCLOS 1982. Thành tố năm trong nhãn Hàn giúp định danh, không phải một công ước khác.</x:v>
      </x:c>
      <x:c r="J164" s="11" t="str">
        <x:v>Đối dịch tường minh trong nguồn</x:v>
      </x:c>
      <x:c r="K164" s="37" t="str">
        <x:v>EB131
Nguồn kiểm tra, dòng 775</x:v>
      </x:c>
      <x:c r="L164" s="11" t="str">
        <x:v>Đối dịch tường minh trong nguồn</x:v>
      </x:c>
      <x:c r="M164" s="37" t="str">
        <x:v>EB132
Nguồn kiểm tra, dòng 776</x:v>
      </x:c>
      <x:c r="N164" s="11" t="str">
        <x:v>Công ước Liên hợp quốc về Luật Biển năm 1982</x:v>
      </x:c>
      <x:c r="O164" s="11" t="str">
        <x:v>유엔해양법협약</x:v>
      </x:c>
      <x:c r="P164" s="11" t="str">
        <x:v>Công ước về Luật Biển của Liên hợp quốc, năm 1982.</x:v>
      </x:c>
      <x:c r="Q164" s="11" t="str">
        <x:v>Công ước về Luật Biển của Liên hợp quốc, năm 1982.</x:v>
      </x:c>
      <x:c r="R164" s="11" t="str">
        <x:v>N5</x:v>
      </x:c>
      <x:c r="S164" s="11" t="str">
        <x:v>Giữ làm đơn vị nghiên cứu</x:v>
      </x:c>
      <x:c r="T164" s="11" t="str">
        <x:v>T158</x:v>
      </x:c>
    </x:row>
    <x:row r="165" ht="67.5" customHeight="1">
      <x:c r="A165" s="11" t="n">
        <x:v>160</x:v>
      </x:c>
      <x:c r="B165" s="11" t="str">
        <x:v>T054</x:v>
      </x:c>
      <x:c r="C165" s="11" t="str">
        <x:v>cương lĩnh</x:v>
      </x:c>
      <x:c r="D165" s="40" t="str">
        <x:v>political platform *</x:v>
      </x:c>
      <x:c r="E165" s="11" t="str">
        <x:v>강령</x:v>
      </x:c>
      <x:c r="F165" s="40" t="str">
        <x:v>political platform *</x:v>
      </x:c>
      <x:c r="G165" s="40" t="str">
        <x:v>Chưa đủ hai nguồn để so khớp</x:v>
      </x:c>
      <x:c r="H165" s="41" t="str">
        <x:v>Ứng viên — còn thiếu chứng cứ</x:v>
      </x:c>
      <x:c r="I165" s="11" t="str">
        <x:v>Nguồn NIKL định nghĩa 강령 ở bình diện nguyên tắc/nội dung; N5.1 dựa vào nghĩa văn kiện chính trị trong ngữ liệu và nguồn Việt, không suy N5 chỉ từ từ điển.</x:v>
      </x:c>
      <x:c r="J165" s="11" t="str">
        <x:v>* Nhãn tham chiếu từ bảng trước</x:v>
      </x:c>
      <x:c r="K165" s="11" t="str">
        <x:v>Chưa có nguồn ánh xạ</x:v>
      </x:c>
      <x:c r="L165" s="11" t="str">
        <x:v>* Đề xuất để tiếp tục tra cứu</x:v>
      </x:c>
      <x:c r="M165" s="11" t="str">
        <x:v>Chưa có nguồn ánh xạ</x:v>
      </x:c>
      <x:c r="N165" s="11" t="str">
        <x:v>cương lĩnh</x:v>
      </x:c>
      <x:c r="O165" s="11" t="str">
        <x:v>강령</x:v>
      </x:c>
      <x:c r="P165" s="11" t="str">
        <x:v>Văn kiện nêu mục tiêu, phương hướng và nhiệm vụ cơ bản của một đảng hoặc tổ chức chính trị.</x:v>
      </x:c>
      <x:c r="Q165" s="11" t="str">
        <x:v>Đối chiếu nghĩa Hàn đã ghi trong trang Thuật ngữ.</x:v>
      </x:c>
      <x:c r="R165" s="11" t="str">
        <x:v>N5</x:v>
      </x:c>
      <x:c r="S165" s="11" t="str">
        <x:v>Giữ làm đơn vị nghiên cứu</x:v>
      </x:c>
      <x:c r="T165" s="11" t="str">
        <x:v>T054</x:v>
      </x:c>
    </x:row>
    <x:row r="166" ht="67.5" customHeight="1">
      <x:c r="A166" s="11" t="n">
        <x:v>161</x:v>
      </x:c>
      <x:c r="B166" s="11" t="str">
        <x:v>T058</x:v>
      </x:c>
      <x:c r="C166" s="11" t="str">
        <x:v>Điều lệ Đảng</x:v>
      </x:c>
      <x:c r="D166" s="40" t="str">
        <x:v>Party Statutes *</x:v>
      </x:c>
      <x:c r="E166" s="11" t="str">
        <x:v>당 규약</x:v>
      </x:c>
      <x:c r="F166" s="40" t="str">
        <x:v>Party Statutes *</x:v>
      </x:c>
      <x:c r="G166" s="40" t="str">
        <x:v>Chưa đủ hai nguồn để so khớp</x:v>
      </x:c>
      <x:c r="H166" s="41" t="str">
        <x:v>Ứng viên — còn thiếu chứng cứ</x:v>
      </x:c>
      <x:c r="I166" s="11" t="str">
        <x:v>compatible = có khả năng tương ứng theo nghĩa làm việc; chưa thay thế kiểm tra câu song hành.</x:v>
      </x:c>
      <x:c r="J166" s="11" t="str">
        <x:v>* Nhãn tham chiếu từ bảng trước</x:v>
      </x:c>
      <x:c r="K166" s="11" t="str">
        <x:v>Chưa có nguồn ánh xạ</x:v>
      </x:c>
      <x:c r="L166" s="11" t="str">
        <x:v>* Đề xuất để tiếp tục tra cứu</x:v>
      </x:c>
      <x:c r="M166" s="11" t="str">
        <x:v>Chưa có nguồn ánh xạ</x:v>
      </x:c>
      <x:c r="N166" s="11" t="str">
        <x:v>Điều lệ Đảng</x:v>
      </x:c>
      <x:c r="O166" s="11" t="str">
        <x:v>당 규약</x:v>
      </x:c>
      <x:c r="P166" s="11" t="str">
        <x:v>Văn kiện quy định tổ chức và sinh hoạt Đảng.</x:v>
      </x:c>
      <x:c r="Q166" s="11" t="str">
        <x:v>Đối chiếu nghĩa Hàn đã ghi trong trang Thuật ngữ.</x:v>
      </x:c>
      <x:c r="R166" s="11" t="str">
        <x:v>N5</x:v>
      </x:c>
      <x:c r="S166" s="11" t="str">
        <x:v>Giữ làm đơn vị nghiên cứu</x:v>
      </x:c>
      <x:c r="T166" s="11" t="str">
        <x:v>T058</x:v>
      </x:c>
    </x:row>
    <x:row r="167" ht="67.5" customHeight="1">
      <x:c r="A167" s="11" t="n">
        <x:v>162</x:v>
      </x:c>
      <x:c r="B167" s="11" t="str">
        <x:v>T152</x:v>
      </x:c>
      <x:c r="C167" s="11" t="str">
        <x:v>Hiến chương Liên hợp quốc</x:v>
      </x:c>
      <x:c r="D167" s="40" t="str">
        <x:v>Charter of the United Nations *</x:v>
      </x:c>
      <x:c r="E167" s="11" t="str">
        <x:v>유엔 헌장</x:v>
      </x:c>
      <x:c r="F167" s="40" t="str">
        <x:v>Charter of the United Nations *</x:v>
      </x:c>
      <x:c r="G167" s="40" t="str">
        <x:v>Chưa đủ hai nguồn để so khớp</x:v>
      </x:c>
      <x:c r="H167" s="41" t="str">
        <x:v>Ứng viên — còn thiếu chứng cứ</x:v>
      </x:c>
      <x:c r="I167" s="11" t="str">
        <x:v>compatible = có khả năng tương ứng theo nghĩa làm việc; chưa thay thế kiểm tra câu song hành.</x:v>
      </x:c>
      <x:c r="J167" s="11" t="str">
        <x:v>* Nhãn tham chiếu từ bảng trước</x:v>
      </x:c>
      <x:c r="K167" s="11" t="str">
        <x:v>Chưa có nguồn ánh xạ</x:v>
      </x:c>
      <x:c r="L167" s="11" t="str">
        <x:v>* Đề xuất để tiếp tục tra cứu</x:v>
      </x:c>
      <x:c r="M167" s="11" t="str">
        <x:v>Chưa có nguồn ánh xạ</x:v>
      </x:c>
      <x:c r="N167" s="11" t="str">
        <x:v>Hiến chương Liên hợp quốc</x:v>
      </x:c>
      <x:c r="O167" s="11" t="str">
        <x:v>유엔 헌장</x:v>
      </x:c>
      <x:c r="P167" s="11" t="str">
        <x:v>Điều ước nền tảng quy định mục đích, nguyên tắc, cơ cấu và hoạt động của Liên hợp quốc.</x:v>
      </x:c>
      <x:c r="Q167" s="11" t="str">
        <x:v>Đối chiếu nghĩa Hàn đã ghi trong trang Thuật ngữ.</x:v>
      </x:c>
      <x:c r="R167" s="11" t="str">
        <x:v>N5</x:v>
      </x:c>
      <x:c r="S167" s="11" t="str">
        <x:v>Giữ làm đơn vị nghiên cứu</x:v>
      </x:c>
      <x:c r="T167" s="11" t="str">
        <x:v>T152</x:v>
      </x:c>
    </x:row>
    <x:row r="168" ht="67.5" customHeight="1">
      <x:c r="A168" s="11" t="n">
        <x:v>163</x:v>
      </x:c>
      <x:c r="B168" s="11" t="str">
        <x:v>T044</x:v>
      </x:c>
      <x:c r="C168" s="11" t="str">
        <x:v>Hiến pháp</x:v>
      </x:c>
      <x:c r="D168" s="11" t="str">
        <x:v>constitution</x:v>
      </x:c>
      <x:c r="E168" s="11" t="str">
        <x:v>헌법</x:v>
      </x:c>
      <x:c r="F168" s="11" t="str">
        <x:v>constitution</x:v>
      </x:c>
      <x:c r="G168" s="38" t="str">
        <x:v>Trùng biểu thức Anh</x:v>
      </x:c>
      <x:c r="H168" s="39" t="str">
        <x:v>Xác nhận — cùng biểu thức Anh</x:v>
      </x:c>
      <x:c r="I168" s="11" t="str">
        <x:v>Hai nhánh có ánh xạ từ điển độc lập; xác nhận trong nghĩa hiến pháp của nhà nước. Không dùng chung từ constitution để gộp nghĩa điều lệ tổ chức hay thể chất.</x:v>
      </x:c>
      <x:c r="J168" s="11" t="str">
        <x:v>Đối dịch trong từ điển</x:v>
      </x:c>
      <x:c r="K168" s="37" t="str">
        <x:v>EB133
Nguồn kiểm tra, dòng 777</x:v>
      </x:c>
      <x:c r="L168" s="11" t="str">
        <x:v>Đối dịch trong từ điển</x:v>
      </x:c>
      <x:c r="M168" s="37" t="str">
        <x:v>EB134
Nguồn kiểm tra, dòng 778</x:v>
      </x:c>
      <x:c r="N168" s="11" t="str">
        <x:v>hiến pháp</x:v>
      </x:c>
      <x:c r="O168" s="11" t="str">
        <x:v>헌법</x:v>
      </x:c>
      <x:c r="P168" s="11" t="str">
        <x:v>Hiến pháp của nhà nước.</x:v>
      </x:c>
      <x:c r="Q168" s="11" t="str">
        <x:v>Hiến pháp, nghĩa hệ thống quy định nền tảng về quyền, nghĩa vụ và tổ chức của nhà nước.</x:v>
      </x:c>
      <x:c r="R168" s="11" t="str">
        <x:v>N5</x:v>
      </x:c>
      <x:c r="S168" s="11" t="str">
        <x:v>Giữ làm đơn vị nghiên cứu</x:v>
      </x:c>
      <x:c r="T168" s="11" t="str">
        <x:v>T044</x:v>
      </x:c>
    </x:row>
    <x:row r="169" ht="67.5" customHeight="1">
      <x:c r="A169" s="11" t="n">
        <x:v>164</x:v>
      </x:c>
      <x:c r="B169" s="11" t="str">
        <x:v>M018</x:v>
      </x:c>
      <x:c r="C169" s="11" t="str">
        <x:v>Kế hoạch hành động ASEAN–Hàn Quốc</x:v>
      </x:c>
      <x:c r="D169" s="40" t="str">
        <x:v>ASEAN–Republic of Korea Plan of Action *</x:v>
      </x:c>
      <x:c r="E169" s="11" t="str">
        <x:v>한-아세안 행동계획</x:v>
      </x:c>
      <x:c r="F169" s="40" t="str">
        <x:v>ASEAN–Republic of Korea Plan of Action *</x:v>
      </x:c>
      <x:c r="G169" s="40" t="str">
        <x:v>Chưa đủ hai nguồn để so khớp</x:v>
      </x:c>
      <x:c r="H169" s="41" t="str">
        <x:v>Ứng viên — còn thiếu chứng cứ</x:v>
      </x:c>
      <x:c r="I169" s="11" t="str">
        <x:v>compatible = có khả năng tương ứng theo nghĩa làm việc; chưa thay thế kiểm tra câu song hành.</x:v>
      </x:c>
      <x:c r="J169" s="11" t="str">
        <x:v>* Nhãn tham chiếu từ bảng trước</x:v>
      </x:c>
      <x:c r="K169" s="11" t="str">
        <x:v>Chưa có nguồn ánh xạ</x:v>
      </x:c>
      <x:c r="L169" s="11" t="str">
        <x:v>* Đề xuất để tiếp tục tra cứu</x:v>
      </x:c>
      <x:c r="M169" s="11" t="str">
        <x:v>Chưa có nguồn ánh xạ</x:v>
      </x:c>
      <x:c r="N169" s="11" t="str">
        <x:v>Kế hoạch hành động ASEAN–Hàn Quốc</x:v>
      </x:c>
      <x:c r="O169" s="11" t="str">
        <x:v>한-아세안 행동계획</x:v>
      </x:c>
      <x:c r="P169" s="11" t="str">
        <x:v>Văn kiện xác lập các định hướng và biện pháp triển khai hợp tác ASEAN–Hàn Quốc trong một giai đoạn; giai đoạn là metadata của văn kiện.</x:v>
      </x:c>
      <x:c r="Q169" s="11" t="str">
        <x:v>Đối chiếu nghĩa Hàn đã ghi trong trang Thuật ngữ.</x:v>
      </x:c>
      <x:c r="R169" s="11" t="str">
        <x:v>N5</x:v>
      </x:c>
      <x:c r="S169" s="11" t="str">
        <x:v>Giữ làm đơn vị nghiên cứu</x:v>
      </x:c>
      <x:c r="T169" s="11" t="str">
        <x:v>M018</x:v>
      </x:c>
    </x:row>
    <x:row r="170" ht="132" customHeight="1">
      <x:c r="A170" s="11" t="n">
        <x:v>165</x:v>
      </x:c>
      <x:c r="B170" s="11" t="str">
        <x:v>T015</x:v>
      </x:c>
      <x:c r="C170" s="11" t="str">
        <x:v>nghị quyết</x:v>
      </x:c>
      <x:c r="D170" s="40" t="str">
        <x:v>resolution *</x:v>
      </x:c>
      <x:c r="E170" s="11" t="str">
        <x:v>결의안</x:v>
      </x:c>
      <x:c r="F170" s="40" t="str">
        <x:v>resolution *</x:v>
      </x:c>
      <x:c r="G170" s="40" t="str">
        <x:v>Chưa đủ hai nguồn để so khớp</x:v>
      </x:c>
      <x:c r="H170" s="41" t="str">
        <x:v>Ứng viên — còn thiếu chứng cứ</x:v>
      </x:c>
      <x:c r="I170" s="11" t="str">
        <x:v>결의안 có thể gọi đề xuất hoặc văn kiện đã được thông qua tùy ngữ cảnh; phải kiểm tra trạng thái 채택/이행. Nhóm N5 không chứng minh là nghị quyết đã ban hành trong mọi lượt. Đã thử tìm trên nguồn Quốc ngữ viện nhưng chưa đọc được mục từ nguyên dạng phù hợp; needs_check không có nghĩa thuật ngữ không tồn tại. 결의안 có thành tố 안 (đề án/dự thảo); cần kiểm tra tình trạng đã thông qua trong câu nguồn trước khi chốt tương ứng với nghị quyết.</x:v>
      </x:c>
      <x:c r="J170" s="11" t="str">
        <x:v>* Nhãn tham chiếu từ bảng trước</x:v>
      </x:c>
      <x:c r="K170" s="11" t="str">
        <x:v>Chưa có nguồn ánh xạ</x:v>
      </x:c>
      <x:c r="L170" s="11" t="str">
        <x:v>* Đề xuất để tiếp tục tra cứu</x:v>
      </x:c>
      <x:c r="M170" s="11" t="str">
        <x:v>Chưa có nguồn ánh xạ</x:v>
      </x:c>
      <x:c r="N170" s="11" t="str">
        <x:v>nghị quyết</x:v>
      </x:c>
      <x:c r="O170" s="11" t="str">
        <x:v>결의안</x:v>
      </x:c>
      <x:c r="P170" s="11" t="str">
        <x:v>Văn bản ghi quyết định tập thể đã thông qua.</x:v>
      </x:c>
      <x:c r="Q170" s="11" t="str">
        <x:v>Đối chiếu nghĩa Hàn đã ghi trong trang Thuật ngữ.</x:v>
      </x:c>
      <x:c r="R170" s="11" t="str">
        <x:v>N5</x:v>
      </x:c>
      <x:c r="S170" s="11" t="str">
        <x:v>Giữ làm đơn vị nghiên cứu</x:v>
      </x:c>
      <x:c r="T170" s="11" t="str">
        <x:v>T015</x:v>
      </x:c>
    </x:row>
    <x:row r="171" ht="67.5" customHeight="1">
      <x:c r="A171" s="11" t="n">
        <x:v>166</x:v>
      </x:c>
      <x:c r="B171" s="11" t="str">
        <x:v>M007</x:v>
      </x:c>
      <x:c r="C171" s="11" t="str">
        <x:v>Tầm nhìn ASEAN về Ấn Độ Dương–Thái Bình Dương</x:v>
      </x:c>
      <x:c r="D171" s="11" t="str">
        <x:v>ASEAN Outlook on the Indo-Pacific</x:v>
      </x:c>
      <x:c r="E171" s="11" t="str">
        <x:v>인도-태평양에 대한 아세안 관점</x:v>
      </x:c>
      <x:c r="F171" s="11" t="str">
        <x:v>ASEAN Outlook on the Indo-Pacific</x:v>
      </x:c>
      <x:c r="G171" s="38" t="str">
        <x:v>Trùng biểu thức Anh</x:v>
      </x:c>
      <x:c r="H171" s="39" t="str">
        <x:v>Xác nhận — cùng biểu thức Anh</x:v>
      </x:c>
      <x:c r="I171" s="11" t="str">
        <x:v>Xác nhận tên AOIP trong nghĩa văn kiện ASEAN. Mapping Hàn dùng biến thể có 의; không tuyên bố đã tìm mục từ nguyên dạng trong từ điển.</x:v>
      </x:c>
      <x:c r="J171" s="11" t="str">
        <x:v>Đối dịch tường minh trong nguồn</x:v>
      </x:c>
      <x:c r="K171" s="37" t="str">
        <x:v>EB135
Nguồn kiểm tra, dòng 779</x:v>
      </x:c>
      <x:c r="L171" s="11" t="str">
        <x:v>Đối dịch tường minh trong nguồn</x:v>
      </x:c>
      <x:c r="M171" s="37" t="str">
        <x:v>EB136
Nguồn kiểm tra, dòng 780</x:v>
      </x:c>
      <x:c r="N171" s="11" t="str">
        <x:v>Tầm nhìn ASEAN về Ấn Độ Dương–Thái Bình Dương</x:v>
      </x:c>
      <x:c r="O171" s="11" t="str">
        <x:v>인도-태평양에 대한 아세안 관점</x:v>
      </x:c>
      <x:c r="P171" s="11" t="str">
        <x:v>Văn kiện của ASEAN trình bày quan điểm và định hướng hợp tác đối với khu vực Ấn Độ Dương–Thái Bình Dương.</x:v>
      </x:c>
      <x:c r="Q171" s="11" t="str">
        <x:v>Văn kiện của ASEAN trình bày quan điểm và định hướng hợp tác đối với khu vực Ấn Độ Dương–Thái Bình Dương.</x:v>
      </x:c>
      <x:c r="R171" s="11" t="str">
        <x:v>N5</x:v>
      </x:c>
      <x:c r="S171" s="11" t="str">
        <x:v>Giữ làm đơn vị nghiên cứu</x:v>
      </x:c>
      <x:c r="T171" s="11" t="str">
        <x:v>M007</x:v>
      </x:c>
    </x:row>
    <x:row r="172" ht="87" customHeight="1">
      <x:c r="A172" s="11" t="n">
        <x:v>167</x:v>
      </x:c>
      <x:c r="B172" s="11" t="str">
        <x:v>T039</x:v>
      </x:c>
      <x:c r="C172" s="11" t="str">
        <x:v>Văn kiện Đại hội</x:v>
      </x:c>
      <x:c r="D172" s="40" t="str">
        <x:v>Party Congress documents *</x:v>
      </x:c>
      <x:c r="E172" s="11" t="str">
        <x:v>제14차 전국당대회 문건</x:v>
      </x:c>
      <x:c r="F172" s="40" t="str">
        <x:v>documents of the 14th National Party Congress *</x:v>
      </x:c>
      <x:c r="G172" s="40" t="str">
        <x:v>Chưa đủ hai nguồn để so khớp</x:v>
      </x:c>
      <x:c r="H172" s="41" t="str">
        <x:v>Ứng viên — còn thiếu chứng cứ</x:v>
      </x:c>
      <x:c r="I172" s="11" t="str">
        <x:v>Nhãn danh mục Văn kiện Đại hội khái quát hơn dạng thực tế Văn kiện Đại hội XIV. Tiểu loại 5.2 áp dụng cho tập văn kiện xác định trong lượt được chọn. compatible = có khả năng tương ứng theo nghĩa làm việc; chưa thay thế kiểm tra câu song hành.</x:v>
      </x:c>
      <x:c r="J172" s="11" t="str">
        <x:v>* Nhãn tham chiếu từ bảng trước</x:v>
      </x:c>
      <x:c r="K172" s="11" t="str">
        <x:v>Chưa có nguồn ánh xạ</x:v>
      </x:c>
      <x:c r="L172" s="11" t="str">
        <x:v>* Đề xuất để tiếp tục tra cứu</x:v>
      </x:c>
      <x:c r="M172" s="11" t="str">
        <x:v>Chưa có nguồn ánh xạ</x:v>
      </x:c>
      <x:c r="N172" s="11" t="str">
        <x:v>Văn kiện Đại hội</x:v>
      </x:c>
      <x:c r="O172" s="11" t="str">
        <x:v>제14차 전국당대회 문건</x:v>
      </x:c>
      <x:c r="P172" s="11" t="str">
        <x:v>Các văn bản chính thức được trình, thảo luận hoặc thông qua tại đại hội của Đảng.</x:v>
      </x:c>
      <x:c r="Q172" s="11" t="str">
        <x:v>Đối chiếu nghĩa Hàn đã ghi trong trang Thuật ngữ.</x:v>
      </x:c>
      <x:c r="R172" s="11" t="str">
        <x:v>N5</x:v>
      </x:c>
      <x:c r="S172" s="11" t="str">
        <x:v>Giữ làm đơn vị nghiên cứu</x:v>
      </x:c>
      <x:c r="T172" s="11" t="str">
        <x:v>T039</x:v>
      </x:c>
    </x:row>
    <x:row r="173" ht="67.5" customHeight="1">
      <x:c r="A173" s="11" t="n">
        <x:v>168</x:v>
      </x:c>
      <x:c r="B173" s="11" t="str">
        <x:v>C001</x:v>
      </x:c>
      <x:c r="C173" s="11" t="str">
        <x:v>nhà ngoại giao</x:v>
      </x:c>
      <x:c r="D173" s="11" t="str">
        <x:v>diplomat</x:v>
      </x:c>
      <x:c r="E173" s="11" t="str">
        <x:v>외교관</x:v>
      </x:c>
      <x:c r="F173" s="11" t="str">
        <x:v>diplomat</x:v>
      </x:c>
      <x:c r="G173" s="38" t="str">
        <x:v>Trùng biểu thức Anh</x:v>
      </x:c>
      <x:c r="H173" s="39" t="str">
        <x:v>Xác nhận — cùng biểu thức Anh</x:v>
      </x:c>
      <x:c r="I173" s="11" t="str">
        <x:v>Xác nhận trong nghĩa cá nhân làm nhiệm vụ ngoại giao ở nước ngoài; mục từ Hàn còn gọi cả vị trí công vụ. Không suy tất cả nghĩa mở rộng của nhà ngoại giao đều đồng nhất.</x:v>
      </x:c>
      <x:c r="J173" s="11" t="str">
        <x:v>Đối dịch trong từ điển</x:v>
      </x:c>
      <x:c r="K173" s="37" t="str">
        <x:v>EB137
Nguồn kiểm tra, dòng 781</x:v>
      </x:c>
      <x:c r="L173" s="11" t="str">
        <x:v>Đối dịch trong từ điển</x:v>
      </x:c>
      <x:c r="M173" s="37" t="str">
        <x:v>EB138
Nguồn kiểm tra, dòng 782</x:v>
      </x:c>
      <x:c r="N173" s="11" t="str">
        <x:v>nhà ngoại giao</x:v>
      </x:c>
      <x:c r="O173" s="11" t="str">
        <x:v>외교관</x:v>
      </x:c>
      <x:c r="P173" s="11" t="str">
        <x:v>Người đại diện cho quốc gia để thực hiện công việc ngoại giao.</x:v>
      </x:c>
      <x:c r="Q173" s="11" t="str">
        <x:v>Người đại diện cho quốc gia để thực hiện công việc ngoại giao.</x:v>
      </x:c>
      <x:c r="R173" s="11" t="str">
        <x:v>N1</x:v>
      </x:c>
      <x:c r="S173" s="11" t="str">
        <x:v>Giữ làm đơn vị nghiên cứu</x:v>
      </x:c>
      <x:c r="T173" s="11" t="str">
        <x:v>C001</x:v>
      </x:c>
    </x:row>
    <x:row r="174" ht="67.5" customHeight="1">
      <x:c r="A174" s="11" t="n">
        <x:v>169</x:v>
      </x:c>
      <x:c r="B174" s="11" t="str">
        <x:v>C002</x:v>
      </x:c>
      <x:c r="C174" s="11" t="str">
        <x:v>đặc phái viên</x:v>
      </x:c>
      <x:c r="D174" s="40" t="str">
        <x:v>special envoy *</x:v>
      </x:c>
      <x:c r="E174" s="11" t="str">
        <x:v>특사</x:v>
      </x:c>
      <x:c r="F174" s="11" t="str">
        <x:v>Special Envoy</x:v>
      </x:c>
      <x:c r="G174" s="40" t="str">
        <x:v>Chưa đủ hai nguồn để so khớp</x:v>
      </x:c>
      <x:c r="H174" s="41" t="str">
        <x:v>Ứng viên — còn thiếu chứng cứ</x:v>
      </x:c>
      <x:c r="I174" s="11" t="str">
        <x:v>Đường Hàn–Anh có chứng cứ vai trò trong chức danh đầy đủ; đường Việt–Anh chưa có mapping độc lập. Không coi nguồn định nghĩa khái niệm tiếng Anh là xác nhận cặp.</x:v>
      </x:c>
      <x:c r="J174" s="11" t="str">
        <x:v>* Đề xuất để tiếp tục tra cứu</x:v>
      </x:c>
      <x:c r="K174" s="11" t="str">
        <x:v>Chưa có nguồn ánh xạ</x:v>
      </x:c>
      <x:c r="L174" s="11" t="str">
        <x:v>Đối dịch tường minh trong nguồn</x:v>
      </x:c>
      <x:c r="M174" s="37" t="str">
        <x:v>EB139
Nguồn kiểm tra, dòng 783</x:v>
      </x:c>
      <x:c r="N174" s="11" t="str">
        <x:v>đặc phái viên</x:v>
      </x:c>
      <x:c r="O174" s="11" t="str">
        <x:v>외교부장관 특사</x:v>
      </x:c>
      <x:c r="P174" s="11" t="str">
        <x:v>Người được cử thực hiện một nhiệm vụ đặc biệt với tư cách đại diện.</x:v>
      </x:c>
      <x:c r="Q174" s="11" t="str">
        <x:v>Người được cử thực hiện một nhiệm vụ đặc biệt với tư cách đại diện.</x:v>
      </x:c>
      <x:c r="R174" s="11" t="str">
        <x:v>N1</x:v>
      </x:c>
      <x:c r="S174" s="11" t="str">
        <x:v>Giữ làm đơn vị nghiên cứu</x:v>
      </x:c>
      <x:c r="T174" s="11" t="str">
        <x:v>C002</x:v>
      </x:c>
    </x:row>
    <x:row r="175" ht="67.5" customHeight="1">
      <x:c r="A175" s="11" t="n">
        <x:v>170</x:v>
      </x:c>
      <x:c r="B175" s="11" t="str">
        <x:v>C003</x:v>
      </x:c>
      <x:c r="C175" s="11" t="str">
        <x:v>Tổng lãnh sự</x:v>
      </x:c>
      <x:c r="D175" s="11" t="str">
        <x:v>Consul General</x:v>
      </x:c>
      <x:c r="E175" s="11" t="str">
        <x:v>총영사</x:v>
      </x:c>
      <x:c r="F175" s="11" t="str">
        <x:v>Consul General</x:v>
      </x:c>
      <x:c r="G175" s="38" t="str">
        <x:v>Trùng biểu thức Anh</x:v>
      </x:c>
      <x:c r="H175" s="39" t="str">
        <x:v>Xác nhận — cùng biểu thức Anh</x:v>
      </x:c>
      <x:c r="I175" s="11" t="str">
        <x:v>Hai phía đều có văn bản công song song xác nhận đúng chức danh cá nhân Tổng lãnh sự.</x:v>
      </x:c>
      <x:c r="J175" s="11" t="str">
        <x:v>Đối chiếu văn bản song song</x:v>
      </x:c>
      <x:c r="K175" s="37" t="str">
        <x:v>EB140
Nguồn kiểm tra, dòng 784</x:v>
      </x:c>
      <x:c r="L175" s="11" t="str">
        <x:v>Đối chiếu văn bản song song</x:v>
      </x:c>
      <x:c r="M175" s="37" t="str">
        <x:v>EB141
Nguồn kiểm tra, dòng 785</x:v>
      </x:c>
      <x:c r="N175" s="11" t="str">
        <x:v>Tổng lãnh sự</x:v>
      </x:c>
      <x:c r="O175" s="11" t="str">
        <x:v>총영사</x:v>
      </x:c>
      <x:c r="P175" s="11" t="str">
        <x:v>Viên chức lãnh sự đứng đầu tổng lãnh sự quán, thuộc cấp tổng lãnh sự.</x:v>
      </x:c>
      <x:c r="Q175" s="11" t="str">
        <x:v>Viên chức lãnh sự đứng đầu tổng lãnh sự quán, thuộc cấp tổng lãnh sự.</x:v>
      </x:c>
      <x:c r="R175" s="11" t="str">
        <x:v>N1</x:v>
      </x:c>
      <x:c r="S175" s="11" t="str">
        <x:v>Giữ làm đơn vị nghiên cứu</x:v>
      </x:c>
      <x:c r="T175" s="11" t="str">
        <x:v>C003</x:v>
      </x:c>
    </x:row>
    <x:row r="176" ht="67.5" customHeight="1">
      <x:c r="A176" s="11" t="n">
        <x:v>171</x:v>
      </x:c>
      <x:c r="B176" s="11" t="str">
        <x:v>C004</x:v>
      </x:c>
      <x:c r="C176" s="11" t="str">
        <x:v>Lãnh sự danh dự</x:v>
      </x:c>
      <x:c r="D176" s="11" t="str">
        <x:v>Honorary Consul</x:v>
      </x:c>
      <x:c r="E176" s="11" t="str">
        <x:v>명예영사</x:v>
      </x:c>
      <x:c r="F176" s="11" t="str">
        <x:v>Honorary Consul</x:v>
      </x:c>
      <x:c r="G176" s="38" t="str">
        <x:v>Trùng biểu thức Anh</x:v>
      </x:c>
      <x:c r="H176" s="39" t="str">
        <x:v>Xác nhận — cùng biểu thức Anh</x:v>
      </x:c>
      <x:c r="I176" s="11" t="str">
        <x:v>Cùng chức danh lãnh sự danh dự được xác nhận độc lập ở mỗi đường mapping.</x:v>
      </x:c>
      <x:c r="J176" s="11" t="str">
        <x:v>Đối dịch tường minh trong nguồn</x:v>
      </x:c>
      <x:c r="K176" s="37" t="str">
        <x:v>EB142
Nguồn kiểm tra, dòng 786</x:v>
      </x:c>
      <x:c r="L176" s="11" t="str">
        <x:v>Đối chiếu văn bản song song</x:v>
      </x:c>
      <x:c r="M176" s="37" t="str">
        <x:v>EB143
Nguồn kiểm tra, dòng 787</x:v>
      </x:c>
      <x:c r="N176" s="11" t="str">
        <x:v>Lãnh sự danh dự Việt Nam tại …</x:v>
      </x:c>
      <x:c r="O176" s="11" t="str">
        <x:v>명예영사</x:v>
      </x:c>
      <x:c r="P176" s="11" t="str">
        <x:v>Người được bổ nhiệm làm lãnh sự theo chế độ danh dự, không thuộc ngạch lãnh sự chuyên nghiệp.</x:v>
      </x:c>
      <x:c r="Q176" s="11" t="str">
        <x:v>Người được bổ nhiệm làm lãnh sự theo chế độ danh dự, không thuộc ngạch lãnh sự chuyên nghiệp.</x:v>
      </x:c>
      <x:c r="R176" s="11" t="str">
        <x:v>N1</x:v>
      </x:c>
      <x:c r="S176" s="11" t="str">
        <x:v>Giữ làm đơn vị nghiên cứu</x:v>
      </x:c>
      <x:c r="T176" s="11" t="str">
        <x:v>C004</x:v>
      </x:c>
    </x:row>
    <x:row r="177" ht="67.5" customHeight="1">
      <x:c r="A177" s="11" t="n">
        <x:v>172</x:v>
      </x:c>
      <x:c r="B177" s="11" t="str">
        <x:v>C006</x:v>
      </x:c>
      <x:c r="C177" s="11" t="str">
        <x:v>Đại biện</x:v>
      </x:c>
      <x:c r="D177" s="40" t="str">
        <x:v>chargé d’affaires *</x:v>
      </x:c>
      <x:c r="E177" s="11" t="str">
        <x:v>대리대사</x:v>
      </x:c>
      <x:c r="F177" s="40" t="str">
        <x:v>chargé d’affaires *</x:v>
      </x:c>
      <x:c r="G177" s="40" t="str">
        <x:v>Chưa đủ hai nguồn để so khớp</x:v>
      </x:c>
      <x:c r="H177" s="41" t="str">
        <x:v>Chưa đủ căn cứ đối chiếu</x:v>
      </x:c>
      <x:c r="I177" s="11" t="str">
        <x:v>Đại biện và 대리대사 có thể bao gồm cách dùng thường nhiệm hoặc thay đại sứ tạm thời. Chưa xác minh hai mapping sơ cấp; không tự cho đồng nghĩa với chargé d’affaires ad interim.</x:v>
      </x:c>
      <x:c r="J177" s="11" t="str">
        <x:v>* Đề xuất để tiếp tục tra cứu</x:v>
      </x:c>
      <x:c r="K177" s="11" t="str">
        <x:v>Chưa có nguồn ánh xạ</x:v>
      </x:c>
      <x:c r="L177" s="11" t="str">
        <x:v>* Đề xuất để tiếp tục tra cứu</x:v>
      </x:c>
      <x:c r="M177" s="11" t="str">
        <x:v>Chưa có nguồn ánh xạ</x:v>
      </x:c>
      <x:c r="N177" s="11" t="str">
        <x:v>Đại biện</x:v>
      </x:c>
      <x:c r="O177" s="11" t="str">
        <x:v>대리대사</x:v>
      </x:c>
      <x:c r="P177" s="11" t="str">
        <x:v>Người đứng đầu cơ quan đại diện ngoại giao thuộc cấp đại biện, được cử bên cạnh Bộ trưởng Ngoại giao nước tiếp nhận.</x:v>
      </x:c>
      <x:c r="Q177" s="11" t="str">
        <x:v>Người đứng đầu cơ quan đại diện ngoại giao thuộc cấp đại biện, được cử bên cạnh Bộ trưởng Ngoại giao nước tiếp nhận.</x:v>
      </x:c>
      <x:c r="R177" s="11" t="str">
        <x:v>N1</x:v>
      </x:c>
      <x:c r="S177" s="11" t="str">
        <x:v>Giữ làm đơn vị nghiên cứu</x:v>
      </x:c>
      <x:c r="T177" s="11" t="str">
        <x:v>C006</x:v>
      </x:c>
    </x:row>
    <x:row r="178" ht="67.5" customHeight="1">
      <x:c r="A178" s="11" t="n">
        <x:v>173</x:v>
      </x:c>
      <x:c r="B178" s="11" t="str">
        <x:v>C007</x:v>
      </x:c>
      <x:c r="C178" s="11" t="str">
        <x:v>Đại biện lâm thời</x:v>
      </x:c>
      <x:c r="D178" s="40" t="str">
        <x:v>chargé d’affaires ad interim *</x:v>
      </x:c>
      <x:c r="E178" s="11" t="str">
        <x:v>임시대리대사</x:v>
      </x:c>
      <x:c r="F178" s="40" t="str">
        <x:v>chargé d’affaires ad interim *</x:v>
      </x:c>
      <x:c r="G178" s="40" t="str">
        <x:v>Chưa đủ hai nguồn để so khớp</x:v>
      </x:c>
      <x:c r="H178" s="41" t="str">
        <x:v>Chưa đủ căn cứ đối chiếu</x:v>
      </x:c>
      <x:c r="I178" s="11" t="str">
        <x:v>Cần giữ nét lâm thời/ad interim. Đã tìm có giới hạn nhưng chưa xác minh nguồn mapping sơ cấp hai phía; nguồn báo mô tả hoặc Wikidata không được dùng làm chứng cứ xác nhận.</x:v>
      </x:c>
      <x:c r="J178" s="11" t="str">
        <x:v>* Đề xuất để tiếp tục tra cứu</x:v>
      </x:c>
      <x:c r="K178" s="11" t="str">
        <x:v>Chưa có nguồn ánh xạ</x:v>
      </x:c>
      <x:c r="L178" s="11" t="str">
        <x:v>* Đề xuất để tiếp tục tra cứu</x:v>
      </x:c>
      <x:c r="M178" s="11" t="str">
        <x:v>Chưa có nguồn ánh xạ</x:v>
      </x:c>
      <x:c r="N178" s="11" t="str">
        <x:v>Đại biện lâm thời</x:v>
      </x:c>
      <x:c r="O178" s="11" t="str">
        <x:v>임시대리대사</x:v>
      </x:c>
      <x:c r="P178" s="11" t="str">
        <x:v>Người tạm thời điều hành cơ quan đại diện ngoại giao khi vị trí người đứng đầu khuyết hoặc người đứng đầu không thể làm nhiệm vụ.</x:v>
      </x:c>
      <x:c r="Q178" s="11" t="str">
        <x:v>Người tạm thời điều hành cơ quan đại diện ngoại giao khi vị trí người đứng đầu khuyết hoặc người đứng đầu không thể làm nhiệm vụ.</x:v>
      </x:c>
      <x:c r="R178" s="11" t="str">
        <x:v>N1</x:v>
      </x:c>
      <x:c r="S178" s="11" t="str">
        <x:v>Giữ làm đơn vị nghiên cứu</x:v>
      </x:c>
      <x:c r="T178" s="11" t="str">
        <x:v>C007</x:v>
      </x:c>
    </x:row>
    <x:row r="179" ht="87" customHeight="1">
      <x:c r="A179" s="11" t="n">
        <x:v>174</x:v>
      </x:c>
      <x:c r="B179" s="11" t="str">
        <x:v>C009</x:v>
      </x:c>
      <x:c r="C179" s="11" t="str">
        <x:v>Trưởng đại diện</x:v>
      </x:c>
      <x:c r="D179" s="40" t="str">
        <x:v>head of representative office *</x:v>
      </x:c>
      <x:c r="E179" s="11" t="str">
        <x:v>상주대표</x:v>
      </x:c>
      <x:c r="F179" s="11" t="str">
        <x:v>Permanent Representative</x:v>
      </x:c>
      <x:c r="G179" s="44" t="str">
        <x:v>Khác biểu thức / phạm vi</x:v>
      </x:c>
      <x:c r="H179" s="45" t="str">
        <x:v>Lệch nghĩa / phạm vi</x:v>
      </x:c>
      <x:c r="I179" s="11" t="str">
        <x:v>Nhãn Việt Trưởng đại diện chưa chứa nét thường trú. Nguồn Hàn xác nhận Permanent Representative, còn bản dịch Việt–Anh chỉ là đề xuất. Chưa được tự đổi nhãn Việt thành Đại diện thường trực; cần corpus để xác định liệu hai nhãn gọi cùng chức vụ.</x:v>
      </x:c>
      <x:c r="J179" s="11" t="str">
        <x:v>* Đề xuất để tiếp tục tra cứu</x:v>
      </x:c>
      <x:c r="K179" s="11" t="str">
        <x:v>Chưa có nguồn ánh xạ</x:v>
      </x:c>
      <x:c r="L179" s="11" t="str">
        <x:v>Đối dịch tường minh trong nguồn</x:v>
      </x:c>
      <x:c r="M179" s="37" t="str">
        <x:v>EB144
Nguồn kiểm tra, dòng 788</x:v>
      </x:c>
      <x:c r="N179" s="11" t="str">
        <x:v>Trưởng đại diện</x:v>
      </x:c>
      <x:c r="O179" s="11" t="str">
        <x:v>상주대표</x:v>
      </x:c>
      <x:c r="P179" s="11" t="str">
        <x:v>Người đứng đầu một cơ quan hoặc bộ phận đại diện; bản thân cụm từ chưa xác định tính thường trú hay tổ chức tiếp nhận.</x:v>
      </x:c>
      <x:c r="Q179" s="11" t="str">
        <x:v>Người đứng đầu một cơ quan hoặc bộ phận đại diện; bản thân cụm từ chưa xác định tính thường trú hay tổ chức tiếp nhận.</x:v>
      </x:c>
      <x:c r="R179" s="11" t="str">
        <x:v>N1</x:v>
      </x:c>
      <x:c r="S179" s="11" t="str">
        <x:v>Cần xem xét tư cách/phạm vi</x:v>
      </x:c>
      <x:c r="T179" s="11" t="str">
        <x:v>C009</x:v>
      </x:c>
    </x:row>
    <x:row r="180" ht="67.5" customHeight="1">
      <x:c r="A180" s="11" t="n">
        <x:v>175</x:v>
      </x:c>
      <x:c r="B180" s="11" t="str">
        <x:v>C010</x:v>
      </x:c>
      <x:c r="C180" s="11" t="str">
        <x:v>trưởng đoàn</x:v>
      </x:c>
      <x:c r="D180" s="40" t="str">
        <x:v>head of delegation *</x:v>
      </x:c>
      <x:c r="E180" s="11" t="str">
        <x:v>대표단장</x:v>
      </x:c>
      <x:c r="F180" s="40" t="str">
        <x:v>head of delegation *</x:v>
      </x:c>
      <x:c r="G180" s="40" t="str">
        <x:v>Chưa đủ hai nguồn để so khớp</x:v>
      </x:c>
      <x:c r="H180" s="41" t="str">
        <x:v>Chưa đủ căn cứ đối chiếu</x:v>
      </x:c>
      <x:c r="I180" s="11" t="str">
        <x:v>Head of delegation là đề xuất theo vai trò; trưởng đoàn rộng hơn 대표단장 nếu không khóa đoàn đại biểu. Cách dùng đơn ngữ MOFA trước đây chưa đủ nối sang Anh.</x:v>
      </x:c>
      <x:c r="J180" s="11" t="str">
        <x:v>* Đề xuất để tiếp tục tra cứu</x:v>
      </x:c>
      <x:c r="K180" s="11" t="str">
        <x:v>Chưa có nguồn ánh xạ</x:v>
      </x:c>
      <x:c r="L180" s="11" t="str">
        <x:v>* Đề xuất để tiếp tục tra cứu</x:v>
      </x:c>
      <x:c r="M180" s="11" t="str">
        <x:v>Chưa có nguồn ánh xạ</x:v>
      </x:c>
      <x:c r="N180" s="11" t="str">
        <x:v>trưởng đoàn</x:v>
      </x:c>
      <x:c r="O180" s="11" t="str">
        <x:v>대표단장</x:v>
      </x:c>
      <x:c r="P180" s="11" t="str">
        <x:v>Trong ngữ cảnh đối ngoại, người được giao đứng đầu và đại diện cho một đoàn đại biểu khi thực hiện nhiệm vụ.</x:v>
      </x:c>
      <x:c r="Q180" s="11" t="str">
        <x:v>Trong ngữ cảnh đối ngoại, người được giao đứng đầu và đại diện cho một đoàn đại biểu khi thực hiện nhiệm vụ.</x:v>
      </x:c>
      <x:c r="R180" s="11" t="str">
        <x:v>N1</x:v>
      </x:c>
      <x:c r="S180" s="11" t="str">
        <x:v>Giữ làm đơn vị nghiên cứu</x:v>
      </x:c>
      <x:c r="T180" s="11" t="str">
        <x:v>C010</x:v>
      </x:c>
    </x:row>
    <x:row r="181" ht="72" customHeight="1">
      <x:c r="A181" s="11" t="n">
        <x:v>176</x:v>
      </x:c>
      <x:c r="B181" s="11" t="str">
        <x:v>C012</x:v>
      </x:c>
      <x:c r="C181" s="11" t="str">
        <x:v>thượng nghị sĩ</x:v>
      </x:c>
      <x:c r="D181" s="11" t="str">
        <x:v>senator</x:v>
      </x:c>
      <x:c r="E181" s="11" t="str">
        <x:v>상원의원</x:v>
      </x:c>
      <x:c r="F181" s="11" t="str">
        <x:v>senator</x:v>
      </x:c>
      <x:c r="G181" s="40" t="str">
        <x:v>Trùng biểu thức Anh</x:v>
      </x:c>
      <x:c r="H181" s="41" t="str">
        <x:v>Có điều kiện — chưa chốt</x:v>
      </x:c>
      <x:c r="I181" s="11" t="str">
        <x:v>Hai từ điển cùng dùng senator, nhưng định nghĩa Hàn dẫn trường hợp được bầu. Khi corpus nói nghị sĩ được bổ nhiệm hoặc chức danh đặc thù quốc gia, cần kiểm tra thêm. Không trộn nghĩa nghị viện La Mã.</x:v>
      </x:c>
      <x:c r="J181" s="11" t="str">
        <x:v>Đối dịch trong từ điển</x:v>
      </x:c>
      <x:c r="K181" s="37" t="str">
        <x:v>EB145
Nguồn kiểm tra, dòng 789</x:v>
      </x:c>
      <x:c r="L181" s="11" t="str">
        <x:v>Đối dịch trong từ điển</x:v>
      </x:c>
      <x:c r="M181" s="37" t="str">
        <x:v>EB146
Nguồn kiểm tra, dòng 790</x:v>
      </x:c>
      <x:c r="N181" s="11" t="str">
        <x:v>thượng nghị sĩ</x:v>
      </x:c>
      <x:c r="O181" s="11" t="str">
        <x:v>상원의원</x:v>
      </x:c>
      <x:c r="P181" s="11" t="str">
        <x:v>Người là thành viên Thượng viện.</x:v>
      </x:c>
      <x:c r="Q181" s="11" t="str">
        <x:v>Người là thành viên Thượng viện.</x:v>
      </x:c>
      <x:c r="R181" s="11" t="str">
        <x:v>N1</x:v>
      </x:c>
      <x:c r="S181" s="11" t="str">
        <x:v>Giữ làm đơn vị nghiên cứu</x:v>
      </x:c>
      <x:c r="T181" s="11" t="str">
        <x:v>C012</x:v>
      </x:c>
    </x:row>
    <x:row r="182" ht="72" customHeight="1">
      <x:c r="A182" s="11" t="n">
        <x:v>177</x:v>
      </x:c>
      <x:c r="B182" s="11" t="str">
        <x:v>C013</x:v>
      </x:c>
      <x:c r="C182" s="11" t="str">
        <x:v>Chủ tịch Hạ viện</x:v>
      </x:c>
      <x:c r="D182" s="40" t="str">
        <x:v>Speaker of the House of Representatives *</x:v>
      </x:c>
      <x:c r="E182" s="11" t="str">
        <x:v>하원의장</x:v>
      </x:c>
      <x:c r="F182" s="40" t="str">
        <x:v>Speaker of the House of Representatives *</x:v>
      </x:c>
      <x:c r="G182" s="40" t="str">
        <x:v>Chưa đủ hai nguồn để so khớp</x:v>
      </x:c>
      <x:c r="H182" s="41" t="str">
        <x:v>Chưa đủ căn cứ đối chiếu</x:v>
      </x:c>
      <x:c r="I182" s="11" t="str">
        <x:v>Tên Anh Speaker of the House of Representatives chỉ là một cách theo thể chế. Có thể là Speaker of the House of Commons hoặc President of the lower house; cần tên nghị viện/quốc gia.</x:v>
      </x:c>
      <x:c r="J182" s="11" t="str">
        <x:v>* Đề xuất để tiếp tục tra cứu</x:v>
      </x:c>
      <x:c r="K182" s="11" t="str">
        <x:v>Chưa có nguồn ánh xạ</x:v>
      </x:c>
      <x:c r="L182" s="11" t="str">
        <x:v>* Đề xuất để tiếp tục tra cứu</x:v>
      </x:c>
      <x:c r="M182" s="11" t="str">
        <x:v>Chưa có nguồn ánh xạ</x:v>
      </x:c>
      <x:c r="N182" s="11" t="str">
        <x:v>Chủ tịch Hạ viện</x:v>
      </x:c>
      <x:c r="O182" s="11" t="str">
        <x:v>하원의장</x:v>
      </x:c>
      <x:c r="P182" s="11" t="str">
        <x:v>Người giữ chức danh chủ trì hoạt động của Hạ viện.</x:v>
      </x:c>
      <x:c r="Q182" s="11" t="str">
        <x:v>Người giữ chức danh chủ trì hoạt động của Hạ viện.</x:v>
      </x:c>
      <x:c r="R182" s="11" t="str">
        <x:v>N1</x:v>
      </x:c>
      <x:c r="S182" s="11" t="str">
        <x:v>Giữ làm đơn vị nghiên cứu</x:v>
      </x:c>
      <x:c r="T182" s="11" t="str">
        <x:v>C013</x:v>
      </x:c>
    </x:row>
    <x:row r="183" ht="67.5" customHeight="1">
      <x:c r="A183" s="11" t="n">
        <x:v>178</x:v>
      </x:c>
      <x:c r="B183" s="11" t="str">
        <x:v>C014</x:v>
      </x:c>
      <x:c r="C183" s="11" t="str">
        <x:v>Chủ tịch Thượng viện</x:v>
      </x:c>
      <x:c r="D183" s="40" t="str">
        <x:v>President of the Senate *</x:v>
      </x:c>
      <x:c r="E183" s="11" t="str">
        <x:v>상원의장</x:v>
      </x:c>
      <x:c r="F183" s="40" t="str">
        <x:v>President of the Senate *</x:v>
      </x:c>
      <x:c r="G183" s="40" t="str">
        <x:v>Chưa đủ hai nguồn để so khớp</x:v>
      </x:c>
      <x:c r="H183" s="41" t="str">
        <x:v>Chưa đủ căn cứ đối chiếu</x:v>
      </x:c>
      <x:c r="I183" s="11" t="str">
        <x:v>Tên Anh President of the Senate phụ thuộc thể chế; có nơi dùng Speaker hoặc chức danh khác. Chưa có nguồn ánh xạ độc lập cho hai phía.</x:v>
      </x:c>
      <x:c r="J183" s="11" t="str">
        <x:v>* Đề xuất để tiếp tục tra cứu</x:v>
      </x:c>
      <x:c r="K183" s="11" t="str">
        <x:v>Chưa có nguồn ánh xạ</x:v>
      </x:c>
      <x:c r="L183" s="11" t="str">
        <x:v>* Đề xuất để tiếp tục tra cứu</x:v>
      </x:c>
      <x:c r="M183" s="11" t="str">
        <x:v>Chưa có nguồn ánh xạ</x:v>
      </x:c>
      <x:c r="N183" s="11" t="str">
        <x:v>Chủ tịch Thượng viện</x:v>
      </x:c>
      <x:c r="O183" s="11" t="str">
        <x:v>상원의장</x:v>
      </x:c>
      <x:c r="P183" s="11" t="str">
        <x:v>Người giữ chức danh chủ trì hoạt động của Thượng viện, với quyền hạn tùy thể chế.</x:v>
      </x:c>
      <x:c r="Q183" s="11" t="str">
        <x:v>Người giữ chức danh chủ trì hoạt động của Thượng viện, với quyền hạn tùy thể chế.</x:v>
      </x:c>
      <x:c r="R183" s="11" t="str">
        <x:v>N1</x:v>
      </x:c>
      <x:c r="S183" s="11" t="str">
        <x:v>Giữ làm đơn vị nghiên cứu</x:v>
      </x:c>
      <x:c r="T183" s="11" t="str">
        <x:v>C014</x:v>
      </x:c>
    </x:row>
    <x:row r="184" ht="67.5" customHeight="1">
      <x:c r="A184" s="11" t="n">
        <x:v>179</x:v>
      </x:c>
      <x:c r="B184" s="11" t="str">
        <x:v>C015</x:v>
      </x:c>
      <x:c r="C184" s="11" t="str">
        <x:v>Quốc vương</x:v>
      </x:c>
      <x:c r="D184" s="40" t="str">
        <x:v>king *</x:v>
      </x:c>
      <x:c r="E184" s="11" t="str">
        <x:v>국왕</x:v>
      </x:c>
      <x:c r="F184" s="40" t="str">
        <x:v>king *</x:v>
      </x:c>
      <x:c r="G184" s="40" t="str">
        <x:v>Chưa đủ hai nguồn để so khớp</x:v>
      </x:c>
      <x:c r="H184" s="41" t="str">
        <x:v>Chưa đủ căn cứ đối chiếu</x:v>
      </x:c>
      <x:c r="I184" s="11" t="str">
        <x:v>Không dùng mục từ king↔왕 hay 제왕 để xác nhận toàn nhãn 국왕. Tài liệu KOTRA trước đây mới là mô tả đơn ngữ; cả hai bản Anh vẫn đề xuất.</x:v>
      </x:c>
      <x:c r="J184" s="11" t="str">
        <x:v>* Đề xuất để tiếp tục tra cứu</x:v>
      </x:c>
      <x:c r="K184" s="11" t="str">
        <x:v>Chưa có nguồn ánh xạ</x:v>
      </x:c>
      <x:c r="L184" s="11" t="str">
        <x:v>* Đề xuất để tiếp tục tra cứu</x:v>
      </x:c>
      <x:c r="M184" s="11" t="str">
        <x:v>Chưa có nguồn ánh xạ</x:v>
      </x:c>
      <x:c r="N184" s="11" t="str">
        <x:v>Quốc vương</x:v>
      </x:c>
      <x:c r="O184" s="11" t="str">
        <x:v>국왕</x:v>
      </x:c>
      <x:c r="P184" s="11" t="str">
        <x:v>Danh hiệu người đứng đầu một vương quốc theo chế độ quân chủ; quyền hạn cụ thể phụ thuộc thể chế của quốc gia đó.</x:v>
      </x:c>
      <x:c r="Q184" s="11" t="str">
        <x:v>Danh hiệu người đứng đầu một vương quốc theo chế độ quân chủ; quyền hạn cụ thể phụ thuộc thể chế của quốc gia đó.</x:v>
      </x:c>
      <x:c r="R184" s="11" t="str">
        <x:v>N1</x:v>
      </x:c>
      <x:c r="S184" s="11" t="str">
        <x:v>Giữ làm đơn vị nghiên cứu</x:v>
      </x:c>
      <x:c r="T184" s="11" t="str">
        <x:v>C015</x:v>
      </x:c>
    </x:row>
    <x:row r="185" ht="72" customHeight="1">
      <x:c r="A185" s="11" t="n">
        <x:v>180</x:v>
      </x:c>
      <x:c r="B185" s="11" t="str">
        <x:v>C016</x:v>
      </x:c>
      <x:c r="C185" s="11" t="str">
        <x:v>Cố vấn An ninh Quốc gia</x:v>
      </x:c>
      <x:c r="D185" s="40" t="str">
        <x:v>National Security Advisor *</x:v>
      </x:c>
      <x:c r="E185" s="11" t="str">
        <x:v>국가안보보좌관</x:v>
      </x:c>
      <x:c r="F185" s="40" t="str">
        <x:v>National Security Advisor *</x:v>
      </x:c>
      <x:c r="G185" s="40" t="str">
        <x:v>Chưa đủ hai nguồn để so khớp</x:v>
      </x:c>
      <x:c r="H185" s="41" t="str">
        <x:v>Chưa đủ căn cứ đối chiếu</x:v>
      </x:c>
      <x:c r="I185" s="11" t="str">
        <x:v>Nguồn White House mô tả National Security Advisor bằng Anh chỉ xác nhận khái niệm. Thông cáo MOFA Hàn dùng 국가안보보좌관 nhưng chưa đọc bản Anh song song trong lượt này; chưa có đường Việt–Anh độc lập.</x:v>
      </x:c>
      <x:c r="J185" s="11" t="str">
        <x:v>* Đề xuất để tiếp tục tra cứu</x:v>
      </x:c>
      <x:c r="K185" s="11" t="str">
        <x:v>Chưa có nguồn ánh xạ</x:v>
      </x:c>
      <x:c r="L185" s="11" t="str">
        <x:v>* Đề xuất để tiếp tục tra cứu</x:v>
      </x:c>
      <x:c r="M185" s="11" t="str">
        <x:v>Chưa có nguồn ánh xạ</x:v>
      </x:c>
      <x:c r="N185" s="11" t="str">
        <x:v>Cố vấn An ninh Quốc gia</x:v>
      </x:c>
      <x:c r="O185" s="11" t="str">
        <x:v>국가안보보좌관</x:v>
      </x:c>
      <x:c r="P185" s="11" t="str">
        <x:v>Trong cơ cấu Hoa Kỳ được đối chiếu, chức danh trợ lý Tổng thống về an ninh quốc gia, có nhiệm vụ tham mưu và điều phối công việc của Hội đồng An ninh Quốc gia theo chỉ đạo của Tổng thống.</x:v>
      </x:c>
      <x:c r="Q185" s="11" t="str">
        <x:v>Trong cơ cấu Hoa Kỳ được đối chiếu, chức danh trợ lý Tổng thống về an ninh quốc gia, có nhiệm vụ tham mưu và điều phối công việc của Hội đồng An ninh Quốc gia theo chỉ đạo của Tổng thống.</x:v>
      </x:c>
      <x:c r="R185" s="11" t="str">
        <x:v>N1</x:v>
      </x:c>
      <x:c r="S185" s="11" t="str">
        <x:v>Giữ làm đơn vị nghiên cứu</x:v>
      </x:c>
      <x:c r="T185" s="11" t="str">
        <x:v>C016</x:v>
      </x:c>
    </x:row>
    <x:row r="186" ht="67.5" customHeight="1">
      <x:c r="A186" s="11" t="n">
        <x:v>181</x:v>
      </x:c>
      <x:c r="B186" s="11" t="str">
        <x:v>C019</x:v>
      </x:c>
      <x:c r="C186" s="11" t="str">
        <x:v>tổ chức quốc tế</x:v>
      </x:c>
      <x:c r="D186" s="40" t="str">
        <x:v>international organization *</x:v>
      </x:c>
      <x:c r="E186" s="11" t="str">
        <x:v>국제기구</x:v>
      </x:c>
      <x:c r="F186" s="40" t="str">
        <x:v>international organization *</x:v>
      </x:c>
      <x:c r="G186" s="40" t="str">
        <x:v>Chưa đủ hai nguồn để so khớp</x:v>
      </x:c>
      <x:c r="H186" s="41" t="str">
        <x:v>Ứng viên — còn thiếu chứng cứ</x:v>
      </x:c>
      <x:c r="I186" s="11" t="str">
        <x:v>Khóa nghĩa liên chính phủ hay nghĩa rộng gồm tổ chức phi chính phủ trước khi chọn international organization; giống tên Anh không bảo đảm cùng phạm vi.</x:v>
      </x:c>
      <x:c r="J186" s="11" t="str">
        <x:v>* Đề xuất để tiếp tục tra cứu</x:v>
      </x:c>
      <x:c r="K186" s="11" t="str">
        <x:v>Chưa có nguồn ánh xạ</x:v>
      </x:c>
      <x:c r="L186" s="11" t="str">
        <x:v>* Đề xuất để tiếp tục tra cứu</x:v>
      </x:c>
      <x:c r="M186" s="11" t="str">
        <x:v>Chưa có nguồn ánh xạ</x:v>
      </x:c>
      <x:c r="N186" s="11" t="str">
        <x:v>tổ chức quốc tế</x:v>
      </x:c>
      <x:c r="O186" s="11" t="str">
        <x:v>국제기구</x:v>
      </x:c>
      <x:c r="P186" s="11" t="str">
        <x:v>Tổ chức được thiết lập bằng điều ước hoặc văn kiện chịu sự điều chỉnh của luật quốc tế và có tư cách pháp nhân quốc tế riêng.</x:v>
      </x:c>
      <x:c r="Q186" s="11" t="str">
        <x:v>Tổ chức được thiết lập bằng điều ước hoặc văn kiện chịu sự điều chỉnh của luật quốc tế và có tư cách pháp nhân quốc tế riêng.</x:v>
      </x:c>
      <x:c r="R186" s="11" t="str">
        <x:v>N2</x:v>
      </x:c>
      <x:c r="S186" s="11" t="str">
        <x:v>Giữ làm đơn vị nghiên cứu</x:v>
      </x:c>
      <x:c r="T186" s="11" t="str">
        <x:v>C019</x:v>
      </x:c>
    </x:row>
    <x:row r="187" ht="67.5" customHeight="1">
      <x:c r="A187" s="11" t="n">
        <x:v>182</x:v>
      </x:c>
      <x:c r="B187" s="11" t="str">
        <x:v>C020</x:v>
      </x:c>
      <x:c r="C187" s="11" t="str">
        <x:v>tổ chức phi Chính phủ</x:v>
      </x:c>
      <x:c r="D187" s="40" t="str">
        <x:v>non-governmental organization *</x:v>
      </x:c>
      <x:c r="E187" s="11" t="str">
        <x:v>비정부기구</x:v>
      </x:c>
      <x:c r="F187" s="40" t="str">
        <x:v>non-governmental organization *</x:v>
      </x:c>
      <x:c r="G187" s="40" t="str">
        <x:v>Chưa đủ hai nguồn để so khớp</x:v>
      </x:c>
      <x:c r="H187" s="41" t="str">
        <x:v>Ứng viên — còn thiếu chứng cứ</x:v>
      </x:c>
      <x:c r="I187" s="11" t="str">
        <x:v>Không tự thêm foreign/international vào non-governmental organization; tên Việt và Hàn đầu vào chưa mã hóa hai nét này.</x:v>
      </x:c>
      <x:c r="J187" s="11" t="str">
        <x:v>* Đề xuất để tiếp tục tra cứu</x:v>
      </x:c>
      <x:c r="K187" s="11" t="str">
        <x:v>Chưa có nguồn ánh xạ</x:v>
      </x:c>
      <x:c r="L187" s="11" t="str">
        <x:v>* Đề xuất để tiếp tục tra cứu</x:v>
      </x:c>
      <x:c r="M187" s="11" t="str">
        <x:v>Chưa có nguồn ánh xạ</x:v>
      </x:c>
      <x:c r="N187" s="11" t="str">
        <x:v>tổ chức phi Chính phủ</x:v>
      </x:c>
      <x:c r="O187" s="11" t="str">
        <x:v>비정부기구</x:v>
      </x:c>
      <x:c r="P187" s="11" t="str">
        <x:v>Tổ chức tự nguyện, phi lợi nhuận của người dân, hoạt động ở cấp địa phương, quốc gia hoặc quốc tế.</x:v>
      </x:c>
      <x:c r="Q187" s="11" t="str">
        <x:v>Tổ chức tự nguyện, phi lợi nhuận của người dân, hoạt động ở cấp địa phương, quốc gia hoặc quốc tế.</x:v>
      </x:c>
      <x:c r="R187" s="11" t="str">
        <x:v>N2</x:v>
      </x:c>
      <x:c r="S187" s="11" t="str">
        <x:v>Giữ làm đơn vị nghiên cứu</x:v>
      </x:c>
      <x:c r="T187" s="11" t="str">
        <x:v>C020</x:v>
      </x:c>
    </x:row>
    <x:row r="188" ht="67.5" customHeight="1">
      <x:c r="A188" s="11" t="n">
        <x:v>183</x:v>
      </x:c>
      <x:c r="B188" s="11" t="str">
        <x:v>C021</x:v>
      </x:c>
      <x:c r="C188" s="11" t="str">
        <x:v>chính đảng</x:v>
      </x:c>
      <x:c r="D188" s="40" t="str">
        <x:v>political party *</x:v>
      </x:c>
      <x:c r="E188" s="11" t="str">
        <x:v>정당</x:v>
      </x:c>
      <x:c r="F188" s="11" t="str">
        <x:v>political party</x:v>
      </x:c>
      <x:c r="G188" s="40" t="str">
        <x:v>Chưa đủ hai nguồn để so khớp</x:v>
      </x:c>
      <x:c r="H188" s="41" t="str">
        <x:v>Ứng viên — còn thiếu chứng cứ</x:v>
      </x:c>
      <x:c r="I188" s="11" t="str">
        <x:v>Giữ nguyên biểu thức đầu vào. Chỉ tên tiếng Anh dự kiến; cần xác nhận riêng mỗi nhánh.</x:v>
      </x:c>
      <x:c r="J188" s="11" t="str">
        <x:v>* Đề xuất để tiếp tục tra cứu</x:v>
      </x:c>
      <x:c r="K188" s="11" t="str">
        <x:v>Chưa có nguồn ánh xạ</x:v>
      </x:c>
      <x:c r="L188" s="11" t="str">
        <x:v>Đối dịch tường minh trong nguồn</x:v>
      </x:c>
      <x:c r="M188" s="37" t="str">
        <x:v>EB147
Nguồn kiểm tra, dòng 791</x:v>
      </x:c>
      <x:c r="N188" s="11" t="str">
        <x:v>chính đảng</x:v>
      </x:c>
      <x:c r="O188" s="11" t="str">
        <x:v>정당</x:v>
      </x:c>
      <x:c r="P188" s="11" t="str">
        <x:v>Tổ chức của những người có quan điểm chính trị chung, hướng tới nắm giữ quyền lực và thực hiện mục tiêu chính trị.</x:v>
      </x:c>
      <x:c r="Q188" s="11" t="str">
        <x:v>Tổ chức của những người có quan điểm chính trị chung, hướng tới nắm giữ quyền lực và thực hiện mục tiêu chính trị.</x:v>
      </x:c>
      <x:c r="R188" s="11" t="str">
        <x:v>N2</x:v>
      </x:c>
      <x:c r="S188" s="11" t="str">
        <x:v>Giữ làm đơn vị nghiên cứu</x:v>
      </x:c>
      <x:c r="T188" s="11" t="str">
        <x:v>C021</x:v>
      </x:c>
    </x:row>
    <x:row r="189" ht="67.5" customHeight="1">
      <x:c r="A189" s="11" t="n">
        <x:v>184</x:v>
      </x:c>
      <x:c r="B189" s="11" t="str">
        <x:v>C022</x:v>
      </x:c>
      <x:c r="C189" s="11" t="str">
        <x:v>Đảng cầm quyền</x:v>
      </x:c>
      <x:c r="D189" s="40" t="str">
        <x:v>ruling party *</x:v>
      </x:c>
      <x:c r="E189" s="11" t="str">
        <x:v>집권당</x:v>
      </x:c>
      <x:c r="F189" s="40" t="str">
        <x:v>ruling party *</x:v>
      </x:c>
      <x:c r="G189" s="40" t="str">
        <x:v>Chưa đủ hai nguồn để so khớp</x:v>
      </x:c>
      <x:c r="H189" s="41" t="str">
        <x:v>Ứng viên — còn thiếu chứng cứ</x:v>
      </x:c>
      <x:c r="I189" s="11" t="str">
        <x:v>Giữ nguyên biểu thức đầu vào. Chỉ tên tiếng Anh dự kiến; cần xác nhận riêng mỗi nhánh.</x:v>
      </x:c>
      <x:c r="J189" s="11" t="str">
        <x:v>* Đề xuất để tiếp tục tra cứu</x:v>
      </x:c>
      <x:c r="K189" s="11" t="str">
        <x:v>Chưa có nguồn ánh xạ</x:v>
      </x:c>
      <x:c r="L189" s="11" t="str">
        <x:v>* Đề xuất để tiếp tục tra cứu</x:v>
      </x:c>
      <x:c r="M189" s="11" t="str">
        <x:v>Chưa có nguồn ánh xạ</x:v>
      </x:c>
      <x:c r="N189" s="11" t="str">
        <x:v>Đảng cầm quyền</x:v>
      </x:c>
      <x:c r="O189" s="11" t="str">
        <x:v>집권당</x:v>
      </x:c>
      <x:c r="P189" s="11" t="str">
        <x:v>Chính đảng đang nắm và thực thi quyền lực cầm quyền trong một nhà nước.</x:v>
      </x:c>
      <x:c r="Q189" s="11" t="str">
        <x:v>Chính đảng đang nắm và thực thi quyền lực cầm quyền trong một nhà nước.</x:v>
      </x:c>
      <x:c r="R189" s="11" t="str">
        <x:v>N2</x:v>
      </x:c>
      <x:c r="S189" s="11" t="str">
        <x:v>Giữ làm đơn vị nghiên cứu</x:v>
      </x:c>
      <x:c r="T189" s="11" t="str">
        <x:v>C022</x:v>
      </x:c>
    </x:row>
    <x:row r="190" ht="67.5" customHeight="1">
      <x:c r="A190" s="11" t="n">
        <x:v>185</x:v>
      </x:c>
      <x:c r="B190" s="11" t="str">
        <x:v>C026</x:v>
      </x:c>
      <x:c r="C190" s="11" t="str">
        <x:v>tư pháp</x:v>
      </x:c>
      <x:c r="D190" s="40" t="str">
        <x:v>justice; judicial affairs (unqualified tư pháp) *</x:v>
      </x:c>
      <x:c r="E190" s="11" t="str">
        <x:v>사법부</x:v>
      </x:c>
      <x:c r="F190" s="11" t="str">
        <x:v>judiciary; judicature</x:v>
      </x:c>
      <x:c r="G190" s="44" t="str">
        <x:v>Khác biểu thức / phạm vi</x:v>
      </x:c>
      <x:c r="H190" s="45" t="str">
        <x:v>Lệch nghĩa / phạm vi</x:v>
      </x:c>
      <x:c r="I190" s="11" t="str">
        <x:v>사법부 chỉ nhánh/cơ quan tư pháp; tư pháp đứng riêng chưa có nét cơ quan. Cần câu gốc hoặc chuẩn hóa nhãn Việt thành ngành/nhánh tư pháp trước khi xét tương đương; không sửa ngầm.</x:v>
      </x:c>
      <x:c r="J190" s="11" t="str">
        <x:v>* Đề xuất để tiếp tục tra cứu</x:v>
      </x:c>
      <x:c r="K190" s="11" t="str">
        <x:v>Chưa có nguồn ánh xạ</x:v>
      </x:c>
      <x:c r="L190" s="11" t="str">
        <x:v>Đối dịch trong từ điển</x:v>
      </x:c>
      <x:c r="M190" s="37" t="str">
        <x:v>EB148
Nguồn kiểm tra, dòng 792</x:v>
      </x:c>
      <x:c r="N190" s="11" t="str">
        <x:v>tư pháp</x:v>
      </x:c>
      <x:c r="O190" s="11" t="str">
        <x:v>사법부</x:v>
      </x:c>
      <x:c r="P190" s="11" t="str">
        <x:v>Tư pháp đứng riêng có thể chỉ hoạt động/lĩnh vực; chưa đủ để chỉ một cơ quan hay toàn bộ nhánh tư pháp.</x:v>
      </x:c>
      <x:c r="Q190" s="11" t="str">
        <x:v>Ngành/nhánh cơ quan tư pháp, tức hệ thống xét xử.</x:v>
      </x:c>
      <x:c r="R190" s="11" t="str">
        <x:v>Cần xem xét</x:v>
      </x:c>
      <x:c r="S190" s="11" t="str">
        <x:v>Cần xem xét tư cách/phạm vi</x:v>
      </x:c>
      <x:c r="T190" s="11" t="str">
        <x:v>C026</x:v>
      </x:c>
    </x:row>
    <x:row r="191" ht="67.5" customHeight="1">
      <x:c r="A191" s="11" t="n">
        <x:v>186</x:v>
      </x:c>
      <x:c r="B191" s="11" t="str">
        <x:v>C031</x:v>
      </x:c>
      <x:c r="C191" s="11" t="str">
        <x:v>Tổng lãnh sự quán</x:v>
      </x:c>
      <x:c r="D191" s="11" t="str">
        <x:v>Consulate General</x:v>
      </x:c>
      <x:c r="E191" s="11" t="str">
        <x:v>총영사관</x:v>
      </x:c>
      <x:c r="F191" s="11" t="str">
        <x:v>Consulate General</x:v>
      </x:c>
      <x:c r="G191" s="38" t="str">
        <x:v>Trùng biểu thức Anh</x:v>
      </x:c>
      <x:c r="H191" s="39" t="str">
        <x:v>Xác nhận — cùng biểu thức Anh</x:v>
      </x:c>
      <x:c r="I191" s="11" t="str">
        <x:v>Cùng tên loại cơ quan lãnh sự. Nhánh Việt có trong danh xưng cơ quan và nhánh Hàn có trong bảng các loại cơ quan của luật; không xác nhận một tổng lãnh sự quán riêng.</x:v>
      </x:c>
      <x:c r="J191" s="11" t="str">
        <x:v>Đối dịch tường minh trong nguồn</x:v>
      </x:c>
      <x:c r="K191" s="37" t="str">
        <x:v>EB149
Nguồn kiểm tra, dòng 793</x:v>
      </x:c>
      <x:c r="L191" s="11" t="str">
        <x:v>Đối dịch tường minh trong nguồn</x:v>
      </x:c>
      <x:c r="M191" s="37" t="str">
        <x:v>EB150
Nguồn kiểm tra, dòng 794</x:v>
      </x:c>
      <x:c r="N191" s="11" t="str">
        <x:v>Tổng lãnh sự quán</x:v>
      </x:c>
      <x:c r="O191" s="11" t="str">
        <x:v>총영사관</x:v>
      </x:c>
      <x:c r="P191" s="11" t="str">
        <x:v>Cơ quan lãnh sự thuộc loại tổng lãnh sự quán, thực hiện nhiệm vụ lãnh sự tại địa bàn được giao.</x:v>
      </x:c>
      <x:c r="Q191" s="11" t="str">
        <x:v>Cơ quan lãnh sự thuộc loại tổng lãnh sự quán, thực hiện nhiệm vụ lãnh sự tại địa bàn được giao.</x:v>
      </x:c>
      <x:c r="R191" s="11" t="str">
        <x:v>N2</x:v>
      </x:c>
      <x:c r="S191" s="11" t="str">
        <x:v>Giữ làm đơn vị nghiên cứu</x:v>
      </x:c>
      <x:c r="T191" s="11" t="str">
        <x:v>C031</x:v>
      </x:c>
    </x:row>
    <x:row r="192" ht="67.5" customHeight="1">
      <x:c r="A192" s="11" t="n">
        <x:v>187</x:v>
      </x:c>
      <x:c r="B192" s="11" t="str">
        <x:v>C032</x:v>
      </x:c>
      <x:c r="C192" s="11" t="str">
        <x:v>cơ quan đại diện ngoại giao</x:v>
      </x:c>
      <x:c r="D192" s="40" t="str">
        <x:v>diplomatic mission *</x:v>
      </x:c>
      <x:c r="E192" s="11" t="str">
        <x:v>외교공관</x:v>
      </x:c>
      <x:c r="F192" s="40" t="str">
        <x:v>diplomatic mission *</x:v>
      </x:c>
      <x:c r="G192" s="40" t="str">
        <x:v>Chưa đủ hai nguồn để so khớp</x:v>
      </x:c>
      <x:c r="H192" s="41" t="str">
        <x:v>Ứng viên — còn thiếu chứng cứ</x:v>
      </x:c>
      <x:c r="I192" s="11" t="str">
        <x:v>Giữ nguyên biểu thức đầu vào. Chỉ tên tiếng Anh dự kiến; cần xác nhận riêng mỗi nhánh.</x:v>
      </x:c>
      <x:c r="J192" s="11" t="str">
        <x:v>* Đề xuất để tiếp tục tra cứu</x:v>
      </x:c>
      <x:c r="K192" s="11" t="str">
        <x:v>Chưa có nguồn ánh xạ</x:v>
      </x:c>
      <x:c r="L192" s="11" t="str">
        <x:v>* Đề xuất để tiếp tục tra cứu</x:v>
      </x:c>
      <x:c r="M192" s="11" t="str">
        <x:v>Chưa có nguồn ánh xạ</x:v>
      </x:c>
      <x:c r="N192" s="11" t="str">
        <x:v>cơ quan đại diện ngoại giao</x:v>
      </x:c>
      <x:c r="O192" s="11" t="str">
        <x:v>외교공관</x:v>
      </x:c>
      <x:c r="P192" s="11" t="str">
        <x:v>Cơ quan của quốc gia cử tại nước tiếp nhận để đại diện, trao đổi và thực hiện chức năng ngoại giao.</x:v>
      </x:c>
      <x:c r="Q192" s="11" t="str">
        <x:v>Cơ quan của quốc gia cử tại nước tiếp nhận để đại diện, trao đổi và thực hiện chức năng ngoại giao.</x:v>
      </x:c>
      <x:c r="R192" s="11" t="str">
        <x:v>N2</x:v>
      </x:c>
      <x:c r="S192" s="11" t="str">
        <x:v>Giữ làm đơn vị nghiên cứu</x:v>
      </x:c>
      <x:c r="T192" s="11" t="str">
        <x:v>C032</x:v>
      </x:c>
    </x:row>
    <x:row r="193" ht="67.5" customHeight="1">
      <x:c r="A193" s="11" t="n">
        <x:v>188</x:v>
      </x:c>
      <x:c r="B193" s="11" t="str">
        <x:v>C034</x:v>
      </x:c>
      <x:c r="C193" s="11" t="str">
        <x:v>Phái đoàn thường trực</x:v>
      </x:c>
      <x:c r="D193" s="40" t="str">
        <x:v>permanent mission *</x:v>
      </x:c>
      <x:c r="E193" s="11" t="str">
        <x:v>상임대표부</x:v>
      </x:c>
      <x:c r="F193" s="40" t="str">
        <x:v>permanent mission *</x:v>
      </x:c>
      <x:c r="G193" s="40" t="str">
        <x:v>Chưa đủ hai nguồn để so khớp</x:v>
      </x:c>
      <x:c r="H193" s="41" t="str">
        <x:v>Ứng viên — còn thiếu chứng cứ</x:v>
      </x:c>
      <x:c r="I193" s="11" t="str">
        <x:v>Phái đoàn thường trực chỉ cơ quan đại diện, không đoàn tham dự một kỳ họp. 상임 và 상주 có thể là biến thể cần nguồn đúng cơ quan.</x:v>
      </x:c>
      <x:c r="J193" s="11" t="str">
        <x:v>* Đề xuất để tiếp tục tra cứu</x:v>
      </x:c>
      <x:c r="K193" s="11" t="str">
        <x:v>Chưa có nguồn ánh xạ</x:v>
      </x:c>
      <x:c r="L193" s="11" t="str">
        <x:v>* Đề xuất để tiếp tục tra cứu</x:v>
      </x:c>
      <x:c r="M193" s="11" t="str">
        <x:v>Chưa có nguồn ánh xạ</x:v>
      </x:c>
      <x:c r="N193" s="11" t="str">
        <x:v>Phái đoàn thường trực</x:v>
      </x:c>
      <x:c r="O193" s="11" t="str">
        <x:v>상임대표부</x:v>
      </x:c>
      <x:c r="P193" s="11" t="str">
        <x:v>Cơ quan đại diện thường xuyên của một quốc gia bên cạnh một tổ chức quốc tế.</x:v>
      </x:c>
      <x:c r="Q193" s="11" t="str">
        <x:v>Cơ quan đại diện thường xuyên của một quốc gia bên cạnh một tổ chức quốc tế.</x:v>
      </x:c>
      <x:c r="R193" s="11" t="str">
        <x:v>N2</x:v>
      </x:c>
      <x:c r="S193" s="11" t="str">
        <x:v>Giữ làm đơn vị nghiên cứu</x:v>
      </x:c>
      <x:c r="T193" s="11" t="str">
        <x:v>C034</x:v>
      </x:c>
    </x:row>
    <x:row r="194" ht="67.5" customHeight="1">
      <x:c r="A194" s="11" t="n">
        <x:v>189</x:v>
      </x:c>
      <x:c r="B194" s="11" t="str">
        <x:v>C036</x:v>
      </x:c>
      <x:c r="C194" s="11" t="str">
        <x:v>Đoàn Ngoại giao</x:v>
      </x:c>
      <x:c r="D194" s="11" t="str">
        <x:v>diplomatic corps</x:v>
      </x:c>
      <x:c r="E194" s="11" t="str">
        <x:v>외교단</x:v>
      </x:c>
      <x:c r="F194" s="11" t="str">
        <x:v>Diplomatic Corps</x:v>
      </x:c>
      <x:c r="G194" s="38" t="str">
        <x:v>Trùng biểu thức Anh</x:v>
      </x:c>
      <x:c r="H194" s="39" t="str">
        <x:v>Xác nhận — cùng biểu thức Anh</x:v>
      </x:c>
      <x:c r="I194" s="11" t="str">
        <x:v>Xác nhận trong nghĩa đoàn ngoại giao tại nước tiếp nhận; không phải phái đoàn đi dự một cuộc họp. Khác viết hoa tên Anh không đổi nghĩa.</x:v>
      </x:c>
      <x:c r="J194" s="11" t="str">
        <x:v>Đối chiếu văn bản song song</x:v>
      </x:c>
      <x:c r="K194" s="37" t="str">
        <x:v>EB151
Nguồn kiểm tra, dòng 795</x:v>
      </x:c>
      <x:c r="L194" s="11" t="str">
        <x:v>Đối dịch tường minh trong nguồn</x:v>
      </x:c>
      <x:c r="M194" s="37" t="str">
        <x:v>EB152
Nguồn kiểm tra, dòng 796</x:v>
      </x:c>
      <x:c r="N194" s="11" t="str">
        <x:v>Đoàn Ngoại giao</x:v>
      </x:c>
      <x:c r="O194" s="11" t="str">
        <x:v>외교단</x:v>
      </x:c>
      <x:c r="P194" s="11" t="str">
        <x:v>Tập thể các nhà ngoại giao đại diện cho các nước tại cùng một nước tiếp nhận.</x:v>
      </x:c>
      <x:c r="Q194" s="11" t="str">
        <x:v>Tập thể các đại diện ngoại giao tại nước tiếp nhận.</x:v>
      </x:c>
      <x:c r="R194" s="11" t="str">
        <x:v>N2</x:v>
      </x:c>
      <x:c r="S194" s="11" t="str">
        <x:v>Giữ làm đơn vị nghiên cứu</x:v>
      </x:c>
      <x:c r="T194" s="11" t="str">
        <x:v>C036</x:v>
      </x:c>
    </x:row>
    <x:row r="195" ht="67.5" customHeight="1">
      <x:c r="A195" s="11" t="n">
        <x:v>190</x:v>
      </x:c>
      <x:c r="B195" s="11" t="str">
        <x:v>C039</x:v>
      </x:c>
      <x:c r="C195" s="11" t="str">
        <x:v>Tổ chức Thương mại thế giới</x:v>
      </x:c>
      <x:c r="D195" s="11" t="str">
        <x:v>World Trade Organization</x:v>
      </x:c>
      <x:c r="E195" s="11" t="str">
        <x:v>세계무역기구</x:v>
      </x:c>
      <x:c r="F195" s="11" t="str">
        <x:v>World Trade Organization</x:v>
      </x:c>
      <x:c r="G195" s="38" t="str">
        <x:v>Trùng biểu thức Anh</x:v>
      </x:c>
      <x:c r="H195" s="39" t="str">
        <x:v>Xác nhận — cùng biểu thức Anh</x:v>
      </x:c>
      <x:c r="I195" s="11" t="str">
        <x:v>Hai nhánh có bằng chứng đối chiếu cùng đối tượng; xác nhận tên gọi trong phạm vi ngữ cảnh đã chọn.</x:v>
      </x:c>
      <x:c r="J195" s="11" t="str">
        <x:v>Đối dịch tường minh trong nguồn</x:v>
      </x:c>
      <x:c r="K195" s="37" t="str">
        <x:v>EB153
Nguồn kiểm tra, dòng 797</x:v>
      </x:c>
      <x:c r="L195" s="11" t="str">
        <x:v>Đối dịch tường minh trong nguồn</x:v>
      </x:c>
      <x:c r="M195" s="37" t="str">
        <x:v>EB154
Nguồn kiểm tra, dòng 798</x:v>
      </x:c>
      <x:c r="N195" s="11" t="str">
        <x:v>Tổ chức Thương mại thế giới</x:v>
      </x:c>
      <x:c r="O195" s="11" t="str">
        <x:v>세계무역기구</x:v>
      </x:c>
      <x:c r="P195" s="11" t="str">
        <x:v>Tổ chức quốc tế quản lý hệ thống quy tắc thương mại giữa các thành viên.</x:v>
      </x:c>
      <x:c r="Q195" s="11" t="str">
        <x:v>Tổ chức quốc tế quản lý hệ thống quy tắc thương mại giữa các thành viên.</x:v>
      </x:c>
      <x:c r="R195" s="11" t="str">
        <x:v>N2</x:v>
      </x:c>
      <x:c r="S195" s="11" t="str">
        <x:v>Giữ làm đơn vị nghiên cứu</x:v>
      </x:c>
      <x:c r="T195" s="11" t="str">
        <x:v>C039</x:v>
      </x:c>
    </x:row>
    <x:row r="196" ht="67.5" customHeight="1">
      <x:c r="A196" s="11" t="n">
        <x:v>191</x:v>
      </x:c>
      <x:c r="B196" s="11" t="str">
        <x:v>C040</x:v>
      </x:c>
      <x:c r="C196" s="11" t="str">
        <x:v>Tổ chức Y tế thế giới</x:v>
      </x:c>
      <x:c r="D196" s="11" t="str">
        <x:v>World Health Organization</x:v>
      </x:c>
      <x:c r="E196" s="11" t="str">
        <x:v>세계보건기구</x:v>
      </x:c>
      <x:c r="F196" s="11" t="str">
        <x:v>World Health Organization</x:v>
      </x:c>
      <x:c r="G196" s="38" t="str">
        <x:v>Trùng biểu thức Anh</x:v>
      </x:c>
      <x:c r="H196" s="39" t="str">
        <x:v>Xác nhận — cùng biểu thức Anh</x:v>
      </x:c>
      <x:c r="I196" s="11" t="str">
        <x:v>Hai nhánh có bằng chứng đối chiếu cùng đối tượng; xác nhận tên gọi trong phạm vi ngữ cảnh đã chọn.</x:v>
      </x:c>
      <x:c r="J196" s="11" t="str">
        <x:v>Đối chiếu văn bản song song</x:v>
      </x:c>
      <x:c r="K196" s="37" t="str">
        <x:v>EB155
Nguồn kiểm tra, dòng 799</x:v>
      </x:c>
      <x:c r="L196" s="11" t="str">
        <x:v>Đối dịch tường minh trong nguồn</x:v>
      </x:c>
      <x:c r="M196" s="37" t="str">
        <x:v>EB156
Nguồn kiểm tra, dòng 800</x:v>
      </x:c>
      <x:c r="N196" s="11" t="str">
        <x:v>Tổ chức Y tế thế giới</x:v>
      </x:c>
      <x:c r="O196" s="11" t="str">
        <x:v>세계보건기구</x:v>
      </x:c>
      <x:c r="P196" s="11" t="str">
        <x:v>Cơ quan chuyên môn của Liên hợp quốc phụ trách hợp tác và điều phối y tế quốc tế.</x:v>
      </x:c>
      <x:c r="Q196" s="11" t="str">
        <x:v>Cơ quan chuyên môn của Liên hợp quốc phụ trách hợp tác và điều phối y tế quốc tế.</x:v>
      </x:c>
      <x:c r="R196" s="11" t="str">
        <x:v>N2</x:v>
      </x:c>
      <x:c r="S196" s="11" t="str">
        <x:v>Giữ làm đơn vị nghiên cứu</x:v>
      </x:c>
      <x:c r="T196" s="11" t="str">
        <x:v>C040</x:v>
      </x:c>
    </x:row>
    <x:row r="197" ht="67.5" customHeight="1">
      <x:c r="A197" s="11" t="n">
        <x:v>192</x:v>
      </x:c>
      <x:c r="B197" s="11" t="str">
        <x:v>C044</x:v>
      </x:c>
      <x:c r="C197" s="11" t="str">
        <x:v>Cơ quan quyền lực đáy đại dương</x:v>
      </x:c>
      <x:c r="D197" s="11" t="str">
        <x:v>International Seabed Authority</x:v>
      </x:c>
      <x:c r="E197" s="11" t="str">
        <x:v>국제해저기구</x:v>
      </x:c>
      <x:c r="F197" s="11" t="str">
        <x:v>International Sea-bed Authority</x:v>
      </x:c>
      <x:c r="G197" s="40" t="str">
        <x:v>Biến thể / có nhãn Anh chung</x:v>
      </x:c>
      <x:c r="H197" s="41" t="str">
        <x:v>Có điều kiện — chưa chốt</x:v>
      </x:c>
      <x:c r="I197" s="11" t="str">
        <x:v>Hai tên chỉ ISA khi khóa định danh; tên Việt đầu vào rút gọn khác dạng đầy đủ nguồn. Sea-bed/Seabed là biến thể hình thức tiếng Anh.</x:v>
      </x:c>
      <x:c r="J197" s="11" t="str">
        <x:v>Đối dịch tường minh trong nguồn</x:v>
      </x:c>
      <x:c r="K197" s="37" t="str">
        <x:v>EB157
Nguồn kiểm tra, dòng 801</x:v>
      </x:c>
      <x:c r="L197" s="11" t="str">
        <x:v>Đối dịch tường minh trong nguồn</x:v>
      </x:c>
      <x:c r="M197" s="37" t="str">
        <x:v>EB158
Nguồn kiểm tra, dòng 802</x:v>
      </x:c>
      <x:c r="N197" s="11" t="str">
        <x:v>Cơ quan quyền lực đáy đại dương</x:v>
      </x:c>
      <x:c r="O197" s="11" t="str">
        <x:v>국제해저기구</x:v>
      </x:c>
      <x:c r="P197" s="11" t="str">
        <x:v>Tổ chức quốc tế điều phối và kiểm soát hoạt động khoáng sản tại đáy biển ngoài quyền tài phán quốc gia.</x:v>
      </x:c>
      <x:c r="Q197" s="11" t="str">
        <x:v>Tổ chức quốc tế điều phối và kiểm soát hoạt động khoáng sản tại đáy biển ngoài quyền tài phán quốc gia.</x:v>
      </x:c>
      <x:c r="R197" s="11" t="str">
        <x:v>N2</x:v>
      </x:c>
      <x:c r="S197" s="11" t="str">
        <x:v>Giữ làm đơn vị nghiên cứu</x:v>
      </x:c>
      <x:c r="T197" s="11" t="str">
        <x:v>C044</x:v>
      </x:c>
    </x:row>
    <x:row r="198" ht="67.5" customHeight="1">
      <x:c r="A198" s="11" t="n">
        <x:v>193</x:v>
      </x:c>
      <x:c r="B198" s="11" t="str">
        <x:v>C047</x:v>
      </x:c>
      <x:c r="C198" s="11" t="str">
        <x:v>Tổ chức Hợp tác Thượng Hải</x:v>
      </x:c>
      <x:c r="D198" s="11" t="str">
        <x:v>Shanghai Cooperation Organization</x:v>
      </x:c>
      <x:c r="E198" s="11" t="str">
        <x:v>상하이협력기구</x:v>
      </x:c>
      <x:c r="F198" s="11" t="str">
        <x:v>Shanghai Cooperation Organization</x:v>
      </x:c>
      <x:c r="G198" s="38" t="str">
        <x:v>Trùng biểu thức Anh</x:v>
      </x:c>
      <x:c r="H198" s="39" t="str">
        <x:v>Xác nhận — cùng biểu thức Anh</x:v>
      </x:c>
      <x:c r="I198" s="11" t="str">
        <x:v>Hai nhánh có bằng chứng đối chiếu cùng đối tượng; xác nhận tên gọi trong phạm vi ngữ cảnh đã chọn.</x:v>
      </x:c>
      <x:c r="J198" s="11" t="str">
        <x:v>Đối dịch tường minh trong nguồn</x:v>
      </x:c>
      <x:c r="K198" s="37" t="str">
        <x:v>EB159
Nguồn kiểm tra, dòng 803</x:v>
      </x:c>
      <x:c r="L198" s="11" t="str">
        <x:v>Đối dịch tường minh trong nguồn</x:v>
      </x:c>
      <x:c r="M198" s="37" t="str">
        <x:v>EB160
Nguồn kiểm tra, dòng 804</x:v>
      </x:c>
      <x:c r="N198" s="11" t="str">
        <x:v>Tổ chức Hợp tác Thượng Hải</x:v>
      </x:c>
      <x:c r="O198" s="11" t="str">
        <x:v>상하이협력기구</x:v>
      </x:c>
      <x:c r="P198" s="11" t="str">
        <x:v>Tổ chức liên chính phủ thường trực mang tên Hợp tác Thượng Hải, thúc đẩy hợp tác giữa các thành viên.</x:v>
      </x:c>
      <x:c r="Q198" s="11" t="str">
        <x:v>Tổ chức liên chính phủ thường trực mang tên Hợp tác Thượng Hải, thúc đẩy hợp tác giữa các thành viên.</x:v>
      </x:c>
      <x:c r="R198" s="11" t="str">
        <x:v>N2</x:v>
      </x:c>
      <x:c r="S198" s="11" t="str">
        <x:v>Giữ làm đơn vị nghiên cứu</x:v>
      </x:c>
      <x:c r="T198" s="11" t="str">
        <x:v>C047</x:v>
      </x:c>
    </x:row>
    <x:row r="199" ht="67.5" customHeight="1">
      <x:c r="A199" s="11" t="n">
        <x:v>194</x:v>
      </x:c>
      <x:c r="B199" s="11" t="str">
        <x:v>C048</x:v>
      </x:c>
      <x:c r="C199" s="11" t="str">
        <x:v>Nghị viện châu Âu</x:v>
      </x:c>
      <x:c r="D199" s="11" t="str">
        <x:v>European Parliament</x:v>
      </x:c>
      <x:c r="E199" s="11" t="str">
        <x:v>유럽의회</x:v>
      </x:c>
      <x:c r="F199" s="11" t="str">
        <x:v>European Parliament</x:v>
      </x:c>
      <x:c r="G199" s="38" t="str">
        <x:v>Trùng biểu thức Anh</x:v>
      </x:c>
      <x:c r="H199" s="39" t="str">
        <x:v>Xác nhận — cùng biểu thức Anh</x:v>
      </x:c>
      <x:c r="I199" s="11" t="str">
        <x:v>Hai nhánh có bằng chứng đối chiếu cùng đối tượng; xác nhận tên gọi trong phạm vi ngữ cảnh đã chọn.</x:v>
      </x:c>
      <x:c r="J199" s="11" t="str">
        <x:v>Đối dịch tường minh trong nguồn</x:v>
      </x:c>
      <x:c r="K199" s="37" t="str">
        <x:v>EB161
Nguồn kiểm tra, dòng 805</x:v>
      </x:c>
      <x:c r="L199" s="11" t="str">
        <x:v>Đối dịch tường minh trong nguồn</x:v>
      </x:c>
      <x:c r="M199" s="37" t="str">
        <x:v>EB162
Nguồn kiểm tra, dòng 806</x:v>
      </x:c>
      <x:c r="N199" s="11" t="str">
        <x:v>Nghị viện châu Âu</x:v>
      </x:c>
      <x:c r="O199" s="11" t="str">
        <x:v>유럽의회</x:v>
      </x:c>
      <x:c r="P199" s="11" t="str">
        <x:v>Cơ quan của Liên minh châu Âu do cử tri trực tiếp bầu, thực hiện chức năng lập pháp, giám sát và ngân sách.</x:v>
      </x:c>
      <x:c r="Q199" s="11" t="str">
        <x:v>Cơ quan của Liên minh châu Âu do cử tri trực tiếp bầu, thực hiện chức năng lập pháp, giám sát và ngân sách.</x:v>
      </x:c>
      <x:c r="R199" s="11" t="str">
        <x:v>N2</x:v>
      </x:c>
      <x:c r="S199" s="11" t="str">
        <x:v>Giữ làm đơn vị nghiên cứu</x:v>
      </x:c>
      <x:c r="T199" s="11" t="str">
        <x:v>C048</x:v>
      </x:c>
    </x:row>
    <x:row r="200" ht="67.5" customHeight="1">
      <x:c r="A200" s="11" t="n">
        <x:v>195</x:v>
      </x:c>
      <x:c r="B200" s="11" t="str">
        <x:v>C049</x:v>
      </x:c>
      <x:c r="C200" s="11" t="str">
        <x:v>Chương trình phát triển Liên hợp quốc</x:v>
      </x:c>
      <x:c r="D200" s="11" t="str">
        <x:v>United Nations Development Programme</x:v>
      </x:c>
      <x:c r="E200" s="11" t="str">
        <x:v>유엔개발계획</x:v>
      </x:c>
      <x:c r="F200" s="11" t="str">
        <x:v>United Nations Development Programme</x:v>
      </x:c>
      <x:c r="G200" s="38" t="str">
        <x:v>Trùng biểu thức Anh</x:v>
      </x:c>
      <x:c r="H200" s="39" t="str">
        <x:v>Xác nhận — cùng biểu thức Anh</x:v>
      </x:c>
      <x:c r="I200" s="11" t="str">
        <x:v>Xác nhận tên riêng UNDP, một tổ chức/chương trình của LHQ; không coi đây là bất kỳ chương trình phát triển nào.</x:v>
      </x:c>
      <x:c r="J200" s="11" t="str">
        <x:v>Đối chiếu văn bản song song</x:v>
      </x:c>
      <x:c r="K200" s="37" t="str">
        <x:v>EB163
Nguồn kiểm tra, dòng 807</x:v>
      </x:c>
      <x:c r="L200" s="11" t="str">
        <x:v>Đối dịch tường minh trong nguồn</x:v>
      </x:c>
      <x:c r="M200" s="37" t="str">
        <x:v>EB164
Nguồn kiểm tra, dòng 808</x:v>
      </x:c>
      <x:c r="N200" s="11" t="str">
        <x:v>Chương trình phát triển Liên hợp quốc</x:v>
      </x:c>
      <x:c r="O200" s="11" t="str">
        <x:v>유엔개발계획</x:v>
      </x:c>
      <x:c r="P200" s="11" t="str">
        <x:v>Tổ chức thuộc Liên hợp quốc thực hiện hoạt động phát triển quốc tế và hỗ trợ phát triển bền vững.</x:v>
      </x:c>
      <x:c r="Q200" s="11" t="str">
        <x:v>Tổ chức thuộc Liên hợp quốc thực hiện hoạt động phát triển quốc tế và hỗ trợ phát triển bền vững.</x:v>
      </x:c>
      <x:c r="R200" s="11" t="str">
        <x:v>N2</x:v>
      </x:c>
      <x:c r="S200" s="11" t="str">
        <x:v>Giữ làm đơn vị nghiên cứu</x:v>
      </x:c>
      <x:c r="T200" s="11" t="str">
        <x:v>C049</x:v>
      </x:c>
    </x:row>
    <x:row r="201" ht="67.5" customHeight="1">
      <x:c r="A201" s="11" t="n">
        <x:v>196</x:v>
      </x:c>
      <x:c r="B201" s="11" t="str">
        <x:v>C056</x:v>
      </x:c>
      <x:c r="C201" s="11" t="str">
        <x:v>cơ quan lập pháp</x:v>
      </x:c>
      <x:c r="D201" s="40" t="str">
        <x:v>legislative organ; legislature *</x:v>
      </x:c>
      <x:c r="E201" s="11" t="str">
        <x:v>입법기관</x:v>
      </x:c>
      <x:c r="F201" s="11" t="str">
        <x:v>legislative organ; the legislature</x:v>
      </x:c>
      <x:c r="G201" s="40" t="str">
        <x:v>Chưa đủ hai nguồn để so khớp</x:v>
      </x:c>
      <x:c r="H201" s="41" t="str">
        <x:v>Ứng viên — còn thiếu chứng cứ</x:v>
      </x:c>
      <x:c r="I201" s="11" t="str">
        <x:v>Giữ nguyên biểu thức đầu vào. Chỉ tên tiếng Anh dự kiến; cần xác nhận riêng mỗi nhánh.</x:v>
      </x:c>
      <x:c r="J201" s="11" t="str">
        <x:v>* Đề xuất để tiếp tục tra cứu</x:v>
      </x:c>
      <x:c r="K201" s="11" t="str">
        <x:v>Chưa có nguồn ánh xạ</x:v>
      </x:c>
      <x:c r="L201" s="11" t="str">
        <x:v>Đối dịch trong từ điển</x:v>
      </x:c>
      <x:c r="M201" s="37" t="str">
        <x:v>EB165
Nguồn kiểm tra, dòng 809</x:v>
      </x:c>
      <x:c r="N201" s="11" t="str">
        <x:v>cơ quan lập pháp</x:v>
      </x:c>
      <x:c r="O201" s="11" t="str">
        <x:v>입법기관</x:v>
      </x:c>
      <x:c r="P201" s="11" t="str">
        <x:v>Cơ quan nhà nước có chức năng xây dựng và ban hành luật.</x:v>
      </x:c>
      <x:c r="Q201" s="11" t="str">
        <x:v>Cơ quan nhà nước có chức năng xây dựng và ban hành luật.</x:v>
      </x:c>
      <x:c r="R201" s="11" t="str">
        <x:v>N2</x:v>
      </x:c>
      <x:c r="S201" s="11" t="str">
        <x:v>Giữ làm đơn vị nghiên cứu</x:v>
      </x:c>
      <x:c r="T201" s="11" t="str">
        <x:v>C056</x:v>
      </x:c>
    </x:row>
    <x:row r="202" ht="67.5" customHeight="1">
      <x:c r="A202" s="11" t="n">
        <x:v>197</x:v>
      </x:c>
      <x:c r="B202" s="11" t="str">
        <x:v>C057</x:v>
      </x:c>
      <x:c r="C202" s="11" t="str">
        <x:v>tổ chức khu vực</x:v>
      </x:c>
      <x:c r="D202" s="40" t="str">
        <x:v>regional organization *</x:v>
      </x:c>
      <x:c r="E202" s="11" t="str">
        <x:v>지역기구</x:v>
      </x:c>
      <x:c r="F202" s="40" t="str">
        <x:v>regional organization *</x:v>
      </x:c>
      <x:c r="G202" s="40" t="str">
        <x:v>Chưa đủ hai nguồn để so khớp</x:v>
      </x:c>
      <x:c r="H202" s="41" t="str">
        <x:v>Ứng viên — còn thiếu chứng cứ</x:v>
      </x:c>
      <x:c r="I202" s="11" t="str">
        <x:v>Regional organization có thể là tổ chức quốc tế khu vực hoặc tổ chức cấp địa phương; khóa phạm vi liên quốc gia.</x:v>
      </x:c>
      <x:c r="J202" s="11" t="str">
        <x:v>* Đề xuất để tiếp tục tra cứu</x:v>
      </x:c>
      <x:c r="K202" s="11" t="str">
        <x:v>Chưa có nguồn ánh xạ</x:v>
      </x:c>
      <x:c r="L202" s="11" t="str">
        <x:v>* Đề xuất để tiếp tục tra cứu</x:v>
      </x:c>
      <x:c r="M202" s="11" t="str">
        <x:v>Chưa có nguồn ánh xạ</x:v>
      </x:c>
      <x:c r="N202" s="11" t="str">
        <x:v>tổ chức khu vực</x:v>
      </x:c>
      <x:c r="O202" s="11" t="str">
        <x:v>지역기구</x:v>
      </x:c>
      <x:c r="P202" s="11" t="str">
        <x:v>Theo nghĩa ngoại giao được chọn, tổ chức quốc tế tập hợp các quốc gia trong một khu vực để thực hiện mục tiêu hợp tác chung.</x:v>
      </x:c>
      <x:c r="Q202" s="11" t="str">
        <x:v>Theo nghĩa ngoại giao được chọn, tổ chức quốc tế tập hợp các quốc gia trong một khu vực để thực hiện mục tiêu hợp tác chung.</x:v>
      </x:c>
      <x:c r="R202" s="11" t="str">
        <x:v>N2</x:v>
      </x:c>
      <x:c r="S202" s="11" t="str">
        <x:v>Giữ làm đơn vị nghiên cứu</x:v>
      </x:c>
      <x:c r="T202" s="11" t="str">
        <x:v>C057</x:v>
      </x:c>
    </x:row>
    <x:row r="203" ht="72" customHeight="1">
      <x:c r="A203" s="11" t="n">
        <x:v>198</x:v>
      </x:c>
      <x:c r="B203" s="11" t="str">
        <x:v>C059</x:v>
      </x:c>
      <x:c r="C203" s="11" t="str">
        <x:v>Hội đồng Hòa bình về Gaza</x:v>
      </x:c>
      <x:c r="D203" s="40" t="str">
        <x:v>Board of Peace (reference unconfirmed) *</x:v>
      </x:c>
      <x:c r="E203" s="11" t="str">
        <x:v>가자 평화위원회</x:v>
      </x:c>
      <x:c r="F203" s="40" t="str">
        <x:v>Board of Peace (reference unconfirmed) *</x:v>
      </x:c>
      <x:c r="G203" s="40" t="str">
        <x:v>Chưa đủ hai nguồn để so khớp</x:v>
      </x:c>
      <x:c r="H203" s="41" t="str">
        <x:v>Chưa đủ căn cứ đối chiếu</x:v>
      </x:c>
      <x:c r="I203" s="11" t="str">
        <x:v>Chưa xác định chắc 가자 평화위원회/Hội đồng Hòa bình về Gaza là cơ quan nào. Board of Peace chỉ giả thuyết cần nguồn/câu gốc, không tên Anh đã xác nhận.</x:v>
      </x:c>
      <x:c r="J203" s="11" t="str">
        <x:v>* Đề xuất để tiếp tục tra cứu</x:v>
      </x:c>
      <x:c r="K203" s="11" t="str">
        <x:v>Chưa có nguồn ánh xạ</x:v>
      </x:c>
      <x:c r="L203" s="11" t="str">
        <x:v>* Đề xuất để tiếp tục tra cứu</x:v>
      </x:c>
      <x:c r="M203" s="11" t="str">
        <x:v>Chưa có nguồn ánh xạ</x:v>
      </x:c>
      <x:c r="N203" s="11" t="str">
        <x:v>Hội đồng Hòa bình về Gaza</x:v>
      </x:c>
      <x:c r="O203" s="11" t="str">
        <x:v>가자 평화위원회</x:v>
      </x:c>
      <x:c r="P203" s="11" t="str">
        <x:v>Tên gọi cần xác định quy chiếu; nếu là Board of Peace trong báo cáo S/2026/418, đó là tổ chức được lập để thực hiện nhiệm vụ hòa bình và phục hồi Gaza.</x:v>
      </x:c>
      <x:c r="Q203" s="11" t="str">
        <x:v>Tên gọi cần xác định quy chiếu; nếu là Board of Peace trong báo cáo S/2026/418, đó là tổ chức được lập để thực hiện nhiệm vụ hòa bình và phục hồi Gaza.</x:v>
      </x:c>
      <x:c r="R203" s="11" t="str">
        <x:v>N2</x:v>
      </x:c>
      <x:c r="S203" s="11" t="str">
        <x:v>Cần xem xét tư cách/phạm vi</x:v>
      </x:c>
      <x:c r="T203" s="11" t="str">
        <x:v>C059</x:v>
      </x:c>
    </x:row>
    <x:row r="204" ht="67.5" customHeight="1">
      <x:c r="A204" s="11" t="n">
        <x:v>199</x:v>
      </x:c>
      <x:c r="B204" s="11" t="str">
        <x:v>C060</x:v>
      </x:c>
      <x:c r="C204" s="11" t="str">
        <x:v>không can thiệp vào công việc nội bộ của mỗi quốc gia</x:v>
      </x:c>
      <x:c r="D204" s="40" t="str">
        <x:v>non-interference in the internal affairs of states *</x:v>
      </x:c>
      <x:c r="E204" s="11" t="str">
        <x:v>내정 불간섭</x:v>
      </x:c>
      <x:c r="F204" s="40" t="str">
        <x:v>non-interference in the internal affairs of states *</x:v>
      </x:c>
      <x:c r="G204" s="40" t="str">
        <x:v>Chưa đủ hai nguồn để so khớp</x:v>
      </x:c>
      <x:c r="H204" s="41" t="str">
        <x:v>Ứng viên — còn thiếu chứng cứ</x:v>
      </x:c>
      <x:c r="I204" s="11" t="str">
        <x:v>Biểu thức Việt dài hơn tên nguyên tắc. Cần đối chiếu non-interference/non-intervention và phạm vi domestic/internal affairs; không chỉ dựa hai từ tương tự.</x:v>
      </x:c>
      <x:c r="J204" s="11" t="str">
        <x:v>* Đề xuất để tiếp tục tra cứu</x:v>
      </x:c>
      <x:c r="K204" s="11" t="str">
        <x:v>Chưa có nguồn ánh xạ</x:v>
      </x:c>
      <x:c r="L204" s="11" t="str">
        <x:v>* Đề xuất để tiếp tục tra cứu</x:v>
      </x:c>
      <x:c r="M204" s="11" t="str">
        <x:v>Chưa có nguồn ánh xạ</x:v>
      </x:c>
      <x:c r="N204" s="11" t="str">
        <x:v>không can thiệp vào công việc nội bộ của mỗi quốc gia</x:v>
      </x:c>
      <x:c r="O204" s="11" t="str">
        <x:v>내정 불간섭</x:v>
      </x:c>
      <x:c r="P204" s="11" t="str">
        <x:v>Nguyên tắc không áp đặt, cưỡng ép hoặc can thiệp vào công việc thuộc quyền quyết định của quốc gia khác.</x:v>
      </x:c>
      <x:c r="Q204" s="11" t="str">
        <x:v>Nguyên tắc không áp đặt, cưỡng ép hoặc can thiệp vào công việc thuộc quyền quyết định của quốc gia khác.</x:v>
      </x:c>
      <x:c r="R204" s="11" t="str">
        <x:v>N3</x:v>
      </x:c>
      <x:c r="S204" s="11" t="str">
        <x:v>Giữ làm đơn vị nghiên cứu</x:v>
      </x:c>
      <x:c r="T204" s="11" t="str">
        <x:v>C060</x:v>
      </x:c>
    </x:row>
    <x:row r="205" ht="67.5" customHeight="1">
      <x:c r="A205" s="11" t="n">
        <x:v>200</x:v>
      </x:c>
      <x:c r="B205" s="11" t="str">
        <x:v>C061</x:v>
      </x:c>
      <x:c r="C205" s="11" t="str">
        <x:v>bình đẳng chủ quyền</x:v>
      </x:c>
      <x:c r="D205" s="40" t="str">
        <x:v>sovereign equality *</x:v>
      </x:c>
      <x:c r="E205" s="11" t="str">
        <x:v>주권 평등</x:v>
      </x:c>
      <x:c r="F205" s="40" t="str">
        <x:v>sovereign equality *</x:v>
      </x:c>
      <x:c r="G205" s="40" t="str">
        <x:v>Chưa đủ hai nguồn để so khớp</x:v>
      </x:c>
      <x:c r="H205" s="41" t="str">
        <x:v>Ứng viên — còn thiếu chứng cứ</x:v>
      </x:c>
      <x:c r="I205" s="11" t="str">
        <x:v>Bình đẳng về chủ quyền khác bình đẳng nói chung. Nguồn EN Điều 2 Hiến chương chỉ hỗ trợ khái niệm nếu chưa có bản đối chiếu VI/KO.</x:v>
      </x:c>
      <x:c r="J205" s="11" t="str">
        <x:v>* Đề xuất để tiếp tục tra cứu</x:v>
      </x:c>
      <x:c r="K205" s="11" t="str">
        <x:v>Chưa có nguồn ánh xạ</x:v>
      </x:c>
      <x:c r="L205" s="11" t="str">
        <x:v>* Đề xuất để tiếp tục tra cứu</x:v>
      </x:c>
      <x:c r="M205" s="11" t="str">
        <x:v>Chưa có nguồn ánh xạ</x:v>
      </x:c>
      <x:c r="N205" s="11" t="str">
        <x:v>bình đẳng chủ quyền</x:v>
      </x:c>
      <x:c r="O205" s="11" t="str">
        <x:v>주권 평등</x:v>
      </x:c>
      <x:c r="P205" s="11" t="str">
        <x:v>Nguyên tắc các quốc gia bình đẳng về địa vị chủ quyền trong quan hệ quốc tế.</x:v>
      </x:c>
      <x:c r="Q205" s="11" t="str">
        <x:v>Nguyên tắc các quốc gia bình đẳng về địa vị chủ quyền trong quan hệ quốc tế.</x:v>
      </x:c>
      <x:c r="R205" s="11" t="str">
        <x:v>N3</x:v>
      </x:c>
      <x:c r="S205" s="11" t="str">
        <x:v>Giữ làm đơn vị nghiên cứu</x:v>
      </x:c>
      <x:c r="T205" s="11" t="str">
        <x:v>C061</x:v>
      </x:c>
    </x:row>
    <x:row r="206" ht="72" customHeight="1">
      <x:c r="A206" s="11" t="n">
        <x:v>201</x:v>
      </x:c>
      <x:c r="B206" s="11" t="str">
        <x:v>C063</x:v>
      </x:c>
      <x:c r="C206" s="11" t="str">
        <x:v>quyền tài phán</x:v>
      </x:c>
      <x:c r="D206" s="40" t="str">
        <x:v>jurisdiction *</x:v>
      </x:c>
      <x:c r="E206" s="11" t="str">
        <x:v>관할권</x:v>
      </x:c>
      <x:c r="F206" s="11" t="str">
        <x:v>jurisdiction</x:v>
      </x:c>
      <x:c r="G206" s="40" t="str">
        <x:v>Chưa đủ hai nguồn để so khớp</x:v>
      </x:c>
      <x:c r="H206" s="41" t="str">
        <x:v>Có điều kiện — chưa chốt</x:v>
      </x:c>
      <x:c r="I206" s="11" t="str">
        <x:v>Cùng jurisdiction không tự đủ: 관할권 trong từ điển có nghĩa thẩm quyền tòa án/cơ quan; quyền tài phán trong corpus ngoại giao có thể là thẩm quyền quốc gia rộng hơn. Chưa có chân VI–EN khóa nghĩa.</x:v>
      </x:c>
      <x:c r="J206" s="11" t="str">
        <x:v>* Đề xuất để tiếp tục tra cứu</x:v>
      </x:c>
      <x:c r="K206" s="11" t="str">
        <x:v>Chưa có nguồn ánh xạ</x:v>
      </x:c>
      <x:c r="L206" s="11" t="str">
        <x:v>Đối dịch trong từ điển</x:v>
      </x:c>
      <x:c r="M206" s="37" t="str">
        <x:v>EB166
Nguồn kiểm tra, dòng 810</x:v>
      </x:c>
      <x:c r="N206" s="11" t="str">
        <x:v>quyền tài phán</x:v>
      </x:c>
      <x:c r="O206" s="11" t="str">
        <x:v>관할권</x:v>
      </x:c>
      <x:c r="P206" s="11" t="str">
        <x:v>Thẩm quyền pháp lý của quốc gia hoặc cơ quan có thẩm quyền đối với người, lãnh thổ hay vụ việc thuộc phạm vi luật định.</x:v>
      </x:c>
      <x:c r="Q206" s="11" t="str">
        <x:v>Quyền của tòa án hoặc cơ quan/công chức có thẩm quyền áp dụng, thực thi pháp luật.</x:v>
      </x:c>
      <x:c r="R206" s="11" t="str">
        <x:v>N3</x:v>
      </x:c>
      <x:c r="S206" s="11" t="str">
        <x:v>Giữ làm đơn vị nghiên cứu</x:v>
      </x:c>
      <x:c r="T206" s="11" t="str">
        <x:v>C063</x:v>
      </x:c>
    </x:row>
    <x:row r="207" ht="67.5" customHeight="1">
      <x:c r="A207" s="11" t="n">
        <x:v>202</x:v>
      </x:c>
      <x:c r="B207" s="11" t="str">
        <x:v>C064</x:v>
      </x:c>
      <x:c r="C207" s="11" t="str">
        <x:v>tự do hàng hải</x:v>
      </x:c>
      <x:c r="D207" s="40" t="str">
        <x:v>freedom of navigation *</x:v>
      </x:c>
      <x:c r="E207" s="11" t="str">
        <x:v>항행의 자유</x:v>
      </x:c>
      <x:c r="F207" s="40" t="str">
        <x:v>freedom of navigation *</x:v>
      </x:c>
      <x:c r="G207" s="40" t="str">
        <x:v>Chưa đủ hai nguồn để so khớp</x:v>
      </x:c>
      <x:c r="H207" s="41" t="str">
        <x:v>Ứng viên — còn thiếu chứng cứ</x:v>
      </x:c>
      <x:c r="I207" s="11" t="str">
        <x:v>Cần đúng freedom of navigation, không thay bằng maritime safety/security hay tự do quá cảnh. Chưa có hai ánh xạ nguồn.</x:v>
      </x:c>
      <x:c r="J207" s="11" t="str">
        <x:v>* Đề xuất để tiếp tục tra cứu</x:v>
      </x:c>
      <x:c r="K207" s="11" t="str">
        <x:v>Chưa có nguồn ánh xạ</x:v>
      </x:c>
      <x:c r="L207" s="11" t="str">
        <x:v>* Đề xuất để tiếp tục tra cứu</x:v>
      </x:c>
      <x:c r="M207" s="11" t="str">
        <x:v>Chưa có nguồn ánh xạ</x:v>
      </x:c>
      <x:c r="N207" s="11" t="str">
        <x:v>tự do hàng hải</x:v>
      </x:c>
      <x:c r="O207" s="11" t="str">
        <x:v>항행의 자유</x:v>
      </x:c>
      <x:c r="P207" s="11" t="str">
        <x:v>Quyền cho tàu thuyền đi lại tại các vùng biển nơi luật quốc tế công nhận tự do hàng hải.</x:v>
      </x:c>
      <x:c r="Q207" s="11" t="str">
        <x:v>Quyền cho tàu thuyền đi lại tại các vùng biển nơi luật quốc tế công nhận tự do hàng hải.</x:v>
      </x:c>
      <x:c r="R207" s="11" t="str">
        <x:v>N3</x:v>
      </x:c>
      <x:c r="S207" s="11" t="str">
        <x:v>Giữ làm đơn vị nghiên cứu</x:v>
      </x:c>
      <x:c r="T207" s="11" t="str">
        <x:v>C064</x:v>
      </x:c>
    </x:row>
    <x:row r="208" ht="67.5" customHeight="1">
      <x:c r="A208" s="11" t="n">
        <x:v>203</x:v>
      </x:c>
      <x:c r="B208" s="11" t="str">
        <x:v>C067</x:v>
      </x:c>
      <x:c r="C208" s="11" t="str">
        <x:v>giải quyết tranh chấp bằng biện pháp hòa bình</x:v>
      </x:c>
      <x:c r="D208" s="40" t="str">
        <x:v>peaceful settlement of disputes *</x:v>
      </x:c>
      <x:c r="E208" s="11" t="str">
        <x:v>분쟁의 평화적 해결</x:v>
      </x:c>
      <x:c r="F208" s="40" t="str">
        <x:v>peaceful settlement of disputes *</x:v>
      </x:c>
      <x:c r="G208" s="40" t="str">
        <x:v>Chưa đủ hai nguồn để so khớp</x:v>
      </x:c>
      <x:c r="H208" s="41" t="str">
        <x:v>Ứng viên — còn thiếu chứng cứ</x:v>
      </x:c>
      <x:c r="I208" s="11" t="str">
        <x:v>Cần phân biệt tên nguyên tắc nghĩa vụ và quá trình giải quyết tranh chấp thực tế; cùng dạng English chưa chọn được nghĩa.</x:v>
      </x:c>
      <x:c r="J208" s="11" t="str">
        <x:v>* Đề xuất để tiếp tục tra cứu</x:v>
      </x:c>
      <x:c r="K208" s="11" t="str">
        <x:v>Chưa có nguồn ánh xạ</x:v>
      </x:c>
      <x:c r="L208" s="11" t="str">
        <x:v>* Đề xuất để tiếp tục tra cứu</x:v>
      </x:c>
      <x:c r="M208" s="11" t="str">
        <x:v>Chưa có nguồn ánh xạ</x:v>
      </x:c>
      <x:c r="N208" s="11" t="str">
        <x:v>giải quyết tranh chấp bằng biện pháp hòa bình</x:v>
      </x:c>
      <x:c r="O208" s="11" t="str">
        <x:v>분쟁의 평화적 해결</x:v>
      </x:c>
      <x:c r="P208" s="11" t="str">
        <x:v>Ở nghĩa nguyên tắc: yêu cầu xử lý tranh chấp quốc tế bằng phương thức hòa bình; cũng có thể chỉ quá trình giải quyết cụ thể.</x:v>
      </x:c>
      <x:c r="Q208" s="11" t="str">
        <x:v>Ở nghĩa nguyên tắc: yêu cầu xử lý tranh chấp quốc tế bằng phương thức hòa bình; cũng có thể chỉ quá trình giải quyết cụ thể.</x:v>
      </x:c>
      <x:c r="R208" s="11" t="str">
        <x:v>N3</x:v>
      </x:c>
      <x:c r="S208" s="11" t="str">
        <x:v>Giữ làm đơn vị nghiên cứu</x:v>
      </x:c>
      <x:c r="T208" s="11" t="str">
        <x:v>C067</x:v>
      </x:c>
    </x:row>
    <x:row r="209" ht="72" customHeight="1">
      <x:c r="A209" s="11" t="n">
        <x:v>204</x:v>
      </x:c>
      <x:c r="B209" s="11" t="str">
        <x:v>C068</x:v>
      </x:c>
      <x:c r="C209" s="11" t="str">
        <x:v>an ninh phi truyền thống</x:v>
      </x:c>
      <x:c r="D209" s="11" t="str">
        <x:v>non-traditional security</x:v>
      </x:c>
      <x:c r="E209" s="11" t="str">
        <x:v>비전통 안보</x:v>
      </x:c>
      <x:c r="F209" s="11" t="str">
        <x:v>non-traditional security</x:v>
      </x:c>
      <x:c r="G209" s="38" t="str">
        <x:v>Trùng biểu thức Anh</x:v>
      </x:c>
      <x:c r="H209" s="39" t="str">
        <x:v>Xác nhận — cùng biểu thức Anh</x:v>
      </x:c>
      <x:c r="I209" s="11" t="str">
        <x:v>Hai nguồn nói phạm vi đe dọa an ninh phi quân sự, bao gồm tội phạm xuyên quốc gia và các vấn đề an ninh mới. Xác nhận nhãn khái niệm chung; không đồng nhất mọi danh sách đe dọa trong từng quốc gia.</x:v>
      </x:c>
      <x:c r="J209" s="11" t="str">
        <x:v>Đối dịch tường minh trong nguồn</x:v>
      </x:c>
      <x:c r="K209" s="37" t="str">
        <x:v>EB167
Nguồn kiểm tra, dòng 811</x:v>
      </x:c>
      <x:c r="L209" s="11" t="str">
        <x:v>Đối chiếu văn bản song song</x:v>
      </x:c>
      <x:c r="M209" s="37" t="str">
        <x:v>EB168
Nguồn kiểm tra, dòng 812</x:v>
      </x:c>
      <x:c r="N209" s="11" t="str">
        <x:v>an ninh phi truyền thống</x:v>
      </x:c>
      <x:c r="O209" s="11" t="str">
        <x:v>비전통안보</x:v>
      </x:c>
      <x:c r="P209" s="11" t="str">
        <x:v>Phạm vi an ninh liên quan các đe dọa chủ yếu phi quân sự.</x:v>
      </x:c>
      <x:c r="Q209" s="11" t="str">
        <x:v>Các vấn đề an ninh phi truyền thống như chống khủng bố, tội phạm xuyên quốc gia, an ninh biển, thiên tai.</x:v>
      </x:c>
      <x:c r="R209" s="11" t="str">
        <x:v>Cần xem xét</x:v>
      </x:c>
      <x:c r="S209" s="11" t="str">
        <x:v>Giữ làm đơn vị nghiên cứu</x:v>
      </x:c>
      <x:c r="T209" s="11" t="str">
        <x:v>C068</x:v>
      </x:c>
    </x:row>
    <x:row r="210" ht="72" customHeight="1">
      <x:c r="A210" s="11" t="n">
        <x:v>205</x:v>
      </x:c>
      <x:c r="B210" s="11" t="str">
        <x:v>C069</x:v>
      </x:c>
      <x:c r="C210" s="11" t="str">
        <x:v>an ninh hàng hải</x:v>
      </x:c>
      <x:c r="D210" s="40" t="str">
        <x:v>maritime security *</x:v>
      </x:c>
      <x:c r="E210" s="11" t="str">
        <x:v>해양 안보</x:v>
      </x:c>
      <x:c r="F210" s="11" t="str">
        <x:v>maritime security</x:v>
      </x:c>
      <x:c r="G210" s="40" t="str">
        <x:v>Chưa đủ hai nguồn để so khớp</x:v>
      </x:c>
      <x:c r="H210" s="41" t="str">
        <x:v>Có điều kiện — chưa chốt</x:v>
      </x:c>
      <x:c r="I210" s="11" t="str">
        <x:v>Nguồn Hàn song song dùng maritime security trong phạm vi hợp tác trên biển. “An ninh hàng hải” có thể giới hạn tàu/cảng/vận tải; cần câu Việt để khóa phạm vi, không nhập maritime safety.</x:v>
      </x:c>
      <x:c r="J210" s="11" t="str">
        <x:v>* Đề xuất để tiếp tục tra cứu</x:v>
      </x:c>
      <x:c r="K210" s="11" t="str">
        <x:v>Chưa có nguồn ánh xạ</x:v>
      </x:c>
      <x:c r="L210" s="11" t="str">
        <x:v>Đối chiếu văn bản song song</x:v>
      </x:c>
      <x:c r="M210" s="37" t="str">
        <x:v>EB169
Nguồn kiểm tra, dòng 813</x:v>
      </x:c>
      <x:c r="N210" s="11" t="str">
        <x:v>an ninh hàng hải</x:v>
      </x:c>
      <x:c r="O210" s="11" t="str">
        <x:v>해양 안보</x:v>
      </x:c>
      <x:c r="P210" s="11" t="str">
        <x:v>Sự bảo đảm an ninh cho tàu thuyền, cảng và hoạt động trên biển; phạm vi địa-chính trị rộng hơn cần ngữ cảnh.</x:v>
      </x:c>
      <x:c r="Q210" s="11" t="str">
        <x:v>An ninh trên biển trong hợp tác liên quốc gia.</x:v>
      </x:c>
      <x:c r="R210" s="11" t="str">
        <x:v>Cần xem xét</x:v>
      </x:c>
      <x:c r="S210" s="11" t="str">
        <x:v>Giữ làm đơn vị nghiên cứu</x:v>
      </x:c>
      <x:c r="T210" s="11" t="str">
        <x:v>C069</x:v>
      </x:c>
    </x:row>
    <x:row r="211" ht="67.5" customHeight="1">
      <x:c r="A211" s="11" t="n">
        <x:v>206</x:v>
      </x:c>
      <x:c r="B211" s="11" t="str">
        <x:v>C070</x:v>
      </x:c>
      <x:c r="C211" s="11" t="str">
        <x:v>an ninh lương thực</x:v>
      </x:c>
      <x:c r="D211" s="11" t="str">
        <x:v>food security</x:v>
      </x:c>
      <x:c r="E211" s="11" t="str">
        <x:v>식량안보</x:v>
      </x:c>
      <x:c r="F211" s="11" t="str">
        <x:v>food security</x:v>
      </x:c>
      <x:c r="G211" s="38" t="str">
        <x:v>Trùng biểu thức Anh</x:v>
      </x:c>
      <x:c r="H211" s="39" t="str">
        <x:v>Xác nhận — cùng biểu thức Anh</x:v>
      </x:c>
      <x:c r="I211" s="11" t="str">
        <x:v>Hai nguồn trực tiếp ghi food security; xét khả năng bảo đảm nguồn thực phẩm và tiếp cận thực phẩm. Không đồng nhất với food safety.</x:v>
      </x:c>
      <x:c r="J211" s="11" t="str">
        <x:v>Đối dịch tường minh trong nguồn</x:v>
      </x:c>
      <x:c r="K211" s="37" t="str">
        <x:v>EB170
Nguồn kiểm tra, dòng 814</x:v>
      </x:c>
      <x:c r="L211" s="11" t="str">
        <x:v>Đối dịch tường minh trong nguồn</x:v>
      </x:c>
      <x:c r="M211" s="37" t="str">
        <x:v>EB171
Nguồn kiểm tra, dòng 815</x:v>
      </x:c>
      <x:c r="N211" s="11" t="str">
        <x:v>an ninh lương thực</x:v>
      </x:c>
      <x:c r="O211" s="11" t="str">
        <x:v>식량안보</x:v>
      </x:c>
      <x:c r="P211" s="11" t="str">
        <x:v>Bảo đảm nguồn lương thực, thực phẩm và chuỗi cung ứng.</x:v>
      </x:c>
      <x:c r="Q211" s="11" t="str">
        <x:v>Bảo đảm nguồn cung thực phẩm, ngũ cốc trước gián đoạn.</x:v>
      </x:c>
      <x:c r="R211" s="11" t="str">
        <x:v>Cần xem xét</x:v>
      </x:c>
      <x:c r="S211" s="11" t="str">
        <x:v>Giữ làm đơn vị nghiên cứu</x:v>
      </x:c>
      <x:c r="T211" s="11" t="str">
        <x:v>C070</x:v>
      </x:c>
    </x:row>
    <x:row r="212" ht="72" customHeight="1">
      <x:c r="A212" s="11" t="n">
        <x:v>207</x:v>
      </x:c>
      <x:c r="B212" s="11" t="str">
        <x:v>C071</x:v>
      </x:c>
      <x:c r="C212" s="11" t="str">
        <x:v>an ninh kinh tế</x:v>
      </x:c>
      <x:c r="D212" s="40" t="str">
        <x:v>economic security *</x:v>
      </x:c>
      <x:c r="E212" s="11" t="str">
        <x:v>경제안보</x:v>
      </x:c>
      <x:c r="F212" s="11" t="str">
        <x:v>economic security</x:v>
      </x:c>
      <x:c r="G212" s="40" t="str">
        <x:v>Chưa đủ hai nguồn để so khớp</x:v>
      </x:c>
      <x:c r="H212" s="41" t="str">
        <x:v>Ứng viên — còn thiếu chứng cứ</x:v>
      </x:c>
      <x:c r="I212" s="11" t="str">
        <x:v>Có tên Anh economic security trong nguồn Hàn; chưa có chân Việt–Anh được xác minh trực tiếp. Định nghĩa luật Hàn về chuỗi cung ứng không tự thành định nghĩa chung mọi ngữ cảnh Việt.</x:v>
      </x:c>
      <x:c r="J212" s="11" t="str">
        <x:v>* Đề xuất để tiếp tục tra cứu</x:v>
      </x:c>
      <x:c r="K212" s="11" t="str">
        <x:v>Chưa có nguồn ánh xạ</x:v>
      </x:c>
      <x:c r="L212" s="11" t="str">
        <x:v>Đối dịch tường minh trong nguồn</x:v>
      </x:c>
      <x:c r="M212" s="37" t="str">
        <x:v>EB172
Nguồn kiểm tra, dòng 816</x:v>
      </x:c>
      <x:c r="N212" s="11" t="str">
        <x:v>an ninh kinh tế</x:v>
      </x:c>
      <x:c r="O212" s="11" t="str">
        <x:v>경제안보</x:v>
      </x:c>
      <x:c r="P212" s="11" t="str">
        <x:v>Trong nguồn luật Hàn Quốc: trạng thái hoạt động kinh tế thiết yếu và an ninh quốc gia được duy trì trước biến động trong và ngoài nước.</x:v>
      </x:c>
      <x:c r="Q212" s="11" t="str">
        <x:v>Phạm vi an ninh kinh tế trong ngoại giao, chuỗi cung ứng.</x:v>
      </x:c>
      <x:c r="R212" s="11" t="str">
        <x:v>Cần xem xét</x:v>
      </x:c>
      <x:c r="S212" s="11" t="str">
        <x:v>Giữ làm đơn vị nghiên cứu</x:v>
      </x:c>
      <x:c r="T212" s="11" t="str">
        <x:v>C071</x:v>
      </x:c>
    </x:row>
    <x:row r="213" ht="67.5" customHeight="1">
      <x:c r="A213" s="11" t="n">
        <x:v>208</x:v>
      </x:c>
      <x:c r="B213" s="11" t="str">
        <x:v>C072</x:v>
      </x:c>
      <x:c r="C213" s="11" t="str">
        <x:v>an ninh năng lượng</x:v>
      </x:c>
      <x:c r="D213" s="11" t="str">
        <x:v>energy security</x:v>
      </x:c>
      <x:c r="E213" s="11" t="str">
        <x:v>에너지 안보</x:v>
      </x:c>
      <x:c r="F213" s="11" t="str">
        <x:v>energy security</x:v>
      </x:c>
      <x:c r="G213" s="38" t="str">
        <x:v>Trùng biểu thức Anh</x:v>
      </x:c>
      <x:c r="H213" s="39" t="str">
        <x:v>Xác nhận — cùng biểu thức Anh</x:v>
      </x:c>
      <x:c r="I213" s="11" t="str">
        <x:v>Hai nguồn song ngữ dùng energy security trong vấn đề bảo đảm năng lượng. Sự tương đương nhãn không phụ thuộc việc khái niệm trạng thái có nằm trong năm nhóm hiện tại.</x:v>
      </x:c>
      <x:c r="J213" s="11" t="str">
        <x:v>Đối chiếu văn bản song song</x:v>
      </x:c>
      <x:c r="K213" s="37" t="str">
        <x:v>EB173
Nguồn kiểm tra, dòng 817</x:v>
      </x:c>
      <x:c r="L213" s="11" t="str">
        <x:v>Đối dịch tường minh trong nguồn</x:v>
      </x:c>
      <x:c r="M213" s="37" t="str">
        <x:v>EB174
Nguồn kiểm tra, dòng 818</x:v>
      </x:c>
      <x:c r="N213" s="11" t="str">
        <x:v>an ninh năng lượng</x:v>
      </x:c>
      <x:c r="O213" s="11" t="str">
        <x:v>에너지 안보</x:v>
      </x:c>
      <x:c r="P213" s="11" t="str">
        <x:v>Khả năng bảo đảm năng lượng trong quan hệ với giá cả và ổn định kinh tế.</x:v>
      </x:c>
      <x:c r="Q213" s="11" t="str">
        <x:v>Bảo đảm nguồn cung năng lượng và khả năng ứng phó khủng hoảng năng lượng.</x:v>
      </x:c>
      <x:c r="R213" s="11" t="str">
        <x:v>Cần xem xét</x:v>
      </x:c>
      <x:c r="S213" s="11" t="str">
        <x:v>Giữ làm đơn vị nghiên cứu</x:v>
      </x:c>
      <x:c r="T213" s="11" t="str">
        <x:v>C072</x:v>
      </x:c>
    </x:row>
    <x:row r="214" ht="72" customHeight="1">
      <x:c r="A214" s="11" t="n">
        <x:v>209</x:v>
      </x:c>
      <x:c r="B214" s="11" t="str">
        <x:v>C073</x:v>
      </x:c>
      <x:c r="C214" s="11" t="str">
        <x:v>an ninh mạng</x:v>
      </x:c>
      <x:c r="D214" s="11" t="str">
        <x:v>cybersecurity</x:v>
      </x:c>
      <x:c r="E214" s="11" t="str">
        <x:v>사이버 안보</x:v>
      </x:c>
      <x:c r="F214" s="40" t="str">
        <x:v>cybersecurity *</x:v>
      </x:c>
      <x:c r="G214" s="40" t="str">
        <x:v>Chưa đủ hai nguồn để so khớp</x:v>
      </x:c>
      <x:c r="H214" s="41" t="str">
        <x:v>Có điều kiện — chưa chốt</x:v>
      </x:c>
      <x:c r="I214" s="11" t="str">
        <x:v>Nguồn Việt ghi cybersecurity ở nghĩa bảo vệ không gian mạng; chưa có nguồn ánh xạ chính xác 사이버 안보 trong lượt này. Nghĩa luật Việt và phạm vi chiến lược Hàn cần đối chiếu riêng.</x:v>
      </x:c>
      <x:c r="J214" s="11" t="str">
        <x:v>Đối dịch tường minh trong nguồn</x:v>
      </x:c>
      <x:c r="K214" s="37" t="str">
        <x:v>EB175
Nguồn kiểm tra, dòng 819</x:v>
      </x:c>
      <x:c r="L214" s="11" t="str">
        <x:v>* Đề xuất để tiếp tục tra cứu</x:v>
      </x:c>
      <x:c r="M214" s="11" t="str">
        <x:v>Chưa có nguồn ánh xạ</x:v>
      </x:c>
      <x:c r="N214" s="11" t="str">
        <x:v>an ninh mạng</x:v>
      </x:c>
      <x:c r="O214" s="11" t="str">
        <x:v>사이버 안보</x:v>
      </x:c>
      <x:c r="P214" s="11" t="str">
        <x:v>Bảo vệ không gian mạng và hệ thống trước các rủi ro, tấn công.</x:v>
      </x:c>
      <x:c r="Q214" s="11" t="str">
        <x:v>Theo luật Việt Nam được dẫn: sự ổn định, an toàn của không gian mạng và bảo đảm hệ thống, dữ liệu, hoạt động không phương hại lợi ích hợp pháp.</x:v>
      </x:c>
      <x:c r="R214" s="11" t="str">
        <x:v>Cần xem xét</x:v>
      </x:c>
      <x:c r="S214" s="11" t="str">
        <x:v>Giữ làm đơn vị nghiên cứu</x:v>
      </x:c>
      <x:c r="T214" s="11" t="str">
        <x:v>C073</x:v>
      </x:c>
    </x:row>
    <x:row r="215" ht="67.5" customHeight="1">
      <x:c r="A215" s="11" t="n">
        <x:v>210</x:v>
      </x:c>
      <x:c r="B215" s="11" t="str">
        <x:v>C076</x:v>
      </x:c>
      <x:c r="C215" s="11" t="str">
        <x:v>thượng tôn pháp luật</x:v>
      </x:c>
      <x:c r="D215" s="40" t="str">
        <x:v>supremacy of law *</x:v>
      </x:c>
      <x:c r="E215" s="11" t="str">
        <x:v>법치주의</x:v>
      </x:c>
      <x:c r="F215" s="11" t="str">
        <x:v>rule of law</x:v>
      </x:c>
      <x:c r="G215" s="44" t="str">
        <x:v>Khác biểu thức / phạm vi</x:v>
      </x:c>
      <x:c r="H215" s="45" t="str">
        <x:v>Lệch nghĩa / phạm vi</x:v>
      </x:c>
      <x:c r="I215" s="11" t="str">
        <x:v>법치주의 được ánh xạ rule of law; nguồn Việt phân biệt tinh thần thượng tôn pháp luật và học thuyết pháp quyền. Không tự chuẩn hóa cả hai thành rule of law rồi xác nhận.</x:v>
      </x:c>
      <x:c r="J215" s="11" t="str">
        <x:v>* Đề xuất để tiếp tục tra cứu</x:v>
      </x:c>
      <x:c r="K215" s="11" t="str">
        <x:v>Chưa có nguồn ánh xạ</x:v>
      </x:c>
      <x:c r="L215" s="11" t="str">
        <x:v>Đối chiếu văn bản song song</x:v>
      </x:c>
      <x:c r="M215" s="37" t="str">
        <x:v>EB176
Nguồn kiểm tra, dòng 820</x:v>
      </x:c>
      <x:c r="N215" s="11" t="str">
        <x:v>thượng tôn pháp luật</x:v>
      </x:c>
      <x:c r="O215" s="11" t="str">
        <x:v>법치주의</x:v>
      </x:c>
      <x:c r="P215" s="11" t="str">
        <x:v>Nguyên tắc coi pháp luật là chuẩn mực ràng buộc mọi chủ thể, kể cả cơ quan công quyền.</x:v>
      </x:c>
      <x:c r="Q215" s="11" t="str">
        <x:v>Giá trị/phương thức quyền lực chịu sự ràng buộc của pháp luật.</x:v>
      </x:c>
      <x:c r="R215" s="11" t="str">
        <x:v>N3</x:v>
      </x:c>
      <x:c r="S215" s="11" t="str">
        <x:v>Giữ làm đơn vị nghiên cứu</x:v>
      </x:c>
      <x:c r="T215" s="11" t="str">
        <x:v>C076</x:v>
      </x:c>
    </x:row>
    <x:row r="216" ht="72" customHeight="1">
      <x:c r="A216" s="11" t="n">
        <x:v>211</x:v>
      </x:c>
      <x:c r="B216" s="11" t="str">
        <x:v>C085</x:v>
      </x:c>
      <x:c r="C216" s="11" t="str">
        <x:v>quản trị toàn cầu</x:v>
      </x:c>
      <x:c r="D216" s="11" t="str">
        <x:v>global governance</x:v>
      </x:c>
      <x:c r="E216" s="11" t="str">
        <x:v>글로벌 거버넌스</x:v>
      </x:c>
      <x:c r="F216" s="11" t="str">
        <x:v>global governance</x:v>
      </x:c>
      <x:c r="G216" s="38" t="str">
        <x:v>Trùng biểu thức Anh</x:v>
      </x:c>
      <x:c r="H216" s="39" t="str">
        <x:v>Xác nhận — cùng biểu thức Anh</x:v>
      </x:c>
      <x:c r="I216" s="11" t="str">
        <x:v>Hai ánh xạ cùng khái niệm quản trị toàn cầu theo nghĩa rộng. Xác nhận nhãn đối dịch không tự quyết định N3 hay N4: mô hình/thể chế và thực hành điều phối vẫn phải chọn nghĩa khi phân loại.</x:v>
      </x:c>
      <x:c r="J216" s="11" t="str">
        <x:v>Đối dịch tường minh trong nguồn</x:v>
      </x:c>
      <x:c r="K216" s="37" t="str">
        <x:v>EB177
Nguồn kiểm tra, dòng 821</x:v>
      </x:c>
      <x:c r="L216" s="11" t="str">
        <x:v>Đối dịch tường minh trong nguồn</x:v>
      </x:c>
      <x:c r="M216" s="37" t="str">
        <x:v>EB178
Nguồn kiểm tra, dòng 822</x:v>
      </x:c>
      <x:c r="N216" s="11" t="str">
        <x:v>quản trị toàn cầu</x:v>
      </x:c>
      <x:c r="O216" s="11" t="str">
        <x:v>글로벌 거버넌스</x:v>
      </x:c>
      <x:c r="P216" s="11" t="str">
        <x:v>Các thiết chế, chuẩn tắc và phương thức phối hợp giải quyết vấn đề chung toàn cầu.</x:v>
      </x:c>
      <x:c r="Q216" s="11" t="str">
        <x:v>Sự phối hợp giữa các chủ thể xuyên quốc gia để xử lý vấn đề vượt biên giới quốc gia.</x:v>
      </x:c>
      <x:c r="R216" s="11" t="str">
        <x:v>N4</x:v>
      </x:c>
      <x:c r="S216" s="11" t="str">
        <x:v>Cần xem xét tư cách/phạm vi</x:v>
      </x:c>
      <x:c r="T216" s="11" t="str">
        <x:v>C085</x:v>
      </x:c>
    </x:row>
    <x:row r="217" ht="67.5" customHeight="1">
      <x:c r="A217" s="11" t="n">
        <x:v>212</x:v>
      </x:c>
      <x:c r="B217" s="11" t="str">
        <x:v>C086</x:v>
      </x:c>
      <x:c r="C217" s="11" t="str">
        <x:v>trật tự quốc tế</x:v>
      </x:c>
      <x:c r="D217" s="40" t="str">
        <x:v>international order *</x:v>
      </x:c>
      <x:c r="E217" s="11" t="str">
        <x:v>국제질서</x:v>
      </x:c>
      <x:c r="F217" s="11" t="str">
        <x:v>international order</x:v>
      </x:c>
      <x:c r="G217" s="40" t="str">
        <x:v>Chưa đủ hai nguồn để so khớp</x:v>
      </x:c>
      <x:c r="H217" s="41" t="str">
        <x:v>Ứng viên — còn thiếu chứng cứ</x:v>
      </x:c>
      <x:c r="I217" s="11" t="str">
        <x:v>Nguồn Hàn ghi international order trong tiêu đề song ngữ; chưa có chân Việt–Anh trực tiếp. Khái niệm cấu trúc trật tự và trạng thái tương quan quyền lực cần giữ ngữ cảnh.</x:v>
      </x:c>
      <x:c r="J217" s="11" t="str">
        <x:v>* Đề xuất để tiếp tục tra cứu</x:v>
      </x:c>
      <x:c r="K217" s="11" t="str">
        <x:v>Chưa có nguồn ánh xạ</x:v>
      </x:c>
      <x:c r="L217" s="11" t="str">
        <x:v>Đối dịch tường minh trong nguồn</x:v>
      </x:c>
      <x:c r="M217" s="37" t="str">
        <x:v>EB179
Nguồn kiểm tra, dòng 823</x:v>
      </x:c>
      <x:c r="N217" s="11" t="str">
        <x:v>trật tự quốc tế</x:v>
      </x:c>
      <x:c r="O217" s="11" t="str">
        <x:v>국제질서</x:v>
      </x:c>
      <x:c r="P217" s="11" t="str">
        <x:v>Cách sắp xếp và vận hành các quan hệ, quyền lực, quy tắc và thiết chế trong hệ thống quốc tế.</x:v>
      </x:c>
      <x:c r="Q217" s="11" t="str">
        <x:v>Trật tự quốc tế trong quan hệ quyền lực và hợp tác đa phương.</x:v>
      </x:c>
      <x:c r="R217" s="11" t="str">
        <x:v>N3</x:v>
      </x:c>
      <x:c r="S217" s="11" t="str">
        <x:v>Giữ làm đơn vị nghiên cứu</x:v>
      </x:c>
      <x:c r="T217" s="11" t="str">
        <x:v>C086</x:v>
      </x:c>
    </x:row>
    <x:row r="218" ht="87" customHeight="1">
      <x:c r="A218" s="11" t="n">
        <x:v>213</x:v>
      </x:c>
      <x:c r="B218" s="11" t="str">
        <x:v>C087</x:v>
      </x:c>
      <x:c r="C218" s="11" t="str">
        <x:v>quan hệ quốc tế</x:v>
      </x:c>
      <x:c r="D218" s="11" t="str">
        <x:v>international relations</x:v>
      </x:c>
      <x:c r="E218" s="11" t="str">
        <x:v>국제관계</x:v>
      </x:c>
      <x:c r="F218" s="11" t="str">
        <x:v>international relations</x:v>
      </x:c>
      <x:c r="G218" s="40" t="str">
        <x:v>Trùng biểu thức Anh</x:v>
      </x:c>
      <x:c r="H218" s="41" t="str">
        <x:v>Có điều kiện — chưa chốt</x:v>
      </x:c>
      <x:c r="I218" s="11" t="str">
        <x:v>Hai dạng tiếng Anh trùng, nhưng chân Việt hiện chứng minh tên ngành học còn chân Hàn mô tả các quan hệ thực tế. Chưa dùng để confirmed nghĩa N4 quan hệ giữa chủ thể. Cần nguồn Việt–Anh trong đúng nghĩa quan hệ thực tế hoặc câu ngữ liệu khóa nghĩa.</x:v>
      </x:c>
      <x:c r="J218" s="11" t="str">
        <x:v>Đối dịch tường minh trong nguồn</x:v>
      </x:c>
      <x:c r="K218" s="37" t="str">
        <x:v>EB180
Nguồn kiểm tra, dòng 824</x:v>
      </x:c>
      <x:c r="L218" s="11" t="str">
        <x:v>Đối dịch tường minh trong nguồn</x:v>
      </x:c>
      <x:c r="M218" s="37" t="str">
        <x:v>EB181
Nguồn kiểm tra, dòng 825</x:v>
      </x:c>
      <x:c r="N218" s="11" t="str">
        <x:v>Quan hệ quốc tế</x:v>
      </x:c>
      <x:c r="O218" s="11" t="str">
        <x:v>국제관계</x:v>
      </x:c>
      <x:c r="P218" s="11" t="str">
        <x:v>Tên ngành học nghiên cứu quan hệ quốc tế.</x:v>
      </x:c>
      <x:c r="Q218" s="11" t="str">
        <x:v>Các quan hệ chính trị, kinh tế, quân sự liên kết bán đảo Triều Tiên với thế giới.</x:v>
      </x:c>
      <x:c r="R218" s="11" t="str">
        <x:v>N4</x:v>
      </x:c>
      <x:c r="S218" s="11" t="str">
        <x:v>Giữ làm đơn vị nghiên cứu</x:v>
      </x:c>
      <x:c r="T218" s="11" t="str">
        <x:v>C087</x:v>
      </x:c>
    </x:row>
    <x:row r="219" ht="67.5" customHeight="1">
      <x:c r="A219" s="11" t="n">
        <x:v>214</x:v>
      </x:c>
      <x:c r="B219" s="11" t="str">
        <x:v>C088</x:v>
      </x:c>
      <x:c r="C219" s="11" t="str">
        <x:v>sức mạnh mềm</x:v>
      </x:c>
      <x:c r="D219" s="40" t="str">
        <x:v>soft power *</x:v>
      </x:c>
      <x:c r="E219" s="11" t="str">
        <x:v>소프트파워</x:v>
      </x:c>
      <x:c r="F219" s="40" t="str">
        <x:v>soft power *</x:v>
      </x:c>
      <x:c r="G219" s="40" t="str">
        <x:v>Chưa đủ hai nguồn để so khớp</x:v>
      </x:c>
      <x:c r="H219" s="41" t="str">
        <x:v>Ứng viên — còn thiếu chứng cứ</x:v>
      </x:c>
      <x:c r="I219" s="11" t="str">
        <x:v>Soft power là dạng Anh dự kiến và là tên khái niệm trong nguồn Nye; chưa có hai ánh xạ VI–EN/KO–EN được xác minh. Đây là năng lực, không vì dịch phù hợp mà ép vào nhóm tư tưởng.</x:v>
      </x:c>
      <x:c r="J219" s="11" t="str">
        <x:v>* Đề xuất để tiếp tục tra cứu</x:v>
      </x:c>
      <x:c r="K219" s="11" t="str">
        <x:v>Chưa có nguồn ánh xạ</x:v>
      </x:c>
      <x:c r="L219" s="11" t="str">
        <x:v>* Đề xuất để tiếp tục tra cứu</x:v>
      </x:c>
      <x:c r="M219" s="11" t="str">
        <x:v>Chưa có nguồn ánh xạ</x:v>
      </x:c>
      <x:c r="N219" s="11" t="str">
        <x:v>sức mạnh mềm</x:v>
      </x:c>
      <x:c r="O219" s="11" t="str">
        <x:v>소프트파워</x:v>
      </x:c>
      <x:c r="P219" s="11" t="str">
        <x:v>Năng lực gây ảnh hưởng bằng sức hấp dẫn và thuyết phục để đạt kết quả mong muốn.</x:v>
      </x:c>
      <x:c r="Q219" s="11" t="str">
        <x:v>Năng lực gây ảnh hưởng bằng sức hấp dẫn và thuyết phục để đạt kết quả mong muốn.</x:v>
      </x:c>
      <x:c r="R219" s="11" t="str">
        <x:v>Cần xem xét</x:v>
      </x:c>
      <x:c r="S219" s="11" t="str">
        <x:v>Giữ làm đơn vị nghiên cứu</x:v>
      </x:c>
      <x:c r="T219" s="11" t="str">
        <x:v>C088</x:v>
      </x:c>
    </x:row>
    <x:row r="220" ht="67.5" customHeight="1">
      <x:c r="A220" s="11" t="n">
        <x:v>215</x:v>
      </x:c>
      <x:c r="B220" s="11" t="str">
        <x:v>C089</x:v>
      </x:c>
      <x:c r="C220" s="11" t="str">
        <x:v>tin cậy chính trị</x:v>
      </x:c>
      <x:c r="D220" s="40" t="str">
        <x:v>political trust *</x:v>
      </x:c>
      <x:c r="E220" s="11" t="str">
        <x:v>정치적 신뢰</x:v>
      </x:c>
      <x:c r="F220" s="40" t="str">
        <x:v>political trust *</x:v>
      </x:c>
      <x:c r="G220" s="40" t="str">
        <x:v>Chưa đủ hai nguồn để so khớp</x:v>
      </x:c>
      <x:c r="H220" s="41" t="str">
        <x:v>Ứng viên — còn thiếu chứng cứ</x:v>
      </x:c>
      <x:c r="I220" s="11" t="str">
        <x:v>Political trust có thể chỉ tin cậy giữa quốc gia, lòng tin vào thể chế hoặc vào chính khách. Cần khóa đối tượng tin cậy; chưa có hai ánh xạ trực tiếp.</x:v>
      </x:c>
      <x:c r="J220" s="11" t="str">
        <x:v>* Đề xuất để tiếp tục tra cứu</x:v>
      </x:c>
      <x:c r="K220" s="11" t="str">
        <x:v>Chưa có nguồn ánh xạ</x:v>
      </x:c>
      <x:c r="L220" s="11" t="str">
        <x:v>* Đề xuất để tiếp tục tra cứu</x:v>
      </x:c>
      <x:c r="M220" s="11" t="str">
        <x:v>Chưa có nguồn ánh xạ</x:v>
      </x:c>
      <x:c r="N220" s="11" t="str">
        <x:v>tin cậy chính trị</x:v>
      </x:c>
      <x:c r="O220" s="11" t="str">
        <x:v>정치적 신뢰</x:v>
      </x:c>
      <x:c r="P220" s="11" t="str">
        <x:v>Sự tin tưởng giữa các chủ thể về ý định, cam kết hoặc hành xử chính trị; cần xác định đối tượng và quan hệ cụ thể.</x:v>
      </x:c>
      <x:c r="Q220" s="11" t="str">
        <x:v>Sự tin tưởng giữa các chủ thể về ý định, cam kết hoặc hành xử chính trị; cần xác định đối tượng và quan hệ cụ thể.</x:v>
      </x:c>
      <x:c r="R220" s="11" t="str">
        <x:v>Cần xem xét</x:v>
      </x:c>
      <x:c r="S220" s="11" t="str">
        <x:v>Cần xem xét tư cách/phạm vi</x:v>
      </x:c>
      <x:c r="T220" s="11" t="str">
        <x:v>C089</x:v>
      </x:c>
    </x:row>
    <x:row r="221" ht="67.5" customHeight="1">
      <x:c r="A221" s="11" t="n">
        <x:v>216</x:v>
      </x:c>
      <x:c r="B221" s="11" t="str">
        <x:v>C091</x:v>
      </x:c>
      <x:c r="C221" s="11" t="str">
        <x:v>đa phương hóa</x:v>
      </x:c>
      <x:c r="D221" s="40" t="str">
        <x:v>multilateralization *</x:v>
      </x:c>
      <x:c r="E221" s="11" t="str">
        <x:v>다자화</x:v>
      </x:c>
      <x:c r="F221" s="40" t="str">
        <x:v>multilateralization *</x:v>
      </x:c>
      <x:c r="G221" s="40" t="str">
        <x:v>Chưa đủ hai nguồn để so khớp</x:v>
      </x:c>
      <x:c r="H221" s="41" t="str">
        <x:v>Ứng viên — còn thiếu chứng cứ</x:v>
      </x:c>
      <x:c r="I221" s="11" t="str">
        <x:v>Multilateralization là đề xuất theo ngữ cảnh đối ngoại. Không thay bằng multilateralism; định hướng chính sách và quá trình đa phương hóa vẫn phải phân biệt.</x:v>
      </x:c>
      <x:c r="J221" s="11" t="str">
        <x:v>* Đề xuất để tiếp tục tra cứu</x:v>
      </x:c>
      <x:c r="K221" s="11" t="str">
        <x:v>Chưa có nguồn ánh xạ</x:v>
      </x:c>
      <x:c r="L221" s="11" t="str">
        <x:v>* Đề xuất để tiếp tục tra cứu</x:v>
      </x:c>
      <x:c r="M221" s="11" t="str">
        <x:v>Chưa có nguồn ánh xạ</x:v>
      </x:c>
      <x:c r="N221" s="11" t="str">
        <x:v>đa phương hóa</x:v>
      </x:c>
      <x:c r="O221" s="11" t="str">
        <x:v>다자화</x:v>
      </x:c>
      <x:c r="P221" s="11" t="str">
        <x:v>Trong đối ngoại: mở rộng quan hệ hoặc cách thức xử lý vấn đề sang nhiều bên; có thể là định hướng hoặc quá trình.</x:v>
      </x:c>
      <x:c r="Q221" s="11" t="str">
        <x:v>Trong đối ngoại: mở rộng quan hệ hoặc cách thức xử lý vấn đề sang nhiều bên; có thể là định hướng hoặc quá trình.</x:v>
      </x:c>
      <x:c r="R221" s="11" t="str">
        <x:v>Cần xem xét</x:v>
      </x:c>
      <x:c r="S221" s="11" t="str">
        <x:v>Cần xem xét tư cách/phạm vi</x:v>
      </x:c>
      <x:c r="T221" s="11" t="str">
        <x:v>C091</x:v>
      </x:c>
    </x:row>
    <x:row r="222" ht="67.5" customHeight="1">
      <x:c r="A222" s="11" t="n">
        <x:v>217</x:v>
      </x:c>
      <x:c r="B222" s="11" t="str">
        <x:v>C092</x:v>
      </x:c>
      <x:c r="C222" s="11" t="str">
        <x:v>đa dạng hóa</x:v>
      </x:c>
      <x:c r="D222" s="40" t="str">
        <x:v>diversification *</x:v>
      </x:c>
      <x:c r="E222" s="11" t="str">
        <x:v>다변화</x:v>
      </x:c>
      <x:c r="F222" s="40" t="str">
        <x:v>diversification *</x:v>
      </x:c>
      <x:c r="G222" s="40" t="str">
        <x:v>Chưa đủ hai nguồn để so khớp</x:v>
      </x:c>
      <x:c r="H222" s="41" t="str">
        <x:v>Ứng viên — còn thiếu chứng cứ</x:v>
      </x:c>
      <x:c r="I222" s="11" t="str">
        <x:v>Diversification cần nêu đối tác/lĩnh vực/chuỗi cung ứng nào được đa dạng hóa; chưa có nguồn đối dịch hai chân cho ngữ cảnh chính trị–ngoại giao.</x:v>
      </x:c>
      <x:c r="J222" s="11" t="str">
        <x:v>* Đề xuất để tiếp tục tra cứu</x:v>
      </x:c>
      <x:c r="K222" s="11" t="str">
        <x:v>Chưa có nguồn ánh xạ</x:v>
      </x:c>
      <x:c r="L222" s="11" t="str">
        <x:v>* Đề xuất để tiếp tục tra cứu</x:v>
      </x:c>
      <x:c r="M222" s="11" t="str">
        <x:v>Chưa có nguồn ánh xạ</x:v>
      </x:c>
      <x:c r="N222" s="11" t="str">
        <x:v>đa dạng hóa</x:v>
      </x:c>
      <x:c r="O222" s="11" t="str">
        <x:v>다변화</x:v>
      </x:c>
      <x:c r="P222" s="11" t="str">
        <x:v>Làm phong phú đối tác, lĩnh vực hoặc phương thức quan hệ; cần nêu đối tượng được đa dạng hóa.</x:v>
      </x:c>
      <x:c r="Q222" s="11" t="str">
        <x:v>Làm phong phú đối tác, lĩnh vực hoặc phương thức quan hệ; cần nêu đối tượng được đa dạng hóa.</x:v>
      </x:c>
      <x:c r="R222" s="11" t="str">
        <x:v>Cần xem xét</x:v>
      </x:c>
      <x:c r="S222" s="11" t="str">
        <x:v>Cần xem xét tư cách/phạm vi</x:v>
      </x:c>
      <x:c r="T222" s="11" t="str">
        <x:v>C092</x:v>
      </x:c>
    </x:row>
    <x:row r="223" ht="72" customHeight="1">
      <x:c r="A223" s="11" t="n">
        <x:v>218</x:v>
      </x:c>
      <x:c r="B223" s="11" t="str">
        <x:v>C097</x:v>
      </x:c>
      <x:c r="C223" s="11" t="str">
        <x:v>quản trị đại dương</x:v>
      </x:c>
      <x:c r="D223" s="11" t="str">
        <x:v>ocean governance</x:v>
      </x:c>
      <x:c r="E223" s="11" t="str">
        <x:v>해양 거버넌스</x:v>
      </x:c>
      <x:c r="F223" s="11" t="str">
        <x:v>ocean governance</x:v>
      </x:c>
      <x:c r="G223" s="38" t="str">
        <x:v>Trùng biểu thức Anh</x:v>
      </x:c>
      <x:c r="H223" s="39" t="str">
        <x:v>Xác nhận — cùng biểu thức Anh</x:v>
      </x:c>
      <x:c r="I223" s="11" t="str">
        <x:v>Hai nguồn công bố đúng nhãn Ocean Governance trong lĩnh vực luật, chính sách và quản trị biển. Chưa xác định riêng đó là mô hình quản trị hay hoạt động quản trị trong một câu cụ thể; quyết định N3/N4 độc lập với xác nhận tên khái niệm.</x:v>
      </x:c>
      <x:c r="J223" s="11" t="str">
        <x:v>Đối dịch tường minh trong nguồn</x:v>
      </x:c>
      <x:c r="K223" s="37" t="str">
        <x:v>EB182
Nguồn kiểm tra, dòng 826</x:v>
      </x:c>
      <x:c r="L223" s="11" t="str">
        <x:v>Đối dịch tường minh trong nguồn</x:v>
      </x:c>
      <x:c r="M223" s="37" t="str">
        <x:v>EB183
Nguồn kiểm tra, dòng 827</x:v>
      </x:c>
      <x:c r="N223" s="11" t="str">
        <x:v>quản trị đại dương</x:v>
      </x:c>
      <x:c r="O223" s="11" t="str">
        <x:v>해양 거버넌스</x:v>
      </x:c>
      <x:c r="P223" s="11" t="str">
        <x:v>Quản trị đại dương gắn thể chế, chính sách và điều phối phát triển kinh tế biển bền vững.</x:v>
      </x:c>
      <x:c r="Q223" s="11" t="str">
        <x:v>Lĩnh vực quản trị biển và đại dương trong luật và chính sách biển.</x:v>
      </x:c>
      <x:c r="R223" s="11" t="str">
        <x:v>N4</x:v>
      </x:c>
      <x:c r="S223" s="11" t="str">
        <x:v>Cần xem xét tư cách/phạm vi</x:v>
      </x:c>
      <x:c r="T223" s="11" t="str">
        <x:v>C097</x:v>
      </x:c>
    </x:row>
    <x:row r="224" ht="72" customHeight="1">
      <x:c r="A224" s="11" t="n">
        <x:v>219</x:v>
      </x:c>
      <x:c r="B224" s="11" t="str">
        <x:v>C099</x:v>
      </x:c>
      <x:c r="C224" s="11" t="str">
        <x:v>hợp tác song phương</x:v>
      </x:c>
      <x:c r="D224" s="40" t="str">
        <x:v>bilateral cooperation *</x:v>
      </x:c>
      <x:c r="E224" s="11" t="str">
        <x:v>양자 협력</x:v>
      </x:c>
      <x:c r="F224" s="40" t="str">
        <x:v>bilateral cooperation *</x:v>
      </x:c>
      <x:c r="G224" s="40" t="str">
        <x:v>Chưa đủ hai nguồn để so khớp</x:v>
      </x:c>
      <x:c r="H224" s="41" t="str">
        <x:v>Ứng viên — còn thiếu chứng cứ</x:v>
      </x:c>
      <x:c r="I224" s="11" t="str">
        <x:v>Đã thử tìm trên nguồn Quốc ngữ viện nhưng chưa đọc được mục từ nguyên dạng phù hợp; needs_check không có nghĩa thuật ngữ không tồn tại. compatible = có khả năng tương ứng theo nghĩa làm việc; chưa thay thế kiểm tra câu song hành.</x:v>
      </x:c>
      <x:c r="J224" s="11" t="str">
        <x:v>* Đề xuất để tiếp tục tra cứu</x:v>
      </x:c>
      <x:c r="K224" s="11" t="str">
        <x:v>Chưa có nguồn ánh xạ</x:v>
      </x:c>
      <x:c r="L224" s="11" t="str">
        <x:v>* Đề xuất để tiếp tục tra cứu</x:v>
      </x:c>
      <x:c r="M224" s="11" t="str">
        <x:v>Chưa có nguồn ánh xạ</x:v>
      </x:c>
      <x:c r="N224" s="11" t="str">
        <x:v>hợp tác song phương</x:v>
      </x:c>
      <x:c r="O224" s="11" t="str">
        <x:v>양자 협력</x:v>
      </x:c>
      <x:c r="P224" s="11" t="str">
        <x:v>Hoạt động phối hợp giữa hai quốc gia hoặc hai bên nhằm thực hiện mục tiêu chung.</x:v>
      </x:c>
      <x:c r="Q224" s="11" t="str">
        <x:v>Đối chiếu nghĩa Hàn đã ghi trong trang Thuật ngữ.</x:v>
      </x:c>
      <x:c r="R224" s="11" t="str">
        <x:v>N4</x:v>
      </x:c>
      <x:c r="S224" s="11" t="str">
        <x:v>Giữ làm đơn vị nghiên cứu</x:v>
      </x:c>
      <x:c r="T224" s="11" t="str">
        <x:v>C099</x:v>
      </x:c>
    </x:row>
    <x:row r="225" ht="67.5" customHeight="1">
      <x:c r="A225" s="11" t="n">
        <x:v>220</x:v>
      </x:c>
      <x:c r="B225" s="11" t="str">
        <x:v>C100</x:v>
      </x:c>
      <x:c r="C225" s="11" t="str">
        <x:v>Ủy ban liên chính phủ</x:v>
      </x:c>
      <x:c r="D225" s="40" t="str">
        <x:v>intergovernmental committee *</x:v>
      </x:c>
      <x:c r="E225" s="11" t="str">
        <x:v>정부 간 위원회</x:v>
      </x:c>
      <x:c r="F225" s="40" t="str">
        <x:v>intergovernmental committee *</x:v>
      </x:c>
      <x:c r="G225" s="40" t="str">
        <x:v>Chưa đủ hai nguồn để so khớp</x:v>
      </x:c>
      <x:c r="H225" s="41" t="str">
        <x:v>Ứng viên — còn thiếu chứng cứ</x:v>
      </x:c>
      <x:c r="I225" s="11" t="str">
        <x:v>Tên loại liên chính phủ; cần kiểm tra là committee hay commission theo tên cơ quan cụ thể. Không đồng nhất một kỳ họp với cơ quan tổ chức.</x:v>
      </x:c>
      <x:c r="J225" s="11" t="str">
        <x:v>* Đề xuất để tiếp tục tra cứu</x:v>
      </x:c>
      <x:c r="K225" s="11" t="str">
        <x:v>Chưa có nguồn ánh xạ</x:v>
      </x:c>
      <x:c r="L225" s="11" t="str">
        <x:v>* Đề xuất để tiếp tục tra cứu</x:v>
      </x:c>
      <x:c r="M225" s="11" t="str">
        <x:v>Chưa có nguồn ánh xạ</x:v>
      </x:c>
      <x:c r="N225" s="11" t="str">
        <x:v>Ủy ban liên chính phủ</x:v>
      </x:c>
      <x:c r="O225" s="11" t="str">
        <x:v>정부 간 위원회</x:v>
      </x:c>
      <x:c r="P225" s="11" t="str">
        <x:v>Ủy ban có đại diện các chính phủ để phối hợp hoặc xử lý công việc chung.</x:v>
      </x:c>
      <x:c r="Q225" s="11" t="str">
        <x:v>Ủy ban có đại diện các chính phủ để phối hợp hoặc xử lý công việc chung.</x:v>
      </x:c>
      <x:c r="R225" s="11" t="str">
        <x:v>N2</x:v>
      </x:c>
      <x:c r="S225" s="11" t="str">
        <x:v>Giữ làm đơn vị nghiên cứu</x:v>
      </x:c>
      <x:c r="T225" s="11" t="str">
        <x:v>C100</x:v>
      </x:c>
    </x:row>
    <x:row r="226" ht="67.5" customHeight="1">
      <x:c r="A226" s="11" t="n">
        <x:v>221</x:v>
      </x:c>
      <x:c r="B226" s="11" t="str">
        <x:v>C101</x:v>
      </x:c>
      <x:c r="C226" s="11" t="str">
        <x:v>Ủy ban hỗn hợp</x:v>
      </x:c>
      <x:c r="D226" s="11" t="str">
        <x:v>Joint Committee</x:v>
      </x:c>
      <x:c r="E226" s="11" t="str">
        <x:v>공동위원회</x:v>
      </x:c>
      <x:c r="F226" s="40" t="str">
        <x:v>joint committee *</x:v>
      </x:c>
      <x:c r="G226" s="40" t="str">
        <x:v>Chưa đủ hai nguồn để so khớp</x:v>
      </x:c>
      <x:c r="H226" s="41" t="str">
        <x:v>Ứng viên — còn thiếu chứng cứ</x:v>
      </x:c>
      <x:c r="I226" s="11" t="str">
        <x:v>Joint committee là đề xuất, không mặc nhiên mọi 공동위원회 đều tương ứng Ủy ban hỗn hợp trong mọi cơ chế song phương.</x:v>
      </x:c>
      <x:c r="J226" s="11" t="str">
        <x:v>Đối chiếu văn bản song song</x:v>
      </x:c>
      <x:c r="K226" s="37" t="str">
        <x:v>EB184
Nguồn kiểm tra, dòng 828</x:v>
      </x:c>
      <x:c r="L226" s="11" t="str">
        <x:v>* Đề xuất để tiếp tục tra cứu</x:v>
      </x:c>
      <x:c r="M226" s="11" t="str">
        <x:v>Chưa có nguồn ánh xạ</x:v>
      </x:c>
      <x:c r="N226" s="11" t="str">
        <x:v>Ủy ban hỗn hợp</x:v>
      </x:c>
      <x:c r="O226" s="11" t="str">
        <x:v>공동위원회</x:v>
      </x:c>
      <x:c r="P226" s="11" t="str">
        <x:v>Ủy ban có thành viên từ các bên tham gia để thực hiện nhiệm vụ chung.</x:v>
      </x:c>
      <x:c r="Q226" s="11" t="str">
        <x:v>Ủy ban có thành viên từ các bên tham gia để thực hiện nhiệm vụ chung.</x:v>
      </x:c>
      <x:c r="R226" s="11" t="str">
        <x:v>N2</x:v>
      </x:c>
      <x:c r="S226" s="11" t="str">
        <x:v>Giữ làm đơn vị nghiên cứu</x:v>
      </x:c>
      <x:c r="T226" s="11" t="str">
        <x:v>C101</x:v>
      </x:c>
    </x:row>
    <x:row r="227" ht="72" customHeight="1">
      <x:c r="A227" s="11" t="n">
        <x:v>222</x:v>
      </x:c>
      <x:c r="B227" s="11" t="str">
        <x:v>C102</x:v>
      </x:c>
      <x:c r="C227" s="11" t="str">
        <x:v>Tham khảo chính trị</x:v>
      </x:c>
      <x:c r="D227" s="40" t="str">
        <x:v>political consultations *</x:v>
      </x:c>
      <x:c r="E227" s="11" t="str">
        <x:v>정치 협의</x:v>
      </x:c>
      <x:c r="F227" s="40" t="str">
        <x:v>political consultations *</x:v>
      </x:c>
      <x:c r="G227" s="40" t="str">
        <x:v>Chưa đủ hai nguồn để so khớp</x:v>
      </x:c>
      <x:c r="H227" s="41" t="str">
        <x:v>Ứng viên — còn thiếu chứng cứ</x:v>
      </x:c>
      <x:c r="I227" s="11" t="str">
        <x:v>Chọn hoạt động tham khảo chính trị; tên một cơ chế thường trực cần xem lại N3.1. Chưa có câu nguồn. Nhóm hiện là đề xuất có điều kiện theo nghĩa làm việc, chưa chốt khi thiếu câu nguồn.</x:v>
      </x:c>
      <x:c r="J227" s="11" t="str">
        <x:v>* Đề xuất để tiếp tục tra cứu</x:v>
      </x:c>
      <x:c r="K227" s="11" t="str">
        <x:v>Chưa có nguồn ánh xạ</x:v>
      </x:c>
      <x:c r="L227" s="11" t="str">
        <x:v>* Đề xuất để tiếp tục tra cứu</x:v>
      </x:c>
      <x:c r="M227" s="11" t="str">
        <x:v>Chưa có nguồn ánh xạ</x:v>
      </x:c>
      <x:c r="N227" s="11" t="str">
        <x:v>Tham khảo chính trị</x:v>
      </x:c>
      <x:c r="O227" s="11" t="str">
        <x:v>정치 협의</x:v>
      </x:c>
      <x:c r="P227" s="11" t="str">
        <x:v>Hoạt động trao đổi, tham khảo và điều phối quan điểm giữa các bên về vấn đề chính trị.</x:v>
      </x:c>
      <x:c r="Q227" s="11" t="str">
        <x:v>Đối chiếu nghĩa Hàn đã ghi trong trang Thuật ngữ.</x:v>
      </x:c>
      <x:c r="R227" s="11" t="str">
        <x:v>N4</x:v>
      </x:c>
      <x:c r="S227" s="11" t="str">
        <x:v>Cần xem xét tư cách/phạm vi</x:v>
      </x:c>
      <x:c r="T227" s="11" t="str">
        <x:v>C102</x:v>
      </x:c>
    </x:row>
    <x:row r="228" ht="67.5" customHeight="1">
      <x:c r="A228" s="11" t="n">
        <x:v>223</x:v>
      </x:c>
      <x:c r="B228" s="11" t="str">
        <x:v>C104</x:v>
      </x:c>
      <x:c r="C228" s="11" t="str">
        <x:v>Cộng đồng ASEAN</x:v>
      </x:c>
      <x:c r="D228" s="40" t="str">
        <x:v>ASEAN Community *</x:v>
      </x:c>
      <x:c r="E228" s="11" t="str">
        <x:v>아세안 공동체</x:v>
      </x:c>
      <x:c r="F228" s="11" t="str">
        <x:v>ASEAN Community</x:v>
      </x:c>
      <x:c r="G228" s="40" t="str">
        <x:v>Chưa đủ hai nguồn để so khớp</x:v>
      </x:c>
      <x:c r="H228" s="41" t="str">
        <x:v>Ứng viên — còn thiếu chứng cứ</x:v>
      </x:c>
      <x:c r="I228" s="11" t="str">
        <x:v>Nguồn Hàn ghi tên riêng ASEAN Community. Chân Việt–Anh còn thiếu ánh xạ trực tiếp; Cộng đồng ASEAN không đồng nhất với tổ chức ASEAN hay riêng ASEAN Economic Community.</x:v>
      </x:c>
      <x:c r="J228" s="11" t="str">
        <x:v>* Đề xuất để tiếp tục tra cứu</x:v>
      </x:c>
      <x:c r="K228" s="11" t="str">
        <x:v>Chưa có nguồn ánh xạ</x:v>
      </x:c>
      <x:c r="L228" s="11" t="str">
        <x:v>Đối dịch tường minh trong nguồn</x:v>
      </x:c>
      <x:c r="M228" s="37" t="str">
        <x:v>EB185
Nguồn kiểm tra, dòng 829</x:v>
      </x:c>
      <x:c r="N228" s="11" t="str">
        <x:v>Cộng đồng ASEAN</x:v>
      </x:c>
      <x:c r="O228" s="11" t="str">
        <x:v>아세안 공동체</x:v>
      </x:c>
      <x:c r="P228" s="11" t="str">
        <x:v>Khuôn khổ liên kết ASEAN theo ba trụ cột chính trị-an ninh, kinh tế và văn hóa-xã hội.</x:v>
      </x:c>
      <x:c r="Q228" s="11" t="str">
        <x:v>Cộng đồng ASEAN theo ba trụ cột chính trị-an ninh, kinh tế, văn hóa-xã hội.</x:v>
      </x:c>
      <x:c r="R228" s="11" t="str">
        <x:v>N3</x:v>
      </x:c>
      <x:c r="S228" s="11" t="str">
        <x:v>Giữ làm đơn vị nghiên cứu</x:v>
      </x:c>
      <x:c r="T228" s="11" t="str">
        <x:v>C104</x:v>
      </x:c>
    </x:row>
    <x:row r="229" ht="87" customHeight="1">
      <x:c r="A229" s="11" t="n">
        <x:v>224</x:v>
      </x:c>
      <x:c r="B229" s="11" t="str">
        <x:v>C105</x:v>
      </x:c>
      <x:c r="C229" s="11" t="str">
        <x:v>Đối thoại Shangri-la</x:v>
      </x:c>
      <x:c r="D229" s="40" t="str">
        <x:v>Shangri-La Dialogue *</x:v>
      </x:c>
      <x:c r="E229" s="11" t="str">
        <x:v>샹그릴라 대화</x:v>
      </x:c>
      <x:c r="F229" s="40" t="str">
        <x:v>Shangri-La Dialogue *</x:v>
      </x:c>
      <x:c r="G229" s="40" t="str">
        <x:v>Chưa đủ hai nguồn để so khớp</x:v>
      </x:c>
      <x:c r="H229" s="41" t="str">
        <x:v>Ứng viên — còn thiếu chứng cứ</x:v>
      </x:c>
      <x:c r="I229" s="11" t="str">
        <x:v>Tính thường niên không tự đổi một hội nghị thành tổ chức hoặc bộ quy tắc thiết chế. Nghĩa được diễn đạt bằng hai ngôn ngữ từ nguồn EN; không giả định nguồn cung cấp mục từ ở cả hai ngôn ngữ. compatible = có khả năng tương ứng theo nghĩa làm việc; chưa thay thế kiểm tra câu song hành.</x:v>
      </x:c>
      <x:c r="J229" s="11" t="str">
        <x:v>* Đề xuất để tiếp tục tra cứu</x:v>
      </x:c>
      <x:c r="K229" s="11" t="str">
        <x:v>Chưa có nguồn ánh xạ</x:v>
      </x:c>
      <x:c r="L229" s="11" t="str">
        <x:v>* Đề xuất để tiếp tục tra cứu</x:v>
      </x:c>
      <x:c r="M229" s="11" t="str">
        <x:v>Chưa có nguồn ánh xạ</x:v>
      </x:c>
      <x:c r="N229" s="11" t="str">
        <x:v>Đối thoại Shangri-la</x:v>
      </x:c>
      <x:c r="O229" s="11" t="str">
        <x:v>샹그릴라 대화</x:v>
      </x:c>
      <x:c r="P229" s="11" t="str">
        <x:v>Hội nghị đối thoại về quốc phòng và an ninh khu vực do IISS tổ chức tại Singapore.</x:v>
      </x:c>
      <x:c r="Q229" s="11" t="str">
        <x:v>Đối chiếu nghĩa Hàn đã ghi trong trang Thuật ngữ.</x:v>
      </x:c>
      <x:c r="R229" s="11" t="str">
        <x:v>N4</x:v>
      </x:c>
      <x:c r="S229" s="11" t="str">
        <x:v>Giữ làm đơn vị nghiên cứu</x:v>
      </x:c>
      <x:c r="T229" s="11" t="str">
        <x:v>C105</x:v>
      </x:c>
    </x:row>
    <x:row r="230" ht="67.5" customHeight="1">
      <x:c r="A230" s="11" t="n">
        <x:v>225</x:v>
      </x:c>
      <x:c r="B230" s="11" t="str">
        <x:v>C107</x:v>
      </x:c>
      <x:c r="C230" s="11" t="str">
        <x:v>hợp tác Mekong-Lan Thương</x:v>
      </x:c>
      <x:c r="D230" s="40" t="str">
        <x:v>Mekong–Lancang Cooperation *</x:v>
      </x:c>
      <x:c r="E230" s="11" t="str">
        <x:v>메콩-란창 협력</x:v>
      </x:c>
      <x:c r="F230" s="40" t="str">
        <x:v>Mekong–Lancang Cooperation *</x:v>
      </x:c>
      <x:c r="G230" s="40" t="str">
        <x:v>Chưa đủ hai nguồn để so khớp</x:v>
      </x:c>
      <x:c r="H230" s="41" t="str">
        <x:v>Ứng viên — còn thiếu chứng cứ</x:v>
      </x:c>
      <x:c r="I230" s="11" t="str">
        <x:v>Cần tên cơ chế Mekong–Lancang Cooperation (MLC), không chỉ hợp tác địa lý nói chung. Lancang–Mekong Cooperation (LMC) có thể là biến thể tên theo trật tự, phải có nguồn liên kết.</x:v>
      </x:c>
      <x:c r="J230" s="11" t="str">
        <x:v>* Đề xuất để tiếp tục tra cứu</x:v>
      </x:c>
      <x:c r="K230" s="11" t="str">
        <x:v>Chưa có nguồn ánh xạ</x:v>
      </x:c>
      <x:c r="L230" s="11" t="str">
        <x:v>* Đề xuất để tiếp tục tra cứu</x:v>
      </x:c>
      <x:c r="M230" s="11" t="str">
        <x:v>Chưa có nguồn ánh xạ</x:v>
      </x:c>
      <x:c r="N230" s="11" t="str">
        <x:v>hợp tác Mekong-Lan Thương</x:v>
      </x:c>
      <x:c r="O230" s="11" t="str">
        <x:v>메콩-란창 협력</x:v>
      </x:c>
      <x:c r="P230" s="11" t="str">
        <x:v>Cơ chế hợp tác giữa sáu quốc gia ven sông Mê Công–Lan Thương, nếu biểu thức là tên riêng MLC.</x:v>
      </x:c>
      <x:c r="Q230" s="11" t="str">
        <x:v>Cơ chế hợp tác giữa sáu quốc gia ven sông Mê Công–Lan Thương, nếu biểu thức là tên riêng MLC.</x:v>
      </x:c>
      <x:c r="R230" s="11" t="str">
        <x:v>N3</x:v>
      </x:c>
      <x:c r="S230" s="11" t="str">
        <x:v>Giữ làm đơn vị nghiên cứu</x:v>
      </x:c>
      <x:c r="T230" s="11" t="str">
        <x:v>C107</x:v>
      </x:c>
    </x:row>
    <x:row r="231" ht="67.5" customHeight="1">
      <x:c r="A231" s="11" t="n">
        <x:v>226</x:v>
      </x:c>
      <x:c r="B231" s="11" t="str">
        <x:v>C108</x:v>
      </x:c>
      <x:c r="C231" s="11" t="str">
        <x:v>Ủy ban chỉ đạo hợp tác song phương</x:v>
      </x:c>
      <x:c r="D231" s="40" t="str">
        <x:v>steering committee for bilateral cooperation *</x:v>
      </x:c>
      <x:c r="E231" s="11" t="str">
        <x:v>양자협력지도위원회</x:v>
      </x:c>
      <x:c r="F231" s="40" t="str">
        <x:v>steering committee for bilateral cooperation *</x:v>
      </x:c>
      <x:c r="G231" s="40" t="str">
        <x:v>Chưa đủ hai nguồn để so khớp</x:v>
      </x:c>
      <x:c r="H231" s="41" t="str">
        <x:v>Ứng viên — còn thiếu chứng cứ</x:v>
      </x:c>
      <x:c r="I231" s="11" t="str">
        <x:v>Chưa có nguồn Hàn–Anh tường minh cho toàn biểu thức. Cần tên hai nước và văn kiện thành lập ủy ban để khóa cùng thực thể.</x:v>
      </x:c>
      <x:c r="J231" s="11" t="str">
        <x:v>* Đề xuất để tiếp tục tra cứu</x:v>
      </x:c>
      <x:c r="K231" s="11" t="str">
        <x:v>Chưa có nguồn ánh xạ</x:v>
      </x:c>
      <x:c r="L231" s="11" t="str">
        <x:v>* Đề xuất để tiếp tục tra cứu</x:v>
      </x:c>
      <x:c r="M231" s="11" t="str">
        <x:v>Chưa có nguồn ánh xạ</x:v>
      </x:c>
      <x:c r="N231" s="11" t="str">
        <x:v>Ủy ban chỉ đạo hợp tác song phương</x:v>
      </x:c>
      <x:c r="O231" s="11" t="str">
        <x:v>양자협력지도위원회</x:v>
      </x:c>
      <x:c r="P231" s="11" t="str">
        <x:v>Ủy ban được giao chỉ đạo và điều phối hợp tác giữa hai bên.</x:v>
      </x:c>
      <x:c r="Q231" s="11" t="str">
        <x:v>Ủy ban được giao chỉ đạo và điều phối hợp tác giữa hai bên.</x:v>
      </x:c>
      <x:c r="R231" s="11" t="str">
        <x:v>N2</x:v>
      </x:c>
      <x:c r="S231" s="11" t="str">
        <x:v>Giữ làm đơn vị nghiên cứu</x:v>
      </x:c>
      <x:c r="T231" s="11" t="str">
        <x:v>C108</x:v>
      </x:c>
    </x:row>
    <x:row r="232" ht="67.5" customHeight="1">
      <x:c r="A232" s="11" t="n">
        <x:v>227</x:v>
      </x:c>
      <x:c r="B232" s="11" t="str">
        <x:v>C109</x:v>
      </x:c>
      <x:c r="C232" s="11" t="str">
        <x:v>đàm phán</x:v>
      </x:c>
      <x:c r="D232" s="11" t="str">
        <x:v>negotiation</x:v>
      </x:c>
      <x:c r="E232" s="11" t="str">
        <x:v>협상</x:v>
      </x:c>
      <x:c r="F232" s="11" t="str">
        <x:v>negotiation; talk</x:v>
      </x:c>
      <x:c r="G232" s="42" t="str">
        <x:v>Biến thể / có nhãn Anh chung</x:v>
      </x:c>
      <x:c r="H232" s="43" t="str">
        <x:v>Tương ứng — biến thể Anh</x:v>
      </x:c>
      <x:c r="I232" s="11" t="str">
        <x:v>Có nhãn chung negotiation ở cùng nghĩa; Hàn còn có đối dịch talk. Không khái quát rằng mọi talk đều là đàm phán.</x:v>
      </x:c>
      <x:c r="J232" s="11" t="str">
        <x:v>Đối dịch trong từ điển</x:v>
      </x:c>
      <x:c r="K232" s="37" t="str">
        <x:v>EB186
Nguồn kiểm tra, dòng 830</x:v>
      </x:c>
      <x:c r="L232" s="11" t="str">
        <x:v>Đối dịch trong từ điển</x:v>
      </x:c>
      <x:c r="M232" s="37" t="str">
        <x:v>EB187
Nguồn kiểm tra, dòng 831</x:v>
      </x:c>
      <x:c r="N232" s="11" t="str">
        <x:v>việc đàm phán</x:v>
      </x:c>
      <x:c r="O232" s="11" t="str">
        <x:v>협상</x:v>
      </x:c>
      <x:c r="P232" s="11" t="str">
        <x:v>Thảo luận để đạt thỏa thuận.</x:v>
      </x:c>
      <x:c r="Q232" s="11" t="str">
        <x:v>Thảo luận để đạt thỏa thuận.</x:v>
      </x:c>
      <x:c r="R232" s="11" t="str">
        <x:v>N4</x:v>
      </x:c>
      <x:c r="S232" s="11" t="str">
        <x:v>Giữ làm đơn vị nghiên cứu</x:v>
      </x:c>
      <x:c r="T232" s="11" t="str">
        <x:v>C109</x:v>
      </x:c>
    </x:row>
    <x:row r="233" ht="67.5" customHeight="1">
      <x:c r="A233" s="11" t="n">
        <x:v>228</x:v>
      </x:c>
      <x:c r="B233" s="11" t="str">
        <x:v>C110</x:v>
      </x:c>
      <x:c r="C233" s="11" t="str">
        <x:v>phê chuẩn</x:v>
      </x:c>
      <x:c r="D233" s="11" t="str">
        <x:v>ratification</x:v>
      </x:c>
      <x:c r="E233" s="11" t="str">
        <x:v>비준</x:v>
      </x:c>
      <x:c r="F233" s="11" t="str">
        <x:v>ratification</x:v>
      </x:c>
      <x:c r="G233" s="38" t="str">
        <x:v>Trùng biểu thức Anh</x:v>
      </x:c>
      <x:c r="H233" s="39" t="str">
        <x:v>Xác nhận — cùng biểu thức Anh</x:v>
      </x:c>
      <x:c r="I233" s="11" t="str">
        <x:v>Xác nhận tại nghĩa phê chuẩn điều ước; không dùng kết luận cho mọi cách dùng phê chuẩn trong nội luật.</x:v>
      </x:c>
      <x:c r="J233" s="11" t="str">
        <x:v>Đối dịch trong từ điển</x:v>
      </x:c>
      <x:c r="K233" s="37" t="str">
        <x:v>EB188
Nguồn kiểm tra, dòng 832</x:v>
      </x:c>
      <x:c r="L233" s="11" t="str">
        <x:v>Đối dịch trong từ điển</x:v>
      </x:c>
      <x:c r="M233" s="37" t="str">
        <x:v>EB189
Nguồn kiểm tra, dòng 833</x:v>
      </x:c>
      <x:c r="N233" s="11" t="str">
        <x:v>sự phê chuẩn</x:v>
      </x:c>
      <x:c r="O233" s="11" t="str">
        <x:v>비준</x:v>
      </x:c>
      <x:c r="P233" s="11" t="str">
        <x:v>Phê chuẩn điều ước quốc tế.</x:v>
      </x:c>
      <x:c r="Q233" s="11" t="str">
        <x:v>Phê chuẩn điều ước quốc tế.</x:v>
      </x:c>
      <x:c r="R233" s="11" t="str">
        <x:v>N4</x:v>
      </x:c>
      <x:c r="S233" s="11" t="str">
        <x:v>Giữ làm đơn vị nghiên cứu</x:v>
      </x:c>
      <x:c r="T233" s="11" t="str">
        <x:v>C110</x:v>
      </x:c>
    </x:row>
    <x:row r="234" ht="72" customHeight="1">
      <x:c r="A234" s="11" t="n">
        <x:v>229</x:v>
      </x:c>
      <x:c r="B234" s="11" t="str">
        <x:v>C114</x:v>
      </x:c>
      <x:c r="C234" s="11" t="str">
        <x:v>hoạt động gìn giữ hòa bình</x:v>
      </x:c>
      <x:c r="D234" s="11" t="str">
        <x:v>United Nations peacekeeping</x:v>
      </x:c>
      <x:c r="E234" s="11" t="str">
        <x:v>평화유지활동</x:v>
      </x:c>
      <x:c r="F234" s="40" t="str">
        <x:v>peacekeeping operations *</x:v>
      </x:c>
      <x:c r="G234" s="40" t="str">
        <x:v>Chưa đủ hai nguồn để so khớp</x:v>
      </x:c>
      <x:c r="H234" s="41" t="str">
        <x:v>Ứng viên — còn thiếu chứng cứ</x:v>
      </x:c>
      <x:c r="I234" s="11" t="str">
        <x:v>Nghĩa được diễn đạt bằng hai ngôn ngữ từ nguồn EN; không giả định nguồn cung cấp mục từ ở cả hai ngôn ngữ. compatible = có khả năng tương ứng theo nghĩa làm việc; chưa thay thế kiểm tra câu song hành.</x:v>
      </x:c>
      <x:c r="J234" s="11" t="str">
        <x:v>Đối chiếu văn bản song song</x:v>
      </x:c>
      <x:c r="K234" s="37" t="str">
        <x:v>EB190
Nguồn kiểm tra, dòng 834</x:v>
      </x:c>
      <x:c r="L234" s="11" t="str">
        <x:v>* Đề xuất để tiếp tục tra cứu</x:v>
      </x:c>
      <x:c r="M234" s="11" t="str">
        <x:v>Chưa có nguồn ánh xạ</x:v>
      </x:c>
      <x:c r="N234" s="11" t="str">
        <x:v>hoạt động gìn giữ hòa bình Liên hợp quốc</x:v>
      </x:c>
      <x:c r="O234" s="11" t="str">
        <x:v>평화유지활동</x:v>
      </x:c>
      <x:c r="P234" s="11" t="str">
        <x:v>Hoạt động hỗ trợ duy trì hòa bình, an ninh và tạo điều kiện cho hòa bình bền vững tại khu vực xung đột.</x:v>
      </x:c>
      <x:c r="Q234" s="11" t="str">
        <x:v>Đối chiếu nghĩa Hàn đã ghi trong trang Thuật ngữ.</x:v>
      </x:c>
      <x:c r="R234" s="11" t="str">
        <x:v>N4</x:v>
      </x:c>
      <x:c r="S234" s="11" t="str">
        <x:v>Giữ làm đơn vị nghiên cứu</x:v>
      </x:c>
      <x:c r="T234" s="11" t="str">
        <x:v>C114</x:v>
      </x:c>
    </x:row>
    <x:row r="235" ht="72" customHeight="1">
      <x:c r="A235" s="11" t="n">
        <x:v>230</x:v>
      </x:c>
      <x:c r="B235" s="11" t="str">
        <x:v>C117</x:v>
      </x:c>
      <x:c r="C235" s="11" t="str">
        <x:v>bảo hộ công dân</x:v>
      </x:c>
      <x:c r="D235" s="11" t="str">
        <x:v>citizen protection</x:v>
      </x:c>
      <x:c r="E235" s="11" t="str">
        <x:v>영사 보호</x:v>
      </x:c>
      <x:c r="F235" s="40" t="str">
        <x:v>consular protection *</x:v>
      </x:c>
      <x:c r="G235" s="44" t="str">
        <x:v>Chưa đủ hai nguồn để so khớp</x:v>
      </x:c>
      <x:c r="H235" s="45" t="str">
        <x:v>Lệch nghĩa / phạm vi</x:v>
      </x:c>
      <x:c r="I235" s="11" t="str">
        <x:v>Hai định nghĩa được viết riêng để giữ chênh lệch: bên Việt gọi bảo hộ công dân; bên Hàn nhấn công tác lãnh sự. Có thể tương ứng trong ngữ cảnh nhưng chưa khẳng định đồng nhất mọi phạm vi.</x:v>
      </x:c>
      <x:c r="J235" s="11" t="str">
        <x:v>Đối chiếu văn bản song song</x:v>
      </x:c>
      <x:c r="K235" s="37" t="str">
        <x:v>EB191
Nguồn kiểm tra, dòng 835</x:v>
      </x:c>
      <x:c r="L235" s="11" t="str">
        <x:v>* Đề xuất để tiếp tục tra cứu</x:v>
      </x:c>
      <x:c r="M235" s="11" t="str">
        <x:v>Chưa có nguồn ánh xạ</x:v>
      </x:c>
      <x:c r="N235" s="11" t="str">
        <x:v>bảo hộ công dân</x:v>
      </x:c>
      <x:c r="O235" s="11" t="str">
        <x:v>영사 보호</x:v>
      </x:c>
      <x:c r="P235" s="11" t="str">
        <x:v>Hoạt động của cơ quan có thẩm quyền nhằm bảo vệ an toàn, quyền và lợi ích hợp pháp của công dân ở nước ngoài.</x:v>
      </x:c>
      <x:c r="Q235" s="11" t="str">
        <x:v>Đối chiếu nghĩa Hàn đã ghi trong trang Thuật ngữ.</x:v>
      </x:c>
      <x:c r="R235" s="11" t="str">
        <x:v>N4</x:v>
      </x:c>
      <x:c r="S235" s="11" t="str">
        <x:v>Cần xem xét tư cách/phạm vi</x:v>
      </x:c>
      <x:c r="T235" s="11" t="str">
        <x:v>C117</x:v>
      </x:c>
    </x:row>
    <x:row r="236" ht="72" customHeight="1">
      <x:c r="A236" s="11" t="n">
        <x:v>231</x:v>
      </x:c>
      <x:c r="B236" s="11" t="str">
        <x:v>C122</x:v>
      </x:c>
      <x:c r="C236" s="11" t="str">
        <x:v>lễ mở ký</x:v>
      </x:c>
      <x:c r="D236" s="40" t="str">
        <x:v>opening-for-signature ceremony *</x:v>
      </x:c>
      <x:c r="E236" s="11" t="str">
        <x:v>서명식</x:v>
      </x:c>
      <x:c r="F236" s="40" t="str">
        <x:v>signing ceremony *</x:v>
      </x:c>
      <x:c r="G236" s="44" t="str">
        <x:v>Chưa đủ hai nguồn để so khớp</x:v>
      </x:c>
      <x:c r="H236" s="45" t="str">
        <x:v>Lệch nghĩa / phạm vi</x:v>
      </x:c>
      <x:c r="I236" s="11" t="str">
        <x:v>Việt gọi lễ mở ký; Hàn 서명식 chỉ lễ ký nói chung. Giữ hai nghĩa riêng và cờ scope_difference; cần câu nguồn chứng minh cùng sự kiện. Nghĩa được diễn đạt bằng hai ngôn ngữ từ nguồn EN; không giả định nguồn cung cấp mục từ ở cả hai ngôn ngữ.</x:v>
      </x:c>
      <x:c r="J236" s="11" t="str">
        <x:v>* Đề xuất để tiếp tục tra cứu</x:v>
      </x:c>
      <x:c r="K236" s="11" t="str">
        <x:v>Chưa có nguồn ánh xạ</x:v>
      </x:c>
      <x:c r="L236" s="11" t="str">
        <x:v>* Đề xuất để tiếp tục tra cứu</x:v>
      </x:c>
      <x:c r="M236" s="11" t="str">
        <x:v>Chưa có nguồn ánh xạ</x:v>
      </x:c>
      <x:c r="N236" s="11" t="str">
        <x:v>lễ mở ký</x:v>
      </x:c>
      <x:c r="O236" s="11" t="str">
        <x:v>서명식</x:v>
      </x:c>
      <x:c r="P236" s="11" t="str">
        <x:v>Sự kiện chính thức bắt đầu giai đoạn một điều ước được mở cho các chủ thể có quyền tham gia ký.</x:v>
      </x:c>
      <x:c r="Q236" s="11" t="str">
        <x:v>Đối chiếu nghĩa Hàn đã ghi trong trang Thuật ngữ.</x:v>
      </x:c>
      <x:c r="R236" s="11" t="str">
        <x:v>N4</x:v>
      </x:c>
      <x:c r="S236" s="11" t="str">
        <x:v>Cần xem xét tư cách/phạm vi</x:v>
      </x:c>
      <x:c r="T236" s="11" t="str">
        <x:v>C122</x:v>
      </x:c>
    </x:row>
    <x:row r="237" ht="102" customHeight="1">
      <x:c r="A237" s="11" t="n">
        <x:v>232</x:v>
      </x:c>
      <x:c r="B237" s="11" t="str">
        <x:v>C123</x:v>
      </x:c>
      <x:c r="C237" s="11" t="str">
        <x:v>tương trợ tư pháp</x:v>
      </x:c>
      <x:c r="D237" s="11" t="str">
        <x:v>mutual legal assistance in criminal matters</x:v>
      </x:c>
      <x:c r="E237" s="11" t="str">
        <x:v>사법공조</x:v>
      </x:c>
      <x:c r="F237" s="11" t="str">
        <x:v>mutual legal assistance</x:v>
      </x:c>
      <x:c r="G237" s="40" t="str">
        <x:v>Biến thể / có nhãn Anh chung</x:v>
      </x:c>
      <x:c r="H237" s="41" t="str">
        <x:v>Có điều kiện — chưa chốt</x:v>
      </x:c>
      <x:c r="I237" s="11" t="str">
        <x:v>Có hai ánh xạ phù hợp trong ngữ cảnh hình sự. Nguồn Việt có định ngữ “về hình sự”, nên chưa xác nhận toàn phạm vi của nhãn trần tương trợ tư pháp, vốn có thể bao gồm dân sự. Không đồng nhất tương trợ tư pháp với mọi hợp tác tư pháp. Luật TTTP dân sự mới 102/2025/QH15 hiệu lực 1/7/2026 cần lưu ý nếu mô tả pháp luật hiện hành.</x:v>
      </x:c>
      <x:c r="J237" s="11" t="str">
        <x:v>Đối dịch tường minh trong nguồn</x:v>
      </x:c>
      <x:c r="K237" s="37" t="str">
        <x:v>EB192
Nguồn kiểm tra, dòng 836</x:v>
      </x:c>
      <x:c r="L237" s="11" t="str">
        <x:v>Đối chiếu văn bản song song</x:v>
      </x:c>
      <x:c r="M237" s="37" t="str">
        <x:v>EB193
Nguồn kiểm tra, dòng 837</x:v>
      </x:c>
      <x:c r="N237" s="11" t="str">
        <x:v>tương trợ tư pháp về hình sự</x:v>
      </x:c>
      <x:c r="O237" s="11" t="str">
        <x:v>사법공조</x:v>
      </x:c>
      <x:c r="P237" s="11" t="str">
        <x:v>Hỗ trợ tư pháp quốc tế trong lĩnh vực hình sự.</x:v>
      </x:c>
      <x:c r="Q237" s="11" t="str">
        <x:v>Hỗ trợ tư pháp trong hợp tác hình sự chống mua bán người.</x:v>
      </x:c>
      <x:c r="R237" s="11" t="str">
        <x:v>N4</x:v>
      </x:c>
      <x:c r="S237" s="11" t="str">
        <x:v>Giữ làm đơn vị nghiên cứu</x:v>
      </x:c>
      <x:c r="T237" s="11" t="str">
        <x:v>C123</x:v>
      </x:c>
    </x:row>
    <x:row r="238" ht="67.5" customHeight="1">
      <x:c r="A238" s="11" t="n">
        <x:v>233</x:v>
      </x:c>
      <x:c r="B238" s="11" t="str">
        <x:v>C125</x:v>
      </x:c>
      <x:c r="C238" s="11" t="str">
        <x:v>viện trợ không hoàn lại</x:v>
      </x:c>
      <x:c r="D238" s="11" t="str">
        <x:v>Grant Assistance</x:v>
      </x:c>
      <x:c r="E238" s="11" t="str">
        <x:v>무상원조</x:v>
      </x:c>
      <x:c r="F238" s="11" t="str">
        <x:v>Grant</x:v>
      </x:c>
      <x:c r="G238" s="40" t="str">
        <x:v>Biến thể / có nhãn Anh chung</x:v>
      </x:c>
      <x:c r="H238" s="41" t="str">
        <x:v>Có điều kiện — chưa chốt</x:v>
      </x:c>
      <x:c r="I238" s="11" t="str">
        <x:v>Grant / Grant Assistance có hạt nhân nghĩa viện trợ không phải hoàn trả. Nguồn Việt là tên chương trình cụ thể; không gọi là đối dịch mục từ độc lập đã xác nhận.</x:v>
      </x:c>
      <x:c r="J238" s="11" t="str">
        <x:v>Đối chiếu văn bản song song</x:v>
      </x:c>
      <x:c r="K238" s="37" t="str">
        <x:v>EB194
Nguồn kiểm tra, dòng 838</x:v>
      </x:c>
      <x:c r="L238" s="11" t="str">
        <x:v>Đối dịch tường minh trong nguồn</x:v>
      </x:c>
      <x:c r="M238" s="37" t="str">
        <x:v>EB195
Nguồn kiểm tra, dòng 839</x:v>
      </x:c>
      <x:c r="N238" s="11" t="str">
        <x:v>viện trợ không hoàn lại</x:v>
      </x:c>
      <x:c r="O238" s="11" t="str">
        <x:v>무상원조</x:v>
      </x:c>
      <x:c r="P238" s="11" t="str">
        <x:v>Viện trợ không yêu cầu hoàn trả.</x:v>
      </x:c>
      <x:c r="Q238" s="11" t="str">
        <x:v>Viện trợ không yêu cầu hoàn trả.</x:v>
      </x:c>
      <x:c r="R238" s="11" t="str">
        <x:v>N4</x:v>
      </x:c>
      <x:c r="S238" s="11" t="str">
        <x:v>Cần xem xét tư cách/phạm vi</x:v>
      </x:c>
      <x:c r="T238" s="11" t="str">
        <x:v>C125</x:v>
      </x:c>
    </x:row>
    <x:row r="239" ht="67.5" customHeight="1">
      <x:c r="A239" s="11" t="n">
        <x:v>234</x:v>
      </x:c>
      <x:c r="B239" s="11" t="str">
        <x:v>C127</x:v>
      </x:c>
      <x:c r="C239" s="11" t="str">
        <x:v>trao đổi đoàn</x:v>
      </x:c>
      <x:c r="D239" s="11" t="str">
        <x:v>delegation exchanges</x:v>
      </x:c>
      <x:c r="E239" s="11" t="str">
        <x:v>대표단 교류</x:v>
      </x:c>
      <x:c r="F239" s="40" t="str">
        <x:v>delegation exchanges *</x:v>
      </x:c>
      <x:c r="G239" s="40" t="str">
        <x:v>Chưa đủ hai nguồn để so khớp</x:v>
      </x:c>
      <x:c r="H239" s="41" t="str">
        <x:v>Ứng viên — còn thiếu chứng cứ</x:v>
      </x:c>
      <x:c r="I239" s="11" t="str">
        <x:v>compatible = có khả năng tương ứng theo nghĩa làm việc; chưa thay thế kiểm tra câu song hành.</x:v>
      </x:c>
      <x:c r="J239" s="11" t="str">
        <x:v>Đối chiếu văn bản song song</x:v>
      </x:c>
      <x:c r="K239" s="37" t="str">
        <x:v>EB196
Nguồn kiểm tra, dòng 840</x:v>
      </x:c>
      <x:c r="L239" s="11" t="str">
        <x:v>* Đề xuất để tiếp tục tra cứu</x:v>
      </x:c>
      <x:c r="M239" s="11" t="str">
        <x:v>Chưa có nguồn ánh xạ</x:v>
      </x:c>
      <x:c r="N239" s="11" t="str">
        <x:v>trao đổi đoàn</x:v>
      </x:c>
      <x:c r="O239" s="11" t="str">
        <x:v>대표단 교류</x:v>
      </x:c>
      <x:c r="P239" s="11" t="str">
        <x:v>Hoạt động các bên cử và tiếp nhận đoàn đại biểu để tiếp xúc, trao đổi và làm việc.</x:v>
      </x:c>
      <x:c r="Q239" s="11" t="str">
        <x:v>Đối chiếu nghĩa Hàn đã ghi trong trang Thuật ngữ.</x:v>
      </x:c>
      <x:c r="R239" s="11" t="str">
        <x:v>N4</x:v>
      </x:c>
      <x:c r="S239" s="11" t="str">
        <x:v>Giữ làm đơn vị nghiên cứu</x:v>
      </x:c>
      <x:c r="T239" s="11" t="str">
        <x:v>C127</x:v>
      </x:c>
    </x:row>
    <x:row r="240" ht="67.5" customHeight="1">
      <x:c r="A240" s="11" t="n">
        <x:v>235</x:v>
      </x:c>
      <x:c r="B240" s="11" t="str">
        <x:v>C128</x:v>
      </x:c>
      <x:c r="C240" s="11" t="str">
        <x:v>hợp tác địa phương</x:v>
      </x:c>
      <x:c r="D240" s="40" t="str">
        <x:v>local cooperation *</x:v>
      </x:c>
      <x:c r="E240" s="11" t="str">
        <x:v>지방 협력</x:v>
      </x:c>
      <x:c r="F240" s="40" t="str">
        <x:v>local cooperation *</x:v>
      </x:c>
      <x:c r="G240" s="40" t="str">
        <x:v>Chưa đủ hai nguồn để so khớp</x:v>
      </x:c>
      <x:c r="H240" s="41" t="str">
        <x:v>Ứng viên — còn thiếu chứng cứ</x:v>
      </x:c>
      <x:c r="I240" s="11" t="str">
        <x:v>compatible = có khả năng tương ứng theo nghĩa làm việc; chưa thay thế kiểm tra câu song hành.</x:v>
      </x:c>
      <x:c r="J240" s="11" t="str">
        <x:v>* Đề xuất để tiếp tục tra cứu</x:v>
      </x:c>
      <x:c r="K240" s="11" t="str">
        <x:v>Chưa có nguồn ánh xạ</x:v>
      </x:c>
      <x:c r="L240" s="11" t="str">
        <x:v>* Đề xuất để tiếp tục tra cứu</x:v>
      </x:c>
      <x:c r="M240" s="11" t="str">
        <x:v>Chưa có nguồn ánh xạ</x:v>
      </x:c>
      <x:c r="N240" s="11" t="str">
        <x:v>hợp tác địa phương</x:v>
      </x:c>
      <x:c r="O240" s="11" t="str">
        <x:v>지방 협력</x:v>
      </x:c>
      <x:c r="P240" s="11" t="str">
        <x:v>Hoạt động phối hợp, giao lưu và thực hiện công việc chung giữa các địa phương.</x:v>
      </x:c>
      <x:c r="Q240" s="11" t="str">
        <x:v>Đối chiếu nghĩa Hàn đã ghi trong trang Thuật ngữ.</x:v>
      </x:c>
      <x:c r="R240" s="11" t="str">
        <x:v>N4</x:v>
      </x:c>
      <x:c r="S240" s="11" t="str">
        <x:v>Giữ làm đơn vị nghiên cứu</x:v>
      </x:c>
      <x:c r="T240" s="11" t="str">
        <x:v>C128</x:v>
      </x:c>
    </x:row>
    <x:row r="241" ht="67.5" customHeight="1">
      <x:c r="A241" s="11" t="n">
        <x:v>236</x:v>
      </x:c>
      <x:c r="B241" s="11" t="str">
        <x:v>C129</x:v>
      </x:c>
      <x:c r="C241" s="11" t="str">
        <x:v>những cuộc gặp gỡ giữa các vị lãnh đạo cấp cao hai bên</x:v>
      </x:c>
      <x:c r="D241" s="40" t="str">
        <x:v>meetings between senior leaders of the two sides *</x:v>
      </x:c>
      <x:c r="E241" s="11" t="str">
        <x:v>고위급 회담</x:v>
      </x:c>
      <x:c r="F241" s="40" t="str">
        <x:v>high-level talks *</x:v>
      </x:c>
      <x:c r="G241" s="44" t="str">
        <x:v>Chưa đủ hai nguồn để so khớp</x:v>
      </x:c>
      <x:c r="H241" s="45" t="str">
        <x:v>Lệch nghĩa / phạm vi</x:v>
      </x:c>
      <x:c r="I241" s="11" t="str">
        <x:v>Cụm Việt là diễn đạt trong câu, chưa phải nhãn mục từ chuẩn; có thể đề xuất hội đàm cấp cao ở cột chuẩn hóa. Hàn không tự mã hóa số nhiều và hai bên.</x:v>
      </x:c>
      <x:c r="J241" s="11" t="str">
        <x:v>* Đề xuất để tiếp tục tra cứu</x:v>
      </x:c>
      <x:c r="K241" s="11" t="str">
        <x:v>Chưa có nguồn ánh xạ</x:v>
      </x:c>
      <x:c r="L241" s="11" t="str">
        <x:v>* Đề xuất để tiếp tục tra cứu</x:v>
      </x:c>
      <x:c r="M241" s="11" t="str">
        <x:v>Chưa có nguồn ánh xạ</x:v>
      </x:c>
      <x:c r="N241" s="11" t="str">
        <x:v>những cuộc gặp gỡ giữa các vị lãnh đạo cấp cao hai bên</x:v>
      </x:c>
      <x:c r="O241" s="11" t="str">
        <x:v>고위급 회담</x:v>
      </x:c>
      <x:c r="P241" s="11" t="str">
        <x:v>Cụm diễn đạt các cuộc tiếp xúc và trao đổi giữa những người lãnh đạo cấp cao của hai bên.</x:v>
      </x:c>
      <x:c r="Q241" s="11" t="str">
        <x:v>Đối chiếu nghĩa Hàn đã ghi trong trang Thuật ngữ.</x:v>
      </x:c>
      <x:c r="R241" s="11" t="str">
        <x:v>N4</x:v>
      </x:c>
      <x:c r="S241" s="11" t="str">
        <x:v>Biểu thức ngữ liệu, chưa là mục từ chuẩn</x:v>
      </x:c>
      <x:c r="T241" s="11" t="str">
        <x:v>C129</x:v>
      </x:c>
    </x:row>
    <x:row r="242" ht="67.5" customHeight="1">
      <x:c r="A242" s="11" t="n">
        <x:v>237</x:v>
      </x:c>
      <x:c r="B242" s="11" t="str">
        <x:v>C130</x:v>
      </x:c>
      <x:c r="C242" s="11" t="str">
        <x:v>Hợp tác kênh Đảng</x:v>
      </x:c>
      <x:c r="D242" s="11" t="str">
        <x:v>cooperation across Party channels</x:v>
      </x:c>
      <x:c r="E242" s="11" t="str">
        <x:v>당 대 당 협력</x:v>
      </x:c>
      <x:c r="F242" s="40" t="str">
        <x:v>Party-to-Party cooperation *</x:v>
      </x:c>
      <x:c r="G242" s="40" t="str">
        <x:v>Chưa đủ hai nguồn để so khớp</x:v>
      </x:c>
      <x:c r="H242" s="41" t="str">
        <x:v>Ứng viên — còn thiếu chứng cứ</x:v>
      </x:c>
      <x:c r="I242" s="11" t="str">
        <x:v>compatible = có khả năng tương ứng theo nghĩa làm việc; chưa thay thế kiểm tra câu song hành.</x:v>
      </x:c>
      <x:c r="J242" s="11" t="str">
        <x:v>Đối chiếu văn bản song song</x:v>
      </x:c>
      <x:c r="K242" s="37" t="str">
        <x:v>EB197
Nguồn kiểm tra, dòng 841</x:v>
      </x:c>
      <x:c r="L242" s="11" t="str">
        <x:v>* Đề xuất để tiếp tục tra cứu</x:v>
      </x:c>
      <x:c r="M242" s="11" t="str">
        <x:v>Chưa có nguồn ánh xạ</x:v>
      </x:c>
      <x:c r="N242" s="11" t="str">
        <x:v>hợp tác kênh Đảng</x:v>
      </x:c>
      <x:c r="O242" s="11" t="str">
        <x:v>당 대 당 협력</x:v>
      </x:c>
      <x:c r="P242" s="11" t="str">
        <x:v>Hoạt động hợp tác được tiến hành thông qua quan hệ giữa các chính đảng.</x:v>
      </x:c>
      <x:c r="Q242" s="11" t="str">
        <x:v>Đối chiếu nghĩa Hàn đã ghi trong trang Thuật ngữ.</x:v>
      </x:c>
      <x:c r="R242" s="11" t="str">
        <x:v>N4</x:v>
      </x:c>
      <x:c r="S242" s="11" t="str">
        <x:v>Giữ làm đơn vị nghiên cứu</x:v>
      </x:c>
      <x:c r="T242" s="11" t="str">
        <x:v>C130</x:v>
      </x:c>
    </x:row>
    <x:row r="243" ht="67.5" customHeight="1">
      <x:c r="A243" s="11" t="n">
        <x:v>238</x:v>
      </x:c>
      <x:c r="B243" s="11" t="str">
        <x:v>C132</x:v>
      </x:c>
      <x:c r="C243" s="11" t="str">
        <x:v>ngoại giao Nhà nước</x:v>
      </x:c>
      <x:c r="D243" s="40" t="str">
        <x:v>State diplomacy *</x:v>
      </x:c>
      <x:c r="E243" s="11" t="str">
        <x:v>국가 외교</x:v>
      </x:c>
      <x:c r="F243" s="40" t="str">
        <x:v>State diplomacy *</x:v>
      </x:c>
      <x:c r="G243" s="40" t="str">
        <x:v>Chưa đủ hai nguồn để so khớp</x:v>
      </x:c>
      <x:c r="H243" s="41" t="str">
        <x:v>Ứng viên — còn thiếu chứng cứ</x:v>
      </x:c>
      <x:c r="I243" s="11" t="str">
        <x:v>compatible = có khả năng tương ứng theo nghĩa làm việc; chưa thay thế kiểm tra câu song hành.</x:v>
      </x:c>
      <x:c r="J243" s="11" t="str">
        <x:v>* Đề xuất để tiếp tục tra cứu</x:v>
      </x:c>
      <x:c r="K243" s="11" t="str">
        <x:v>Chưa có nguồn ánh xạ</x:v>
      </x:c>
      <x:c r="L243" s="11" t="str">
        <x:v>* Đề xuất để tiếp tục tra cứu</x:v>
      </x:c>
      <x:c r="M243" s="11" t="str">
        <x:v>Chưa có nguồn ánh xạ</x:v>
      </x:c>
      <x:c r="N243" s="11" t="str">
        <x:v>ngoại giao Nhà nước</x:v>
      </x:c>
      <x:c r="O243" s="11" t="str">
        <x:v>국가 외교</x:v>
      </x:c>
      <x:c r="P243" s="11" t="str">
        <x:v>Kênh hoặc lĩnh vực ngoại giao do các cơ quan và đại diện chính thức của Nhà nước thực hiện.</x:v>
      </x:c>
      <x:c r="Q243" s="11" t="str">
        <x:v>Đối chiếu nghĩa Hàn đã ghi trong trang Thuật ngữ.</x:v>
      </x:c>
      <x:c r="R243" s="11" t="str">
        <x:v>N4</x:v>
      </x:c>
      <x:c r="S243" s="11" t="str">
        <x:v>Giữ làm đơn vị nghiên cứu</x:v>
      </x:c>
      <x:c r="T243" s="11" t="str">
        <x:v>C132</x:v>
      </x:c>
    </x:row>
    <x:row r="244" ht="67.5" customHeight="1">
      <x:c r="A244" s="11" t="n">
        <x:v>239</x:v>
      </x:c>
      <x:c r="B244" s="11" t="str">
        <x:v>C133</x:v>
      </x:c>
      <x:c r="C244" s="11" t="str">
        <x:v>ngoại giao láng giềng</x:v>
      </x:c>
      <x:c r="D244" s="40" t="str">
        <x:v>neighbourhood diplomacy *</x:v>
      </x:c>
      <x:c r="E244" s="11" t="str">
        <x:v>주변 외교</x:v>
      </x:c>
      <x:c r="F244" s="40" t="str">
        <x:v>neighbourhood diplomacy *</x:v>
      </x:c>
      <x:c r="G244" s="40" t="str">
        <x:v>Chưa đủ hai nguồn để so khớp</x:v>
      </x:c>
      <x:c r="H244" s="41" t="str">
        <x:v>Ứng viên — còn thiếu chứng cứ</x:v>
      </x:c>
      <x:c r="I244" s="11" t="str">
        <x:v>주변 có thể rộng hơn các nước chung biên giới/láng giềng theo cách hiểu Việt. Giữ nghĩa lĩnh vực hoạt động, cần câu đối chiếu.</x:v>
      </x:c>
      <x:c r="J244" s="11" t="str">
        <x:v>* Đề xuất để tiếp tục tra cứu</x:v>
      </x:c>
      <x:c r="K244" s="11" t="str">
        <x:v>Chưa có nguồn ánh xạ</x:v>
      </x:c>
      <x:c r="L244" s="11" t="str">
        <x:v>* Đề xuất để tiếp tục tra cứu</x:v>
      </x:c>
      <x:c r="M244" s="11" t="str">
        <x:v>Chưa có nguồn ánh xạ</x:v>
      </x:c>
      <x:c r="N244" s="11" t="str">
        <x:v>ngoại giao láng giềng</x:v>
      </x:c>
      <x:c r="O244" s="11" t="str">
        <x:v>주변 외교</x:v>
      </x:c>
      <x:c r="P244" s="11" t="str">
        <x:v>Lĩnh vực hoạt động ngoại giao đối với các quốc gia láng giềng nhằm duy trì và phát triển quan hệ.</x:v>
      </x:c>
      <x:c r="Q244" s="11" t="str">
        <x:v>Đối chiếu nghĩa Hàn đã ghi trong trang Thuật ngữ.</x:v>
      </x:c>
      <x:c r="R244" s="11" t="str">
        <x:v>N4</x:v>
      </x:c>
      <x:c r="S244" s="11" t="str">
        <x:v>Cần xem xét tư cách/phạm vi</x:v>
      </x:c>
      <x:c r="T244" s="11" t="str">
        <x:v>C133</x:v>
      </x:c>
    </x:row>
    <x:row r="245" ht="67.5" customHeight="1">
      <x:c r="A245" s="11" t="n">
        <x:v>240</x:v>
      </x:c>
      <x:c r="B245" s="11" t="str">
        <x:v>C134</x:v>
      </x:c>
      <x:c r="C245" s="11" t="str">
        <x:v>hợp tác tư pháp</x:v>
      </x:c>
      <x:c r="D245" s="40" t="str">
        <x:v>judicial cooperation *</x:v>
      </x:c>
      <x:c r="E245" s="11" t="str">
        <x:v>사법 협력</x:v>
      </x:c>
      <x:c r="F245" s="40" t="str">
        <x:v>judicial cooperation *</x:v>
      </x:c>
      <x:c r="G245" s="40" t="str">
        <x:v>Chưa đủ hai nguồn để so khớp</x:v>
      </x:c>
      <x:c r="H245" s="41" t="str">
        <x:v>Ứng viên — còn thiếu chứng cứ</x:v>
      </x:c>
      <x:c r="I245" s="11" t="str">
        <x:v>compatible = có khả năng tương ứng theo nghĩa làm việc; chưa thay thế kiểm tra câu song hành.</x:v>
      </x:c>
      <x:c r="J245" s="11" t="str">
        <x:v>* Đề xuất để tiếp tục tra cứu</x:v>
      </x:c>
      <x:c r="K245" s="11" t="str">
        <x:v>Chưa có nguồn ánh xạ</x:v>
      </x:c>
      <x:c r="L245" s="11" t="str">
        <x:v>* Đề xuất để tiếp tục tra cứu</x:v>
      </x:c>
      <x:c r="M245" s="11" t="str">
        <x:v>Chưa có nguồn ánh xạ</x:v>
      </x:c>
      <x:c r="N245" s="11" t="str">
        <x:v>hợp tác tư pháp</x:v>
      </x:c>
      <x:c r="O245" s="11" t="str">
        <x:v>사법 협력</x:v>
      </x:c>
      <x:c r="P245" s="11" t="str">
        <x:v>Hoạt động phối hợp, trao đổi giữa các quốc gia hoặc cơ quan liên quan trong lĩnh vực tư pháp.</x:v>
      </x:c>
      <x:c r="Q245" s="11" t="str">
        <x:v>Đối chiếu nghĩa Hàn đã ghi trong trang Thuật ngữ.</x:v>
      </x:c>
      <x:c r="R245" s="11" t="str">
        <x:v>N4</x:v>
      </x:c>
      <x:c r="S245" s="11" t="str">
        <x:v>Giữ làm đơn vị nghiên cứu</x:v>
      </x:c>
      <x:c r="T245" s="11" t="str">
        <x:v>C134</x:v>
      </x:c>
    </x:row>
    <x:row r="246" ht="67.5" customHeight="1">
      <x:c r="A246" s="11" t="n">
        <x:v>241</x:v>
      </x:c>
      <x:c r="B246" s="11" t="str">
        <x:v>C135</x:v>
      </x:c>
      <x:c r="C246" s="11" t="str">
        <x:v>hợp tác phát triển</x:v>
      </x:c>
      <x:c r="D246" s="11" t="str">
        <x:v>development cooperation</x:v>
      </x:c>
      <x:c r="E246" s="11" t="str">
        <x:v>개발 협력</x:v>
      </x:c>
      <x:c r="F246" s="11" t="str">
        <x:v>development cooperation</x:v>
      </x:c>
      <x:c r="G246" s="38" t="str">
        <x:v>Trùng biểu thức Anh</x:v>
      </x:c>
      <x:c r="H246" s="39" t="str">
        <x:v>Xác nhận — cùng biểu thức Anh</x:v>
      </x:c>
      <x:c r="I246" s="11" t="str">
        <x:v>Cùng khái niệm hợp tác hỗ trợ phát triển. Không thu hẹp thành ODA: ODA chỉ là một bộ phận của hợp tác phát triển quốc tế.</x:v>
      </x:c>
      <x:c r="J246" s="11" t="str">
        <x:v>Đối chiếu văn bản song song</x:v>
      </x:c>
      <x:c r="K246" s="37" t="str">
        <x:v>EB198
Nguồn kiểm tra, dòng 842</x:v>
      </x:c>
      <x:c r="L246" s="11" t="str">
        <x:v>Đối dịch tường minh trong nguồn</x:v>
      </x:c>
      <x:c r="M246" s="37" t="str">
        <x:v>EB199
Nguồn kiểm tra, dòng 843</x:v>
      </x:c>
      <x:c r="N246" s="11" t="str">
        <x:v>hợp tác phát triển</x:v>
      </x:c>
      <x:c r="O246" s="11" t="str">
        <x:v>개발협력</x:v>
      </x:c>
      <x:c r="P246" s="11" t="str">
        <x:v>Hợp tác hỗ trợ phát triển giữa Việt Nam và Đông Phi.</x:v>
      </x:c>
      <x:c r="Q246" s="11" t="str">
        <x:v>Hợp tác phát triển quốc tế nhằm phục hồi và phát triển bao trùm.</x:v>
      </x:c>
      <x:c r="R246" s="11" t="str">
        <x:v>N4</x:v>
      </x:c>
      <x:c r="S246" s="11" t="str">
        <x:v>Giữ làm đơn vị nghiên cứu</x:v>
      </x:c>
      <x:c r="T246" s="11" t="str">
        <x:v>C135</x:v>
      </x:c>
    </x:row>
    <x:row r="247" ht="67.5" customHeight="1">
      <x:c r="A247" s="11" t="n">
        <x:v>242</x:v>
      </x:c>
      <x:c r="B247" s="11" t="str">
        <x:v>C137</x:v>
      </x:c>
      <x:c r="C247" s="11" t="str">
        <x:v>Tuyên bố chung</x:v>
      </x:c>
      <x:c r="D247" s="11" t="str">
        <x:v>Joint Statement</x:v>
      </x:c>
      <x:c r="E247" s="11" t="str">
        <x:v>공동성명</x:v>
      </x:c>
      <x:c r="F247" s="11" t="str">
        <x:v>Joint Statement</x:v>
      </x:c>
      <x:c r="G247" s="38" t="str">
        <x:v>Trùng biểu thức Anh</x:v>
      </x:c>
      <x:c r="H247" s="39" t="str">
        <x:v>Xác nhận — cùng biểu thức Anh</x:v>
      </x:c>
      <x:c r="I247" s="11" t="str">
        <x:v>Hai phía sử dụng Joint Statement cho tên loại văn kiện tuyên bố chung; nguồn Hàn có bản dịch Hàn được cơ quan chính thức công bố.</x:v>
      </x:c>
      <x:c r="J247" s="11" t="str">
        <x:v>Đối chiếu văn bản song song</x:v>
      </x:c>
      <x:c r="K247" s="37" t="str">
        <x:v>EB200
Nguồn kiểm tra, dòng 844</x:v>
      </x:c>
      <x:c r="L247" s="11" t="str">
        <x:v>Đối chiếu văn bản song song</x:v>
      </x:c>
      <x:c r="M247" s="37" t="str">
        <x:v>EB201
Nguồn kiểm tra, dòng 845</x:v>
      </x:c>
      <x:c r="N247" s="11" t="str">
        <x:v>Tuyên bố chung</x:v>
      </x:c>
      <x:c r="O247" s="11" t="str">
        <x:v>공동성명</x:v>
      </x:c>
      <x:c r="P247" s="11" t="str">
        <x:v>Loại văn bản do các bên cùng công bố để thể hiện lập trường hoặc những nội dung đã nhất trí.</x:v>
      </x:c>
      <x:c r="Q247" s="11" t="str">
        <x:v>Đối chiếu nghĩa Hàn đã ghi trong trang Thuật ngữ.</x:v>
      </x:c>
      <x:c r="R247" s="11" t="str">
        <x:v>N5</x:v>
      </x:c>
      <x:c r="S247" s="11" t="str">
        <x:v>Giữ làm đơn vị nghiên cứu</x:v>
      </x:c>
      <x:c r="T247" s="11" t="str">
        <x:v>C137</x:v>
      </x:c>
    </x:row>
    <x:row r="248" ht="102" customHeight="1">
      <x:c r="A248" s="11" t="n">
        <x:v>243</x:v>
      </x:c>
      <x:c r="B248" s="11" t="str">
        <x:v>C139</x:v>
      </x:c>
      <x:c r="C248" s="11" t="str">
        <x:v>Thư ủy nhiệm</x:v>
      </x:c>
      <x:c r="D248" s="40" t="str">
        <x:v>letters of credence *</x:v>
      </x:c>
      <x:c r="E248" s="11" t="str">
        <x:v>신임장</x:v>
      </x:c>
      <x:c r="F248" s="40" t="str">
        <x:v>letters of credence *</x:v>
      </x:c>
      <x:c r="G248" s="40" t="str">
        <x:v>Chưa đủ hai nguồn để so khớp</x:v>
      </x:c>
      <x:c r="H248" s="41" t="str">
        <x:v>Ứng viên — còn thiếu chứng cứ</x:v>
      </x:c>
      <x:c r="I248" s="11" t="str">
        <x:v>Thư ủy nhiệm không mặc nhiên sai; MOFA Việt Nam dùng cả Quốc thư và Thư ủy nhiệm trong ngữ cảnh đại sứ. Nghĩa được diễn đạt bằng hai ngôn ngữ từ nguồn KO; không giả định nguồn cung cấp mục từ ở cả hai ngôn ngữ. compatible = có khả năng tương ứng theo nghĩa làm việc; chưa thay thế kiểm tra câu song hành.</x:v>
      </x:c>
      <x:c r="J248" s="11" t="str">
        <x:v>* Đề xuất để tiếp tục tra cứu</x:v>
      </x:c>
      <x:c r="K248" s="11" t="str">
        <x:v>Chưa có nguồn ánh xạ</x:v>
      </x:c>
      <x:c r="L248" s="11" t="str">
        <x:v>* Đề xuất để tiếp tục tra cứu</x:v>
      </x:c>
      <x:c r="M248" s="11" t="str">
        <x:v>Chưa có nguồn ánh xạ</x:v>
      </x:c>
      <x:c r="N248" s="11" t="str">
        <x:v>Thư ủy nhiệm</x:v>
      </x:c>
      <x:c r="O248" s="11" t="str">
        <x:v>신임장</x:v>
      </x:c>
      <x:c r="P248" s="11" t="str">
        <x:v>Văn bản xác nhận tư cách và sự ủy nhiệm cho đại diện ngoại giao để trình bên tiếp nhận.</x:v>
      </x:c>
      <x:c r="Q248" s="11" t="str">
        <x:v>Đối chiếu nghĩa Hàn đã ghi trong trang Thuật ngữ.</x:v>
      </x:c>
      <x:c r="R248" s="11" t="str">
        <x:v>N5</x:v>
      </x:c>
      <x:c r="S248" s="11" t="str">
        <x:v>Giữ làm đơn vị nghiên cứu</x:v>
      </x:c>
      <x:c r="T248" s="11" t="str">
        <x:v>C139</x:v>
      </x:c>
    </x:row>
    <x:row r="249" ht="72" customHeight="1">
      <x:c r="A249" s="11" t="n">
        <x:v>244</x:v>
      </x:c>
      <x:c r="B249" s="11" t="str">
        <x:v>C141</x:v>
      </x:c>
      <x:c r="C249" s="11" t="str">
        <x:v>điều ước quốc tế</x:v>
      </x:c>
      <x:c r="D249" s="40" t="str">
        <x:v>international treaty *</x:v>
      </x:c>
      <x:c r="E249" s="11" t="str">
        <x:v>국제조약</x:v>
      </x:c>
      <x:c r="F249" s="40" t="str">
        <x:v>international treaty *</x:v>
      </x:c>
      <x:c r="G249" s="40" t="str">
        <x:v>Chưa đủ hai nguồn để so khớp</x:v>
      </x:c>
      <x:c r="H249" s="41" t="str">
        <x:v>Ứng viên — còn thiếu chứng cứ</x:v>
      </x:c>
      <x:c r="I249" s="11" t="str">
        <x:v>Nghĩa được diễn đạt bằng hai ngôn ngữ từ nguồn EN; không giả định nguồn cung cấp mục từ ở cả hai ngôn ngữ. compatible = có khả năng tương ứng theo nghĩa làm việc; chưa thay thế kiểm tra câu song hành.</x:v>
      </x:c>
      <x:c r="J249" s="11" t="str">
        <x:v>* Đề xuất để tiếp tục tra cứu</x:v>
      </x:c>
      <x:c r="K249" s="11" t="str">
        <x:v>Chưa có nguồn ánh xạ</x:v>
      </x:c>
      <x:c r="L249" s="11" t="str">
        <x:v>* Đề xuất để tiếp tục tra cứu</x:v>
      </x:c>
      <x:c r="M249" s="11" t="str">
        <x:v>Chưa có nguồn ánh xạ</x:v>
      </x:c>
      <x:c r="N249" s="11" t="str">
        <x:v>điều ước quốc tế</x:v>
      </x:c>
      <x:c r="O249" s="11" t="str">
        <x:v>국제조약</x:v>
      </x:c>
      <x:c r="P249" s="11" t="str">
        <x:v>Văn kiện thỏa thuận giữa các chủ thể quốc tế, quy định quyền và nghĩa vụ được điều chỉnh bởi luật quốc tế.</x:v>
      </x:c>
      <x:c r="Q249" s="11" t="str">
        <x:v>Đối chiếu nghĩa Hàn đã ghi trong trang Thuật ngữ.</x:v>
      </x:c>
      <x:c r="R249" s="11" t="str">
        <x:v>N5</x:v>
      </x:c>
      <x:c r="S249" s="11" t="str">
        <x:v>Giữ làm đơn vị nghiên cứu</x:v>
      </x:c>
      <x:c r="T249" s="11" t="str">
        <x:v>C141</x:v>
      </x:c>
    </x:row>
    <x:row r="250" ht="67.5" customHeight="1">
      <x:c r="A250" s="11" t="n">
        <x:v>245</x:v>
      </x:c>
      <x:c r="B250" s="11" t="str">
        <x:v>C142</x:v>
      </x:c>
      <x:c r="C250" s="11" t="str">
        <x:v>thỏa thuận hợp tác</x:v>
      </x:c>
      <x:c r="D250" s="40" t="str">
        <x:v>cooperation agreement *</x:v>
      </x:c>
      <x:c r="E250" s="11" t="str">
        <x:v>협정</x:v>
      </x:c>
      <x:c r="F250" s="11" t="str">
        <x:v>agreement; treaty; pact</x:v>
      </x:c>
      <x:c r="G250" s="44" t="str">
        <x:v>Khác biểu thức / phạm vi</x:v>
      </x:c>
      <x:c r="H250" s="45" t="str">
        <x:v>Lệch nghĩa / phạm vi</x:v>
      </x:c>
      <x:c r="I250" s="11" t="str">
        <x:v>Thỏa thuận hợp tác hẹp hơn agreement/협정. Thành tố hợp tác phải có bằng chứng trong văn kiện cụ thể.</x:v>
      </x:c>
      <x:c r="J250" s="11" t="str">
        <x:v>* Đề xuất để tiếp tục tra cứu</x:v>
      </x:c>
      <x:c r="K250" s="11" t="str">
        <x:v>Chưa có nguồn ánh xạ</x:v>
      </x:c>
      <x:c r="L250" s="11" t="str">
        <x:v>Đối dịch trong từ điển</x:v>
      </x:c>
      <x:c r="M250" s="37" t="str">
        <x:v>EB202
Nguồn kiểm tra, dòng 846</x:v>
      </x:c>
      <x:c r="N250" s="11" t="str">
        <x:v>thỏa thuận hợp tác</x:v>
      </x:c>
      <x:c r="O250" s="11" t="str">
        <x:v>협정</x:v>
      </x:c>
      <x:c r="P250" s="11" t="str">
        <x:v>Văn kiện ghi nhận thỏa thuận hợp tác giữa các bên; đây là nghĩa văn bản được lựa chọn để phân loại.</x:v>
      </x:c>
      <x:c r="Q250" s="11" t="str">
        <x:v>Thỏa thuận/hiệp định giữa các nước.</x:v>
      </x:c>
      <x:c r="R250" s="11" t="str">
        <x:v>N5</x:v>
      </x:c>
      <x:c r="S250" s="11" t="str">
        <x:v>Cần xem xét tư cách/phạm vi</x:v>
      </x:c>
      <x:c r="T250" s="11" t="str">
        <x:v>C142</x:v>
      </x:c>
    </x:row>
    <x:row r="251" ht="67.5" customHeight="1">
      <x:c r="A251" s="11" t="n">
        <x:v>246</x:v>
      </x:c>
      <x:c r="B251" s="11" t="str">
        <x:v>C143</x:v>
      </x:c>
      <x:c r="C251" s="11" t="str">
        <x:v>Nghị định thư</x:v>
      </x:c>
      <x:c r="D251" s="11" t="str">
        <x:v>Protocol</x:v>
      </x:c>
      <x:c r="E251" s="11" t="str">
        <x:v>의정서</x:v>
      </x:c>
      <x:c r="F251" s="11" t="str">
        <x:v>protocol</x:v>
      </x:c>
      <x:c r="G251" s="38" t="str">
        <x:v>Trùng biểu thức Anh</x:v>
      </x:c>
      <x:c r="H251" s="39" t="str">
        <x:v>Xác nhận — cùng biểu thức Anh</x:v>
      </x:c>
      <x:c r="I251" s="11" t="str">
        <x:v>Xác nhận ở nghĩa loại văn kiện quốc tế. Protocol trong tin học hoặc nghi lễ là nghĩa khác, không thuộc cặp này.</x:v>
      </x:c>
      <x:c r="J251" s="11" t="str">
        <x:v>Đối chiếu văn bản song song</x:v>
      </x:c>
      <x:c r="K251" s="37" t="str">
        <x:v>EB203
Nguồn kiểm tra, dòng 847</x:v>
      </x:c>
      <x:c r="L251" s="11" t="str">
        <x:v>Đối dịch tường minh trong nguồn</x:v>
      </x:c>
      <x:c r="M251" s="37" t="str">
        <x:v>EB204
Nguồn kiểm tra, dòng 848</x:v>
      </x:c>
      <x:c r="N251" s="11" t="str">
        <x:v>Nghị định thư</x:v>
      </x:c>
      <x:c r="O251" s="11" t="str">
        <x:v>의정서</x:v>
      </x:c>
      <x:c r="P251" s="11" t="str">
        <x:v>Tên loại văn kiện ngoại giao/pháp lý quốc tế.</x:v>
      </x:c>
      <x:c r="Q251" s="11" t="str">
        <x:v>Tên loại văn kiện ngoại giao/pháp lý quốc tế.</x:v>
      </x:c>
      <x:c r="R251" s="11" t="str">
        <x:v>N5</x:v>
      </x:c>
      <x:c r="S251" s="11" t="str">
        <x:v>Giữ làm đơn vị nghiên cứu</x:v>
      </x:c>
      <x:c r="T251" s="11" t="str">
        <x:v>C143</x:v>
      </x:c>
    </x:row>
    <x:row r="252" ht="67.5" customHeight="1">
      <x:c r="A252" s="11" t="n">
        <x:v>247</x:v>
      </x:c>
      <x:c r="B252" s="11" t="str">
        <x:v>C144</x:v>
      </x:c>
      <x:c r="C252" s="11" t="str">
        <x:v>Hiệp định Thương mại tự do</x:v>
      </x:c>
      <x:c r="D252" s="11" t="str">
        <x:v>Free trade agreement</x:v>
      </x:c>
      <x:c r="E252" s="11" t="str">
        <x:v>자유무역협정</x:v>
      </x:c>
      <x:c r="F252" s="11" t="str">
        <x:v>Free Trade Agreement</x:v>
      </x:c>
      <x:c r="G252" s="38" t="str">
        <x:v>Trùng biểu thức Anh</x:v>
      </x:c>
      <x:c r="H252" s="39" t="str">
        <x:v>Xác nhận — cùng biểu thức Anh</x:v>
      </x:c>
      <x:c r="I252" s="11" t="str">
        <x:v>Hai nguồn nêu cặp nhãn tường minh; xác nhận tên loại FTA. Nguồn Việt được kiểm tra ở bảng thuật ngữ do công cụ tìm kiếm trích xuất, chưa đọc toàn báo cáo.</x:v>
      </x:c>
      <x:c r="J252" s="11" t="str">
        <x:v>Đối dịch tường minh trong nguồn</x:v>
      </x:c>
      <x:c r="K252" s="37" t="str">
        <x:v>EB205
Nguồn kiểm tra, dòng 849</x:v>
      </x:c>
      <x:c r="L252" s="11" t="str">
        <x:v>Đối dịch tường minh trong nguồn</x:v>
      </x:c>
      <x:c r="M252" s="37" t="str">
        <x:v>EB206
Nguồn kiểm tra, dòng 850</x:v>
      </x:c>
      <x:c r="N252" s="11" t="str">
        <x:v>hiệp định thương mại tự do</x:v>
      </x:c>
      <x:c r="O252" s="11" t="str">
        <x:v>자유무역협정</x:v>
      </x:c>
      <x:c r="P252" s="11" t="str">
        <x:v>Loại hiệp định thương mại tự do.</x:v>
      </x:c>
      <x:c r="Q252" s="11" t="str">
        <x:v>Loại hiệp định thương mại tự do.</x:v>
      </x:c>
      <x:c r="R252" s="11" t="str">
        <x:v>N5</x:v>
      </x:c>
      <x:c r="S252" s="11" t="str">
        <x:v>Giữ làm đơn vị nghiên cứu</x:v>
      </x:c>
      <x:c r="T252" s="11" t="str">
        <x:v>C144</x:v>
      </x:c>
    </x:row>
    <x:row r="253" ht="102" customHeight="1">
      <x:c r="A253" s="11" t="n">
        <x:v>248</x:v>
      </x:c>
      <x:c r="B253" s="11" t="str">
        <x:v>C145</x:v>
      </x:c>
      <x:c r="C253" s="11" t="str">
        <x:v>Hiệp định Bảo hộ đầu tư</x:v>
      </x:c>
      <x:c r="D253" s="40" t="str">
        <x:v>investment protection agreement *</x:v>
      </x:c>
      <x:c r="E253" s="11" t="str">
        <x:v>투자보호협정</x:v>
      </x:c>
      <x:c r="F253" s="40" t="str">
        <x:v>investment protection agreement *</x:v>
      </x:c>
      <x:c r="G253" s="40" t="str">
        <x:v>Chưa đủ hai nguồn để so khớp</x:v>
      </x:c>
      <x:c r="H253" s="41" t="str">
        <x:v>Ứng viên — còn thiếu chứng cứ</x:v>
      </x:c>
      <x:c r="I253" s="11" t="str">
        <x:v>Biểu thức chưa định danh một hiệp định đầu tư cụ thể; N5.1. Nghĩa được diễn đạt bằng hai ngôn ngữ từ nguồn KO; không giả định nguồn cung cấp mục từ ở cả hai ngôn ngữ. Nguồn Hàn vừa tra dùng 투자보장협정, là dạng gần về khái niệm; không ghi found_exact cho 투자보호협정. compatible = có khả năng tương ứng theo nghĩa làm việc; chưa thay thế kiểm tra câu song hành.</x:v>
      </x:c>
      <x:c r="J253" s="11" t="str">
        <x:v>* Đề xuất để tiếp tục tra cứu</x:v>
      </x:c>
      <x:c r="K253" s="11" t="str">
        <x:v>Chưa có nguồn ánh xạ</x:v>
      </x:c>
      <x:c r="L253" s="11" t="str">
        <x:v>* Đề xuất để tiếp tục tra cứu</x:v>
      </x:c>
      <x:c r="M253" s="11" t="str">
        <x:v>Chưa có nguồn ánh xạ</x:v>
      </x:c>
      <x:c r="N253" s="11" t="str">
        <x:v>Hiệp định Bảo hộ đầu tư</x:v>
      </x:c>
      <x:c r="O253" s="11" t="str">
        <x:v>투자보호협정</x:v>
      </x:c>
      <x:c r="P253" s="11" t="str">
        <x:v>Loại hiệp định quy định các tiêu chuẩn và nghĩa vụ bảo hộ đối với đầu tư và nhà đầu tư giữa các bên.</x:v>
      </x:c>
      <x:c r="Q253" s="11" t="str">
        <x:v>Đối chiếu nghĩa Hàn đã ghi trong trang Thuật ngữ.</x:v>
      </x:c>
      <x:c r="R253" s="11" t="str">
        <x:v>N5</x:v>
      </x:c>
      <x:c r="S253" s="11" t="str">
        <x:v>Giữ làm đơn vị nghiên cứu</x:v>
      </x:c>
      <x:c r="T253" s="11" t="str">
        <x:v>C145</x:v>
      </x:c>
    </x:row>
    <x:row r="254" ht="87" customHeight="1">
      <x:c r="A254" s="11" t="n">
        <x:v>249</x:v>
      </x:c>
      <x:c r="B254" s="11" t="str">
        <x:v>C151</x:v>
      </x:c>
      <x:c r="C254" s="11" t="str">
        <x:v>Công ước Hà Nội</x:v>
      </x:c>
      <x:c r="D254" s="11" t="str">
        <x:v>Hanoi Convention</x:v>
      </x:c>
      <x:c r="E254" s="11" t="str">
        <x:v>하노이협약</x:v>
      </x:c>
      <x:c r="F254" s="40" t="str">
        <x:v>Hanoi Convention *</x:v>
      </x:c>
      <x:c r="G254" s="40" t="str">
        <x:v>Chưa đủ hai nguồn để so khớp</x:v>
      </x:c>
      <x:c r="H254" s="41" t="str">
        <x:v>Có điều kiện — chưa chốt</x:v>
      </x:c>
      <x:c r="I254" s="11" t="str">
        <x:v>Nhánh VI–EN có căn chỉnh; nhánh KO xác định chắc biệt danh cùng công ước qua alias, nhưng chưa có mapping tên Anh tường minh/phiên bản EN cùng bài. Không đếm là confirmed theo tiêu chí hai nhánh nghiêm ngặt. C151 và C161 vẫn liên kết cùng văn kiện.</x:v>
      </x:c>
      <x:c r="J254" s="11" t="str">
        <x:v>Đối chiếu văn bản song song</x:v>
      </x:c>
      <x:c r="K254" s="37" t="str">
        <x:v>EB207
Nguồn kiểm tra, dòng 851</x:v>
      </x:c>
      <x:c r="L254" s="11" t="str">
        <x:v>Nguồn chỉ giải nghĩa khái niệm</x:v>
      </x:c>
      <x:c r="M254" s="37" t="str">
        <x:v>EB208
Nguồn kiểm tra, dòng 852</x:v>
      </x:c>
      <x:c r="N254" s="11" t="str">
        <x:v>Công ước Hà Nội</x:v>
      </x:c>
      <x:c r="O254" s="11" t="str">
        <x:v>하노이협약</x:v>
      </x:c>
      <x:c r="P254" s="11" t="str">
        <x:v>Tên gọi khác của Công ước Liên hợp quốc về chống tội phạm mạng, được mở ký tại Hà Nội năm 2025.</x:v>
      </x:c>
      <x:c r="Q254" s="11" t="str">
        <x:v>Tên gọi khác của Công ước Liên hợp quốc về chống tội phạm mạng, được mở ký tại Hà Nội năm 2025.</x:v>
      </x:c>
      <x:c r="R254" s="11" t="str">
        <x:v>N5</x:v>
      </x:c>
      <x:c r="S254" s="11" t="str">
        <x:v>Giữ làm đơn vị nghiên cứu</x:v>
      </x:c>
      <x:c r="T254" s="11" t="str">
        <x:v>C151</x:v>
      </x:c>
    </x:row>
    <x:row r="255" ht="67.5" customHeight="1">
      <x:c r="A255" s="11" t="n">
        <x:v>250</x:v>
      </x:c>
      <x:c r="B255" s="11" t="str">
        <x:v>C154</x:v>
      </x:c>
      <x:c r="C255" s="11" t="str">
        <x:v>Thỏa thuận Paris</x:v>
      </x:c>
      <x:c r="D255" s="11" t="str">
        <x:v>Paris Agreement</x:v>
      </x:c>
      <x:c r="E255" s="11" t="str">
        <x:v>파리협정</x:v>
      </x:c>
      <x:c r="F255" s="11" t="str">
        <x:v>Paris Agreement</x:v>
      </x:c>
      <x:c r="G255" s="40" t="str">
        <x:v>Trùng biểu thức Anh</x:v>
      </x:c>
      <x:c r="H255" s="41" t="str">
        <x:v>Có điều kiện — chưa chốt</x:v>
      </x:c>
      <x:c r="I255" s="11" t="str">
        <x:v>Xác nhận được tên văn kiện khí hậu năm 2015; nhãn đầu vào Thỏa thuận Paris cần bổ sung phạm vi này trước khi nhận vào bộ cặp chắc chắn.</x:v>
      </x:c>
      <x:c r="J255" s="11" t="str">
        <x:v>Đối dịch tường minh trong nguồn</x:v>
      </x:c>
      <x:c r="K255" s="37" t="str">
        <x:v>EB209
Nguồn kiểm tra, dòng 853</x:v>
      </x:c>
      <x:c r="L255" s="11" t="str">
        <x:v>Đối dịch tường minh trong nguồn</x:v>
      </x:c>
      <x:c r="M255" s="37" t="str">
        <x:v>EB210
Nguồn kiểm tra, dòng 854</x:v>
      </x:c>
      <x:c r="N255" s="11" t="str">
        <x:v>Thỏa thuận Paris về khí hậu</x:v>
      </x:c>
      <x:c r="O255" s="11" t="str">
        <x:v>파리협정</x:v>
      </x:c>
      <x:c r="P255" s="11" t="str">
        <x:v>Văn kiện khí hậu được thông qua tại Paris năm 2015.</x:v>
      </x:c>
      <x:c r="Q255" s="11" t="str">
        <x:v>Văn kiện khí hậu được thông qua tại Paris năm 2015.</x:v>
      </x:c>
      <x:c r="R255" s="11" t="str">
        <x:v>N5</x:v>
      </x:c>
      <x:c r="S255" s="11" t="str">
        <x:v>Cần xem xét tư cách/phạm vi</x:v>
      </x:c>
      <x:c r="T255" s="11" t="str">
        <x:v>C154</x:v>
      </x:c>
    </x:row>
    <x:row r="256" ht="67.5" customHeight="1">
      <x:c r="A256" s="11" t="n">
        <x:v>251</x:v>
      </x:c>
      <x:c r="B256" s="11" t="str">
        <x:v>C155</x:v>
      </x:c>
      <x:c r="C256" s="11" t="str">
        <x:v>Nghị định thư Kyoto</x:v>
      </x:c>
      <x:c r="D256" s="11" t="str">
        <x:v>Kyoto Protocol</x:v>
      </x:c>
      <x:c r="E256" s="11" t="str">
        <x:v>교토의정서</x:v>
      </x:c>
      <x:c r="F256" s="11" t="str">
        <x:v>Kyoto Protocol</x:v>
      </x:c>
      <x:c r="G256" s="38" t="str">
        <x:v>Trùng biểu thức Anh</x:v>
      </x:c>
      <x:c r="H256" s="39" t="str">
        <x:v>Xác nhận — cùng biểu thức Anh</x:v>
      </x:c>
      <x:c r="I256" s="11" t="str">
        <x:v>Hai nguồn có cặp tên tường minh cho văn kiện khí hậu Kyoto 1997. Nguồn Việt được kiểm ở đoạn bảng thuật ngữ do công cụ tìm kiếm trích xuất, chưa đọc toàn tài liệu.</x:v>
      </x:c>
      <x:c r="J256" s="11" t="str">
        <x:v>Đối dịch tường minh trong nguồn</x:v>
      </x:c>
      <x:c r="K256" s="37" t="str">
        <x:v>EB211
Nguồn kiểm tra, dòng 855</x:v>
      </x:c>
      <x:c r="L256" s="11" t="str">
        <x:v>Đối dịch tường minh trong nguồn</x:v>
      </x:c>
      <x:c r="M256" s="37" t="str">
        <x:v>EB212
Nguồn kiểm tra, dòng 856</x:v>
      </x:c>
      <x:c r="N256" s="11" t="str">
        <x:v>Nghị định thư Kyoto</x:v>
      </x:c>
      <x:c r="O256" s="11" t="str">
        <x:v>교토의정서</x:v>
      </x:c>
      <x:c r="P256" s="11" t="str">
        <x:v>Nghị định thư Kyoto năm 1997 thuộc UNFCCC.</x:v>
      </x:c>
      <x:c r="Q256" s="11" t="str">
        <x:v>Nghị định thư Kyoto năm 1997 thuộc UNFCCC.</x:v>
      </x:c>
      <x:c r="R256" s="11" t="str">
        <x:v>N5</x:v>
      </x:c>
      <x:c r="S256" s="11" t="str">
        <x:v>Giữ làm đơn vị nghiên cứu</x:v>
      </x:c>
      <x:c r="T256" s="11" t="str">
        <x:v>C155</x:v>
      </x:c>
    </x:row>
    <x:row r="257" ht="67.5" customHeight="1">
      <x:c r="A257" s="11" t="n">
        <x:v>252</x:v>
      </x:c>
      <x:c r="B257" s="11" t="str">
        <x:v>C157</x:v>
      </x:c>
      <x:c r="C257" s="11" t="str">
        <x:v>Hiệp định Đối tác Toàn diện và tiến bộ xuyên Thái Bình Dương</x:v>
      </x:c>
      <x:c r="D257" s="11" t="str">
        <x:v>Comprehensive and Progressive Agreement for Trans-Pacific Partnership</x:v>
      </x:c>
      <x:c r="E257" s="11" t="str">
        <x:v>포괄적·점진적 환태평양경제동반자협정</x:v>
      </x:c>
      <x:c r="F257" s="11" t="str">
        <x:v>Comprehensive and Progressive Agreement for Trans-Pacific Partnership</x:v>
      </x:c>
      <x:c r="G257" s="38" t="str">
        <x:v>Trùng biểu thức Anh</x:v>
      </x:c>
      <x:c r="H257" s="39" t="str">
        <x:v>Xác nhận — cùng biểu thức Anh</x:v>
      </x:c>
      <x:c r="I257" s="11" t="str">
        <x:v>Hai nhánh cùng định danh CPTPP, không nhầm với TPP. Đây là tên văn kiện riêng; khác viết hoa trong đầu vào không tạo khác biệt nghĩa.</x:v>
      </x:c>
      <x:c r="J257" s="11" t="str">
        <x:v>Đối dịch tường minh trong nguồn</x:v>
      </x:c>
      <x:c r="K257" s="37" t="str">
        <x:v>EB213
Nguồn kiểm tra, dòng 857</x:v>
      </x:c>
      <x:c r="L257" s="11" t="str">
        <x:v>Đối dịch tường minh trong nguồn</x:v>
      </x:c>
      <x:c r="M257" s="37" t="str">
        <x:v>EB214
Nguồn kiểm tra, dòng 858</x:v>
      </x:c>
      <x:c r="N257" s="11" t="str">
        <x:v>Hiệp định Đối tác Toàn diện và tiến bộ xuyên Thái Bình Dương</x:v>
      </x:c>
      <x:c r="O257" s="11" t="str">
        <x:v>포괄적·점진적 환태평양경제동반자협정</x:v>
      </x:c>
      <x:c r="P257" s="11" t="str">
        <x:v>Hiệp định CPTPP, tiếp nhận nhiều quy định của TPP và tạm đình chỉ áp dụng một số quy định được xác định trong văn kiện.</x:v>
      </x:c>
      <x:c r="Q257" s="11" t="str">
        <x:v>Hiệp định CPTPP, tiếp nhận nhiều quy định của TPP và tạm đình chỉ áp dụng một số quy định được xác định trong văn kiện.</x:v>
      </x:c>
      <x:c r="R257" s="11" t="str">
        <x:v>N5</x:v>
      </x:c>
      <x:c r="S257" s="11" t="str">
        <x:v>Giữ làm đơn vị nghiên cứu</x:v>
      </x:c>
      <x:c r="T257" s="11" t="str">
        <x:v>C157</x:v>
      </x:c>
    </x:row>
    <x:row r="258" ht="87" customHeight="1">
      <x:c r="A258" s="11" t="n">
        <x:v>253</x:v>
      </x:c>
      <x:c r="B258" s="11" t="str">
        <x:v>C159</x:v>
      </x:c>
      <x:c r="C258" s="11" t="str">
        <x:v>Chương trình hành động</x:v>
      </x:c>
      <x:c r="D258" s="11" t="str">
        <x:v>Action Programme</x:v>
      </x:c>
      <x:c r="E258" s="11" t="str">
        <x:v>행동계획</x:v>
      </x:c>
      <x:c r="F258" s="40" t="str">
        <x:v>action plan *</x:v>
      </x:c>
      <x:c r="G258" s="40" t="str">
        <x:v>Chưa đủ hai nguồn để so khớp</x:v>
      </x:c>
      <x:c r="H258" s="41" t="str">
        <x:v>Ứng viên — còn thiếu chứng cứ</x:v>
      </x:c>
      <x:c r="I258" s="11" t="str">
        <x:v>N5.1 chỉ theo nghĩa loại văn bản. 행동계획 thường là kế hoạch hành động; chương trình hành động cần đối chiếu tên chính thức. Nội dung chính sách hoặc hoạt động thực hiện là nghĩa khác. Nhóm hiện là đề xuất có điều kiện theo nghĩa làm việc, chưa chốt khi thiếu câu nguồn.</x:v>
      </x:c>
      <x:c r="J258" s="11" t="str">
        <x:v>Đối chiếu văn bản song song</x:v>
      </x:c>
      <x:c r="K258" s="37" t="str">
        <x:v>EB215
Nguồn kiểm tra, dòng 859</x:v>
      </x:c>
      <x:c r="L258" s="11" t="str">
        <x:v>* Đề xuất để tiếp tục tra cứu</x:v>
      </x:c>
      <x:c r="M258" s="11" t="str">
        <x:v>Chưa có nguồn ánh xạ</x:v>
      </x:c>
      <x:c r="N258" s="11" t="str">
        <x:v>Chương trình Hành động</x:v>
      </x:c>
      <x:c r="O258" s="11" t="str">
        <x:v>행동계획</x:v>
      </x:c>
      <x:c r="P258" s="11" t="str">
        <x:v>Loại văn bản xác định các nhiệm vụ và hướng thực hiện để đạt mục tiêu hành động đã đề ra.</x:v>
      </x:c>
      <x:c r="Q258" s="11" t="str">
        <x:v>Đối chiếu nghĩa Hàn đã ghi trong trang Thuật ngữ.</x:v>
      </x:c>
      <x:c r="R258" s="11" t="str">
        <x:v>N5</x:v>
      </x:c>
      <x:c r="S258" s="11" t="str">
        <x:v>Cần xem xét tư cách/phạm vi</x:v>
      </x:c>
      <x:c r="T258" s="11" t="str">
        <x:v>C159</x:v>
      </x:c>
    </x:row>
    <x:row r="259" ht="67.5" customHeight="1">
      <x:c r="A259" s="11" t="n">
        <x:v>254</x:v>
      </x:c>
      <x:c r="B259" s="11" t="str">
        <x:v>C160</x:v>
      </x:c>
      <x:c r="C259" s="11" t="str">
        <x:v>Hiệp định liên Chính phủ</x:v>
      </x:c>
      <x:c r="D259" s="40" t="str">
        <x:v>intergovernmental agreement *</x:v>
      </x:c>
      <x:c r="E259" s="11" t="str">
        <x:v>정부 간 협정</x:v>
      </x:c>
      <x:c r="F259" s="40" t="str">
        <x:v>intergovernmental agreement *</x:v>
      </x:c>
      <x:c r="G259" s="40" t="str">
        <x:v>Chưa đủ hai nguồn để so khớp</x:v>
      </x:c>
      <x:c r="H259" s="41" t="str">
        <x:v>Ứng viên — còn thiếu chứng cứ</x:v>
      </x:c>
      <x:c r="I259" s="11" t="str">
        <x:v>compatible = có khả năng tương ứng theo nghĩa làm việc; chưa thay thế kiểm tra câu song hành.</x:v>
      </x:c>
      <x:c r="J259" s="11" t="str">
        <x:v>* Đề xuất để tiếp tục tra cứu</x:v>
      </x:c>
      <x:c r="K259" s="11" t="str">
        <x:v>Chưa có nguồn ánh xạ</x:v>
      </x:c>
      <x:c r="L259" s="11" t="str">
        <x:v>* Đề xuất để tiếp tục tra cứu</x:v>
      </x:c>
      <x:c r="M259" s="11" t="str">
        <x:v>Chưa có nguồn ánh xạ</x:v>
      </x:c>
      <x:c r="N259" s="11" t="str">
        <x:v>Hiệp định liên Chính phủ</x:v>
      </x:c>
      <x:c r="O259" s="11" t="str">
        <x:v>정부 간 협정</x:v>
      </x:c>
      <x:c r="P259" s="11" t="str">
        <x:v>Loại văn kiện thỏa thuận quốc tế được ký kết giữa hai hoặc nhiều chính phủ.</x:v>
      </x:c>
      <x:c r="Q259" s="11" t="str">
        <x:v>Đối chiếu nghĩa Hàn đã ghi trong trang Thuật ngữ.</x:v>
      </x:c>
      <x:c r="R259" s="11" t="str">
        <x:v>N5</x:v>
      </x:c>
      <x:c r="S259" s="11" t="str">
        <x:v>Giữ làm đơn vị nghiên cứu</x:v>
      </x:c>
      <x:c r="T259" s="11" t="str">
        <x:v>C160</x:v>
      </x:c>
    </x:row>
    <x:row r="260" ht="67.5" customHeight="1">
      <x:c r="A260" s="11" t="n">
        <x:v>255</x:v>
      </x:c>
      <x:c r="B260" s="11" t="str">
        <x:v>C161</x:v>
      </x:c>
      <x:c r="C260" s="11" t="str">
        <x:v>Công ước Liên hợp quốc về chống tội phạm mạng</x:v>
      </x:c>
      <x:c r="D260" s="11" t="str">
        <x:v>United Nations Convention against Cybercrime</x:v>
      </x:c>
      <x:c r="E260" s="11" t="str">
        <x:v>유엔 사이버범죄 방지 협약</x:v>
      </x:c>
      <x:c r="F260" s="11" t="str">
        <x:v>United Nations Convention against Cybercrime</x:v>
      </x:c>
      <x:c r="G260" s="38" t="str">
        <x:v>Trùng biểu thức Anh</x:v>
      </x:c>
      <x:c r="H260" s="39" t="str">
        <x:v>Xác nhận — cùng biểu thức Anh</x:v>
      </x:c>
      <x:c r="I260" s="11" t="str">
        <x:v>Xác nhận cùng công ước UN chống tội phạm mạng; tên Anh ở đây là nhan đề ngắn. Bản tin KO 2024 dùng từ dự thảo, nên không dùng riêng nguồn đó để chứng nhận văn kiện đã thông qua.</x:v>
      </x:c>
      <x:c r="J260" s="11" t="str">
        <x:v>Đối dịch tường minh trong nguồn</x:v>
      </x:c>
      <x:c r="K260" s="37" t="str">
        <x:v>EB216
Nguồn kiểm tra, dòng 860</x:v>
      </x:c>
      <x:c r="L260" s="11" t="str">
        <x:v>Đối chiếu văn bản song song</x:v>
      </x:c>
      <x:c r="M260" s="37" t="str">
        <x:v>EB217
Nguồn kiểm tra, dòng 861</x:v>
      </x:c>
      <x:c r="N260" s="11" t="str">
        <x:v>Công ước Liên hợp quốc về chống tội phạm mạng</x:v>
      </x:c>
      <x:c r="O260" s="11" t="str">
        <x:v>유엔 사이버범죄 방지 협약</x:v>
      </x:c>
      <x:c r="P260" s="11" t="str">
        <x:v>Công ước Liên hợp quốc quy định hợp tác phòng, chống tội phạm mạng và chia sẻ chứng cứ điện tử; còn gọi là Công ước Hà Nội.</x:v>
      </x:c>
      <x:c r="Q260" s="11" t="str">
        <x:v>Công ước Liên hợp quốc quy định hợp tác phòng, chống tội phạm mạng và chia sẻ chứng cứ điện tử; còn gọi là Công ước Hà Nội.</x:v>
      </x:c>
      <x:c r="R260" s="11" t="str">
        <x:v>N5</x:v>
      </x:c>
      <x:c r="S260" s="11" t="str">
        <x:v>Giữ làm đơn vị nghiên cứu</x:v>
      </x:c>
      <x:c r="T260" s="11" t="str">
        <x:v>C151</x:v>
      </x:c>
    </x:row>
    <x:row r="261" ht="67.5" customHeight="1">
      <x:c r="A261" s="11" t="n">
        <x:v>256</x:v>
      </x:c>
      <x:c r="B261" s="11" t="str">
        <x:v>C163</x:v>
      </x:c>
      <x:c r="C261" s="11" t="str">
        <x:v>Đối thoại chiến lược</x:v>
      </x:c>
      <x:c r="D261" s="40" t="str">
        <x:v>strategic dialogue *</x:v>
      </x:c>
      <x:c r="E261" s="11" t="str">
        <x:v>전략적 대화</x:v>
      </x:c>
      <x:c r="F261" s="40" t="str">
        <x:v>strategic dialogue *</x:v>
      </x:c>
      <x:c r="G261" s="40" t="str">
        <x:v>Chưa đủ hai nguồn để so khớp</x:v>
      </x:c>
      <x:c r="H261" s="41" t="str">
        <x:v>Ứng viên — còn thiếu chứng cứ</x:v>
      </x:c>
      <x:c r="I261" s="11" t="str">
        <x:v>Dạng 전략적 대화 chưa có cùng ngữ cảnh như 전략대화 ở T161. Không chuyển bằng chứng của một cơ chế cụ thể sang mọi “đối thoại chiến lược”.</x:v>
      </x:c>
      <x:c r="J261" s="11" t="str">
        <x:v>* Đề xuất để tiếp tục tra cứu</x:v>
      </x:c>
      <x:c r="K261" s="11" t="str">
        <x:v>Chưa có nguồn ánh xạ</x:v>
      </x:c>
      <x:c r="L261" s="11" t="str">
        <x:v>* Đề xuất để tiếp tục tra cứu</x:v>
      </x:c>
      <x:c r="M261" s="11" t="str">
        <x:v>Chưa có nguồn ánh xạ</x:v>
      </x:c>
      <x:c r="N261" s="11" t="str">
        <x:v>Đối thoại chiến lược</x:v>
      </x:c>
      <x:c r="O261" s="11" t="str">
        <x:v>전략적 대화</x:v>
      </x:c>
      <x:c r="P261" s="11" t="str">
        <x:v>Đối thoại về các vấn đề chiến lược; biểu thức có thể chỉ hoạt động trao đổi hoặc một cơ chế đối thoại được thiết lập.</x:v>
      </x:c>
      <x:c r="Q261" s="11" t="str">
        <x:v>Đối thoại về các vấn đề chiến lược; biểu thức có thể chỉ hoạt động trao đổi hoặc một cơ chế đối thoại được thiết lập.</x:v>
      </x:c>
      <x:c r="R261" s="11" t="str">
        <x:v>Cần xem xét</x:v>
      </x:c>
      <x:c r="S261" s="11" t="str">
        <x:v>Cần xem xét tư cách/phạm vi</x:v>
      </x:c>
      <x:c r="T261" s="11" t="str">
        <x:v>C163</x:v>
      </x:c>
    </x:row>
    <x:row r="262" ht="67.5" customHeight="1">
      <x:c r="A262" s="11" t="n">
        <x:v>257</x:v>
      </x:c>
      <x:c r="B262" s="11" t="str">
        <x:v>C164</x:v>
      </x:c>
      <x:c r="C262" s="11" t="str">
        <x:v>Thứ trưởng Ngoại giao</x:v>
      </x:c>
      <x:c r="D262" s="40" t="str">
        <x:v>Deputy Minister of Foreign Affairs *</x:v>
      </x:c>
      <x:c r="E262" s="11" t="str">
        <x:v>외교차관</x:v>
      </x:c>
      <x:c r="F262" s="40" t="str">
        <x:v>Vice Minister of Foreign Affairs *</x:v>
      </x:c>
      <x:c r="G262" s="40" t="str">
        <x:v>Chưa đủ hai nguồn để so khớp</x:v>
      </x:c>
      <x:c r="H262" s="41" t="str">
        <x:v>Chưa đủ căn cứ đối chiếu</x:v>
      </x:c>
      <x:c r="I262" s="11" t="str">
        <x:v>외교차관 là dạng rút gọn chức danh, chưa có mapping riêng được xác minh. Không buộc dịch Vice Minister thành Deputy Minister để khớp Việt.</x:v>
      </x:c>
      <x:c r="J262" s="11" t="str">
        <x:v>* Đề xuất để tiếp tục tra cứu</x:v>
      </x:c>
      <x:c r="K262" s="11" t="str">
        <x:v>Chưa có nguồn ánh xạ</x:v>
      </x:c>
      <x:c r="L262" s="11" t="str">
        <x:v>* Đề xuất để tiếp tục tra cứu</x:v>
      </x:c>
      <x:c r="M262" s="11" t="str">
        <x:v>Chưa có nguồn ánh xạ</x:v>
      </x:c>
      <x:c r="N262" s="11" t="str">
        <x:v>Thứ trưởng Ngoại giao</x:v>
      </x:c>
      <x:c r="O262" s="11" t="str">
        <x:v>외교차관</x:v>
      </x:c>
      <x:c r="P262" s="11" t="str">
        <x:v>Chức danh lãnh đạo cấp phó trong Bộ Ngoại giao, giúp Bộ trưởng.</x:v>
      </x:c>
      <x:c r="Q262" s="11" t="str">
        <x:v>Chức danh lãnh đạo cấp phó trong Bộ Ngoại giao, giúp Bộ trưởng.</x:v>
      </x:c>
      <x:c r="R262" s="11" t="str">
        <x:v>N1</x:v>
      </x:c>
      <x:c r="S262" s="11" t="str">
        <x:v>Giữ làm đơn vị nghiên cứu</x:v>
      </x:c>
      <x:c r="T262" s="11" t="str">
        <x:v>T102</x:v>
      </x:c>
    </x:row>
    <x:row r="263" ht="67.5" customHeight="1">
      <x:c r="A263" s="11" t="n">
        <x:v>258</x:v>
      </x:c>
      <x:c r="B263" s="11" t="str">
        <x:v>C165</x:v>
      </x:c>
      <x:c r="C263" s="11" t="str">
        <x:v>Tổng Bí thư</x:v>
      </x:c>
      <x:c r="D263" s="11" t="str">
        <x:v>General Secretary of the Communist Party of Viet Nam Central Committee</x:v>
      </x:c>
      <x:c r="E263" s="11" t="str">
        <x:v>당서기장</x:v>
      </x:c>
      <x:c r="F263" s="11" t="str">
        <x:v>General Secretary of the Communist Party of Viet Nam Central Committee</x:v>
      </x:c>
      <x:c r="G263" s="38" t="str">
        <x:v>Trùng biểu thức Anh</x:v>
      </x:c>
      <x:c r="H263" s="39" t="str">
        <x:v>Xác nhận — cùng biểu thức Anh</x:v>
      </x:c>
      <x:c r="I263" s="11" t="str">
        <x:v>Xác nhận nghĩa theo thể chế Việt Nam và ngữ cảnh 18/02/2026. Dạng 당서기장 và 당 서기장 khác cách đặt khoảng trắng; 서기장 được hiểu trong phạm vi Đảng Cộng sản Việt Nam.</x:v>
      </x:c>
      <x:c r="J263" s="11" t="str">
        <x:v>Đối chiếu văn bản song song</x:v>
      </x:c>
      <x:c r="K263" s="37" t="str">
        <x:v>EB218
Nguồn kiểm tra, dòng 862</x:v>
      </x:c>
      <x:c r="L263" s="11" t="str">
        <x:v>Đối chiếu văn bản song song</x:v>
      </x:c>
      <x:c r="M263" s="37" t="str">
        <x:v>EB219
Nguồn kiểm tra, dòng 863</x:v>
      </x:c>
      <x:c r="N263" s="11" t="str">
        <x:v>Tổng Bí thư</x:v>
      </x:c>
      <x:c r="O263" s="11" t="str">
        <x:v>당 서기장</x:v>
      </x:c>
      <x:c r="P263" s="11" t="str">
        <x:v>Người đứng đầu chính đảng; ở đây là ĐCSVN.</x:v>
      </x:c>
      <x:c r="Q263" s="11" t="str">
        <x:v>Người đứng đầu chính đảng; ở đây là ĐCSVN.</x:v>
      </x:c>
      <x:c r="R263" s="11" t="str">
        <x:v>N1</x:v>
      </x:c>
      <x:c r="S263" s="11" t="str">
        <x:v>Giữ làm đơn vị nghiên cứu</x:v>
      </x:c>
      <x:c r="T263" s="11" t="str">
        <x:v>T075</x:v>
      </x:c>
    </x:row>
    <x:row r="264" ht="67.5" customHeight="1">
      <x:c r="A264" s="11" t="n">
        <x:v>259</x:v>
      </x:c>
      <x:c r="B264" s="11" t="str">
        <x:v>C166</x:v>
      </x:c>
      <x:c r="C264" s="11" t="str">
        <x:v>Ủy viên Trung ương Đảng</x:v>
      </x:c>
      <x:c r="D264" s="11" t="str">
        <x:v>member of the Party Central Committee</x:v>
      </x:c>
      <x:c r="E264" s="11" t="str">
        <x:v>당 중앙위원</x:v>
      </x:c>
      <x:c r="F264" s="11" t="str">
        <x:v>member of the Party Central Committee</x:v>
      </x:c>
      <x:c r="G264" s="38" t="str">
        <x:v>Trùng biểu thức Anh</x:v>
      </x:c>
      <x:c r="H264" s="39" t="str">
        <x:v>Xác nhận — cùng biểu thức Anh</x:v>
      </x:c>
      <x:c r="I264" s="11" t="str">
        <x:v>Xác nhận nghĩa theo thể chế Việt Nam và ngữ cảnh 18/02/2026. </x:v>
      </x:c>
      <x:c r="J264" s="11" t="str">
        <x:v>Đối chiếu văn bản song song</x:v>
      </x:c>
      <x:c r="K264" s="37" t="str">
        <x:v>EB220
Nguồn kiểm tra, dòng 864</x:v>
      </x:c>
      <x:c r="L264" s="11" t="str">
        <x:v>Đối chiếu văn bản song song</x:v>
      </x:c>
      <x:c r="M264" s="37" t="str">
        <x:v>EB221
Nguồn kiểm tra, dòng 865</x:v>
      </x:c>
      <x:c r="N264" s="11" t="str">
        <x:v>Ủy viên Trung ương Đảng</x:v>
      </x:c>
      <x:c r="O264" s="11" t="str">
        <x:v>당 중앙위원</x:v>
      </x:c>
      <x:c r="P264" s="11" t="str">
        <x:v>Người có tư cách thành viên Ban Chấp hành Trung ương Đảng.</x:v>
      </x:c>
      <x:c r="Q264" s="11" t="str">
        <x:v>Người có tư cách thành viên Ban Chấp hành Trung ương Đảng.</x:v>
      </x:c>
      <x:c r="R264" s="11" t="str">
        <x:v>N1</x:v>
      </x:c>
      <x:c r="S264" s="11" t="str">
        <x:v>Giữ làm đơn vị nghiên cứu</x:v>
      </x:c>
      <x:c r="T264" s="11" t="str">
        <x:v>T083</x:v>
      </x:c>
    </x:row>
    <x:row r="265" ht="67.5" customHeight="1">
      <x:c r="A265" s="11" t="n">
        <x:v>260</x:v>
      </x:c>
      <x:c r="B265" s="11" t="str">
        <x:v>C167</x:v>
      </x:c>
      <x:c r="C265" s="11" t="str">
        <x:v>Đảng Cộng sản Việt Nam</x:v>
      </x:c>
      <x:c r="D265" s="11" t="str">
        <x:v>Communist Party of Viet Nam</x:v>
      </x:c>
      <x:c r="E265" s="11" t="str">
        <x:v>베트남공산당</x:v>
      </x:c>
      <x:c r="F265" s="11" t="str">
        <x:v>Communist Party of Vietnam</x:v>
      </x:c>
      <x:c r="G265" s="42" t="str">
        <x:v>Biến thể / có nhãn Anh chung</x:v>
      </x:c>
      <x:c r="H265" s="43" t="str">
        <x:v>Tương ứng — biến thể Anh</x:v>
      </x:c>
      <x:c r="I265" s="11" t="str">
        <x:v>Xác nhận cùng tên riêng ĐCSVN; Viet Nam/Vietnam là biến thể chữ viết. C167 trùng khái niệm T111.</x:v>
      </x:c>
      <x:c r="J265" s="11" t="str">
        <x:v>Đối chiếu văn bản song song</x:v>
      </x:c>
      <x:c r="K265" s="37" t="str">
        <x:v>EB222
Nguồn kiểm tra, dòng 866</x:v>
      </x:c>
      <x:c r="L265" s="11" t="str">
        <x:v>Đối dịch tường minh trong nguồn</x:v>
      </x:c>
      <x:c r="M265" s="37" t="str">
        <x:v>EB223
Nguồn kiểm tra, dòng 867</x:v>
      </x:c>
      <x:c r="N265" s="11" t="str">
        <x:v>Đảng Cộng sản Việt Nam</x:v>
      </x:c>
      <x:c r="O265" s="11" t="str">
        <x:v>베트남공산당</x:v>
      </x:c>
      <x:c r="P265" s="11" t="str">
        <x:v>Chính đảng lãnh đạo Nhà nước và xã hội Việt Nam.</x:v>
      </x:c>
      <x:c r="Q265" s="11" t="str">
        <x:v>Chính đảng lãnh đạo Nhà nước và xã hội Việt Nam.</x:v>
      </x:c>
      <x:c r="R265" s="11" t="str">
        <x:v>N2</x:v>
      </x:c>
      <x:c r="S265" s="11" t="str">
        <x:v>Giữ làm đơn vị nghiên cứu</x:v>
      </x:c>
      <x:c r="T265" s="11" t="str">
        <x:v>T111</x:v>
      </x:c>
    </x:row>
    <x:row r="266" ht="72" customHeight="1">
      <x:c r="A266" s="11" t="n">
        <x:v>261</x:v>
      </x:c>
      <x:c r="B266" s="11" t="str">
        <x:v>C168</x:v>
      </x:c>
      <x:c r="C266" s="11" t="str">
        <x:v>Ban Chấp hành Trung ương</x:v>
      </x:c>
      <x:c r="D266" s="40" t="str">
        <x:v>Central Committee (of an identified organization) *</x:v>
      </x:c>
      <x:c r="E266" s="11" t="str">
        <x:v>중앙집행위원회</x:v>
      </x:c>
      <x:c r="F266" s="40" t="str">
        <x:v>Central Executive Committee *</x:v>
      </x:c>
      <x:c r="G266" s="40" t="str">
        <x:v>Chưa đủ hai nguồn để so khớp</x:v>
      </x:c>
      <x:c r="H266" s="41" t="str">
        <x:v>Ứng viên — còn thiếu chứng cứ</x:v>
      </x:c>
      <x:c r="I266" s="11" t="str">
        <x:v>Phải xác định tổ chức. Nếu chỉ Ban Chấp hành Trung ương ĐCSVN, tiếng Anh chính thức thường là Central Committee; không ép 중앙집행위원회 vào cùng tên bằng suy luận. Chưa gộp với T113 khi thiếu câu gốc.</x:v>
      </x:c>
      <x:c r="J266" s="11" t="str">
        <x:v>* Đề xuất để tiếp tục tra cứu</x:v>
      </x:c>
      <x:c r="K266" s="11" t="str">
        <x:v>Chưa có nguồn ánh xạ</x:v>
      </x:c>
      <x:c r="L266" s="11" t="str">
        <x:v>* Đề xuất để tiếp tục tra cứu</x:v>
      </x:c>
      <x:c r="M266" s="11" t="str">
        <x:v>Chưa có nguồn ánh xạ</x:v>
      </x:c>
      <x:c r="N266" s="11" t="str">
        <x:v>Ban Chấp hành Trung ương</x:v>
      </x:c>
      <x:c r="O266" s="11" t="str">
        <x:v>중앙집행위원회</x:v>
      </x:c>
      <x:c r="P266" s="11" t="str">
        <x:v>Cơ quan chấp hành ở cấp trung ương của một tổ chức; cần tên tổ chức để xác định đầy đủ.</x:v>
      </x:c>
      <x:c r="Q266" s="11" t="str">
        <x:v>Ủy ban chấp hành trung ương của một tổ chức chưa được định danh.</x:v>
      </x:c>
      <x:c r="R266" s="11" t="str">
        <x:v>N2</x:v>
      </x:c>
      <x:c r="S266" s="11" t="str">
        <x:v>Cần xem xét tư cách/phạm vi</x:v>
      </x:c>
      <x:c r="T266" s="11" t="str">
        <x:v>C168</x:v>
      </x:c>
    </x:row>
    <x:row r="267" ht="72" customHeight="1">
      <x:c r="A267" s="11" t="n">
        <x:v>262</x:v>
      </x:c>
      <x:c r="B267" s="11" t="str">
        <x:v>C169</x:v>
      </x:c>
      <x:c r="C267" s="11" t="str">
        <x:v>Hội đồng Bảo an Liên hợp quốc</x:v>
      </x:c>
      <x:c r="D267" s="11" t="str">
        <x:v>Security Council</x:v>
      </x:c>
      <x:c r="E267" s="11" t="str">
        <x:v>유엔안보리</x:v>
      </x:c>
      <x:c r="F267" s="11" t="str">
        <x:v>Security Council</x:v>
      </x:c>
      <x:c r="G267" s="38" t="str">
        <x:v>Trùng biểu thức Anh</x:v>
      </x:c>
      <x:c r="H267" s="39" t="str">
        <x:v>Xác nhận — cùng biểu thức Anh</x:v>
      </x:c>
      <x:c r="I267" s="11" t="str">
        <x:v>Xác nhận định danh UN Security Council, cùng khái niệm T169. Nguồn giải thích rõ 안보리 là dạng rút gọn của 안전보장이사회 trong ngữ cảnh UN; không coi là từ điển có mục nguyên dạng 유엔안보리.</x:v>
      </x:c>
      <x:c r="J267" s="11" t="str">
        <x:v>Đối dịch tường minh trong nguồn</x:v>
      </x:c>
      <x:c r="K267" s="37" t="str">
        <x:v>EB224
Nguồn kiểm tra, dòng 868</x:v>
      </x:c>
      <x:c r="L267" s="11" t="str">
        <x:v>Đối dịch tường minh trong nguồn</x:v>
      </x:c>
      <x:c r="M267" s="37" t="str">
        <x:v>EB225
Nguồn kiểm tra, dòng 869</x:v>
      </x:c>
      <x:c r="N267" s="11" t="str">
        <x:v>Hội đồng Bảo an Liên hợp quốc</x:v>
      </x:c>
      <x:c r="O267" s="11" t="str">
        <x:v>유엔안보리</x:v>
      </x:c>
      <x:c r="P267" s="11" t="str">
        <x:v>Cơ quan Liên hợp quốc chịu trách nhiệm chính về duy trì hòa bình và an ninh quốc tế.</x:v>
      </x:c>
      <x:c r="Q267" s="11" t="str">
        <x:v>Cơ quan Liên hợp quốc chịu trách nhiệm chính về duy trì hòa bình và an ninh quốc tế.</x:v>
      </x:c>
      <x:c r="R267" s="11" t="str">
        <x:v>N2</x:v>
      </x:c>
      <x:c r="S267" s="11" t="str">
        <x:v>Giữ làm đơn vị nghiên cứu</x:v>
      </x:c>
      <x:c r="T267" s="11" t="str">
        <x:v>T169</x:v>
      </x:c>
    </x:row>
    <x:row r="268" ht="67.5" customHeight="1">
      <x:c r="A268" s="11" t="n">
        <x:v>263</x:v>
      </x:c>
      <x:c r="B268" s="11" t="str">
        <x:v>C170</x:v>
      </x:c>
      <x:c r="C268" s="11" t="str">
        <x:v>ngoại giao kinh tế</x:v>
      </x:c>
      <x:c r="D268" s="11" t="str">
        <x:v>economic diplomacy</x:v>
      </x:c>
      <x:c r="E268" s="11" t="str">
        <x:v>경제외교</x:v>
      </x:c>
      <x:c r="F268" s="11" t="str">
        <x:v>economic diplomacy</x:v>
      </x:c>
      <x:c r="G268" s="38" t="str">
        <x:v>Trùng biểu thức Anh</x:v>
      </x:c>
      <x:c r="H268" s="39" t="str">
        <x:v>Xác nhận — cùng biểu thức Anh</x:v>
      </x:c>
      <x:c r="I268" s="11" t="str">
        <x:v>Hai nhánh dùng economic diplomacy trong cùng lĩnh vực thực hành. Hai mã là hai dòng cùng khái niệm, không tính thành hai khái niệm độc lập.</x:v>
      </x:c>
      <x:c r="J268" s="11" t="str">
        <x:v>Đối chiếu văn bản song song</x:v>
      </x:c>
      <x:c r="K268" s="37" t="str">
        <x:v>EB226
Nguồn kiểm tra, dòng 870</x:v>
      </x:c>
      <x:c r="L268" s="11" t="str">
        <x:v>Đối chiếu văn bản song song</x:v>
      </x:c>
      <x:c r="M268" s="37" t="str">
        <x:v>EB227
Nguồn kiểm tra, dòng 871</x:v>
      </x:c>
      <x:c r="N268" s="11" t="str">
        <x:v>ngoại giao kinh tế</x:v>
      </x:c>
      <x:c r="O268" s="11" t="str">
        <x:v>경제외교</x:v>
      </x:c>
      <x:c r="P268" s="11" t="str">
        <x:v>Hoạt động ngoại giao nhằm phục vụ lợi ích, mục tiêu phát triển kinh tế và thúc đẩy quan hệ kinh tế đối ngoại.</x:v>
      </x:c>
      <x:c r="Q268" s="11" t="str">
        <x:v>Lĩnh vực thực hành ngoại giao phục vụ mục tiêu kinh tế.</x:v>
      </x:c>
      <x:c r="R268" s="11" t="str">
        <x:v>N4</x:v>
      </x:c>
      <x:c r="S268" s="11" t="str">
        <x:v>Giữ làm đơn vị nghiên cứu</x:v>
      </x:c>
      <x:c r="T268" s="11" t="str">
        <x:v>T156</x:v>
      </x:c>
    </x:row>
    <x:row r="269" ht="72" customHeight="1">
      <x:c r="A269" s="11" t="n">
        <x:v>264</x:v>
      </x:c>
      <x:c r="B269" s="11" t="str">
        <x:v>C175</x:v>
      </x:c>
      <x:c r="C269" s="11" t="str">
        <x:v>hội nhập quốc tế</x:v>
      </x:c>
      <x:c r="D269" s="40" t="str">
        <x:v>international integration *</x:v>
      </x:c>
      <x:c r="E269" s="11" t="str">
        <x:v>국제통합</x:v>
      </x:c>
      <x:c r="F269" s="40" t="str">
        <x:v>international integration *</x:v>
      </x:c>
      <x:c r="G269" s="40" t="str">
        <x:v>Chưa đủ hai nguồn để so khớp</x:v>
      </x:c>
      <x:c r="H269" s="41" t="str">
        <x:v>Ứng viên — còn thiếu chứng cứ</x:v>
      </x:c>
      <x:c r="I269" s="11" t="str">
        <x:v>Trùng khái niệm T138. Kế thừa nguồn nghĩa làm việc của T138 cho cùng khái niệm; không tính thành khái niệm mới chỉ vì mã C khác. compatible = có khả năng tương ứng theo nghĩa làm việc; chưa thay thế kiểm tra câu song hành.</x:v>
      </x:c>
      <x:c r="J269" s="11" t="str">
        <x:v>* Đề xuất để tiếp tục tra cứu</x:v>
      </x:c>
      <x:c r="K269" s="11" t="str">
        <x:v>Chưa có nguồn ánh xạ</x:v>
      </x:c>
      <x:c r="L269" s="11" t="str">
        <x:v>* Đề xuất để tiếp tục tra cứu</x:v>
      </x:c>
      <x:c r="M269" s="11" t="str">
        <x:v>Chưa có nguồn ánh xạ</x:v>
      </x:c>
      <x:c r="N269" s="11" t="str">
        <x:v>hội nhập quốc tế</x:v>
      </x:c>
      <x:c r="O269" s="11" t="str">
        <x:v>국제통합</x:v>
      </x:c>
      <x:c r="P269" s="11" t="str">
        <x:v>Quá trình quốc gia tham gia và tăng cường gắn kết với các quan hệ, thể chế và khuôn khổ hợp tác quốc tế.</x:v>
      </x:c>
      <x:c r="Q269" s="11" t="str">
        <x:v>Đối chiếu nghĩa Hàn đã ghi trong trang Thuật ngữ.</x:v>
      </x:c>
      <x:c r="R269" s="11" t="str">
        <x:v>N4</x:v>
      </x:c>
      <x:c r="S269" s="11" t="str">
        <x:v>Giữ làm đơn vị nghiên cứu</x:v>
      </x:c>
      <x:c r="T269" s="11" t="str">
        <x:v>T138</x:v>
      </x:c>
    </x:row>
    <x:row r="270" ht="67.5" customHeight="1">
      <x:c r="A270" s="11" t="n">
        <x:v>265</x:v>
      </x:c>
      <x:c r="B270" s="11" t="str">
        <x:v>C182</x:v>
      </x:c>
      <x:c r="C270" s="11" t="str">
        <x:v>Hiệp ước Biển cả</x:v>
      </x:c>
      <x:c r="D270" s="11" t="str">
        <x:v>High Seas Treaty</x:v>
      </x:c>
      <x:c r="E270" s="11" t="str">
        <x:v>공해조약</x:v>
      </x:c>
      <x:c r="F270" s="11" t="str">
        <x:v>High Seas Treaty</x:v>
      </x:c>
      <x:c r="G270" s="40" t="str">
        <x:v>Trùng biểu thức Anh</x:v>
      </x:c>
      <x:c r="H270" s="41" t="str">
        <x:v>Có điều kiện — chưa chốt</x:v>
      </x:c>
      <x:c r="I270" s="11" t="str">
        <x:v>Điểm cần giữ: 공해조약 không có quy chiếu duy nhất. Chỉ xác nhận cặp trong ngữ cảnh BBNJ hiện đại, không tự đồng nhất với UNCLOS hay công ước biển cả 1958.</x:v>
      </x:c>
      <x:c r="J270" s="11" t="str">
        <x:v>Đối chiếu văn bản song song</x:v>
      </x:c>
      <x:c r="K270" s="37" t="str">
        <x:v>EB228
Nguồn kiểm tra, dòng 872</x:v>
      </x:c>
      <x:c r="L270" s="11" t="str">
        <x:v>Đối dịch tường minh trong nguồn</x:v>
      </x:c>
      <x:c r="M270" s="37" t="str">
        <x:v>EB229
Nguồn kiểm tra, dòng 873</x:v>
      </x:c>
      <x:c r="N270" s="11" t="str">
        <x:v>Hiệp ước Biển cả</x:v>
      </x:c>
      <x:c r="O270" s="11" t="str">
        <x:v>공해조약</x:v>
      </x:c>
      <x:c r="P270" s="11" t="str">
        <x:v>Tên gọi của Hiệp định BBNJ thực thi UNCLOS về bảo tồn và sử dụng bền vững đa dạng sinh học ngoài quyền tài phán quốc gia.</x:v>
      </x:c>
      <x:c r="Q270" s="11" t="str">
        <x:v>Tên gọi của Hiệp định BBNJ thực thi UNCLOS về bảo tồn và sử dụng bền vững đa dạng sinh học ngoài quyền tài phán quốc gia.</x:v>
      </x:c>
      <x:c r="R270" s="11" t="str">
        <x:v>N5</x:v>
      </x:c>
      <x:c r="S270" s="11" t="str">
        <x:v>Giữ làm đơn vị nghiên cứu</x:v>
      </x:c>
      <x:c r="T270" s="11" t="str">
        <x:v>C182</x:v>
      </x:c>
    </x:row>
    <x:row r="271" ht="132" customHeight="1">
      <x:c r="A271" s="11" t="n">
        <x:v>266</x:v>
      </x:c>
      <x:c r="B271" s="11" t="str">
        <x:v>C186</x:v>
      </x:c>
      <x:c r="C271" s="11" t="str">
        <x:v>chạy đua vũ ttrang</x:v>
      </x:c>
      <x:c r="D271" s="11" t="str">
        <x:v>arms race</x:v>
      </x:c>
      <x:c r="E271" s="11" t="str">
        <x:v>군비 경쟁</x:v>
      </x:c>
      <x:c r="F271" s="11" t="str">
        <x:v>arms race</x:v>
      </x:c>
      <x:c r="G271" s="40" t="str">
        <x:v>Trùng biểu thức Anh</x:v>
      </x:c>
      <x:c r="H271" s="41" t="str">
        <x:v>Có điều kiện — chưa chốt</x:v>
      </x:c>
      <x:c r="I271" s="11" t="str">
        <x:v>Hai nhánh có ánh xạ tường minh và cùng nghĩa quân sự–chính trị. Nhánh VI dựa bản đăng lại mục thuật ngữ học thuật có tên tác giả/ban biên soạn, không phải đối chiếu trực tiếp sách gốc. Nhãn Việt gốc chạy đua vũ ttrang có lỗi gõ; bản chuẩn chạy đua vũ trang được ghi trong source_term, cần giữ bản gốc ở dữ liệu nhập. KO 군비경쟁/군비 경쟁 khác khoảng trắng. Chưa đưa vào bộ lọc xác nhận: cần sửa lỗi gõ ở nhãn Việt đầu vào và kiểm bản sách thuật ngữ gốc của nhánh Việt.</x:v>
      </x:c>
      <x:c r="J271" s="11" t="str">
        <x:v>Đối dịch tường minh trong nguồn</x:v>
      </x:c>
      <x:c r="K271" s="37" t="str">
        <x:v>EB230
Nguồn kiểm tra, dòng 874</x:v>
      </x:c>
      <x:c r="L271" s="11" t="str">
        <x:v>Đối dịch tường minh trong nguồn</x:v>
      </x:c>
      <x:c r="M271" s="37" t="str">
        <x:v>EB231
Nguồn kiểm tra, dòng 875</x:v>
      </x:c>
      <x:c r="N271" s="11" t="str">
        <x:v>chạy đua vũ trang</x:v>
      </x:c>
      <x:c r="O271" s="11" t="str">
        <x:v>군비경쟁</x:v>
      </x:c>
      <x:c r="P271" s="11" t="str">
        <x:v>Cạnh tranh tăng cường lực lượng vũ trang để vượt các bên khác về sức mạnh.</x:v>
      </x:c>
      <x:c r="Q271" s="11" t="str">
        <x:v>Cạnh tranh tăng cường quân bị giữa các quốc gia, được bàn trong mô hình quyết định ngân sách quốc phòng.</x:v>
      </x:c>
      <x:c r="R271" s="11" t="str">
        <x:v>N4</x:v>
      </x:c>
      <x:c r="S271" s="11" t="str">
        <x:v>Giữ làm đơn vị nghiên cứu</x:v>
      </x:c>
      <x:c r="T271" s="11" t="str">
        <x:v>C186</x:v>
      </x:c>
    </x:row>
  </x:sheetData>
  <x:pageMargins left="0.7" right="0.7" top="0.75" bottom="0.75" header="0.3" footer="0.3"/>
  <x:tableParts count="1">
    <x:tablePart xmlns:r="http://schemas.openxmlformats.org/officeDocument/2006/relationships" r:id="R320b423cc5e743f7"/>
  </x:tableParts>
</x:worksheet>
</file>

<file path=xl/worksheets/sheet6.xml><?xml version="1.0" encoding="utf-8"?>
<x:worksheet xmlns:x="http://schemas.openxmlformats.org/spreadsheetml/2006/main">
  <x:sheetPr>
    <x:tabColor rgb="FF46648A"/>
  </x:sheetPr>
  <x:sheetViews>
    <x:sheetView showGridLines="0" workbookViewId="0">
      <x:pane xSplit="3" ySplit="5" topLeftCell="D6" activePane="bottomRight" state="frozen"/>
    </x:sheetView>
  </x:sheetViews>
  <x:sheetFormatPr defaultRowHeight="15"/>
  <x:cols>
    <x:col min="1" max="1" width="7" hidden="0" customWidth="1"/>
    <x:col min="2" max="2" width="15" hidden="0" customWidth="1"/>
    <x:col min="3" max="3" width="31" hidden="0" customWidth="1"/>
    <x:col min="4" max="4" width="30" hidden="0" customWidth="1"/>
    <x:col min="5" max="5" width="29" hidden="0" customWidth="1"/>
    <x:col min="6" max="6" width="33" hidden="0" customWidth="1"/>
    <x:col min="7" max="7" width="33" hidden="0" customWidth="1"/>
    <x:col min="8" max="8" width="29" hidden="0" customWidth="1"/>
    <x:col min="9" max="9" width="32" hidden="0" customWidth="1"/>
    <x:col min="10" max="10" width="39" hidden="0" customWidth="1"/>
    <x:col min="11" max="11" width="47" hidden="0" customWidth="1"/>
    <x:col min="12" max="12" width="47" hidden="0" customWidth="1"/>
    <x:col min="13" max="13" width="66" hidden="0" customWidth="1"/>
    <x:col min="14" max="14" width="66" hidden="0" customWidth="1"/>
    <x:col min="15" max="15" width="35" hidden="0" customWidth="1"/>
    <x:col min="16" max="16" width="46" hidden="0" customWidth="1"/>
    <x:col min="17" max="17" width="42" hidden="0" customWidth="1"/>
    <x:col min="18" max="18" width="42" hidden="0" customWidth="1"/>
    <x:col min="19" max="19" width="41" hidden="0" customWidth="1"/>
    <x:col min="20" max="20" width="40" hidden="0" customWidth="1"/>
    <x:col min="21" max="21" width="29" hidden="0" customWidth="1"/>
  </x:cols>
  <x:sheetData>
    <x:row r="1">
      <x:c r="A1" s="2"/>
      <x:c r="B1" s="2"/>
      <x:c r="C1" s="2"/>
      <x:c r="D1" s="2"/>
      <x:c r="E1" s="2"/>
      <x:c r="F1" s="2"/>
      <x:c r="G1" s="2"/>
      <x:c r="H1" s="2"/>
      <x:c r="I1" s="2"/>
      <x:c r="J1" s="2"/>
      <x:c r="K1" s="2"/>
      <x:c r="L1" s="2"/>
      <x:c r="M1" s="2"/>
      <x:c r="N1" s="2"/>
      <x:c r="O1" s="2"/>
      <x:c r="P1" s="2"/>
      <x:c r="Q1" s="2"/>
      <x:c r="R1" s="2"/>
      <x:c r="S1" s="2"/>
      <x:c r="T1" s="2"/>
      <x:c r="U1" s="2"/>
    </x:row>
    <x:row r="2" ht="27" customHeight="1">
      <x:c r="A2" s="61" t="str">
        <x:v>Nguồn gốc thành tố của 266 biểu thức Việt–Hàn</x:v>
      </x:c>
      <x:c r="B2" s="2"/>
      <x:c r="C2" s="2"/>
      <x:c r="D2" s="2"/>
      <x:c r="E2" s="2"/>
      <x:c r="F2" s="2"/>
      <x:c r="G2" s="2"/>
      <x:c r="H2" s="2"/>
      <x:c r="I2" s="2"/>
      <x:c r="J2" s="2"/>
      <x:c r="K2" s="2"/>
      <x:c r="L2" s="2"/>
      <x:c r="M2" s="2"/>
      <x:c r="N2" s="2"/>
      <x:c r="O2" s="2"/>
      <x:c r="P2" s="2"/>
      <x:c r="Q2" s="2"/>
      <x:c r="R2" s="2"/>
      <x:c r="S2" s="2"/>
      <x:c r="T2" s="2"/>
      <x:c r="U2" s="2"/>
    </x:row>
    <x:row r="3" ht="18.75" customHeight="1">
      <x:c r="A3" s="13" t="str">
        <x:v>A: có chứng cứ thành tố. B: phân tích tạm. C: chưa chốt từ nguyên. Dữ liệu gồm cả mã trùng khái niệm. Rà soát ngày 29/10/2026 (KST).</x:v>
      </x:c>
      <x:c r="B3" s="13"/>
      <x:c r="C3" s="13"/>
      <x:c r="D3" s="13"/>
      <x:c r="E3" s="13"/>
      <x:c r="F3" s="13"/>
      <x:c r="G3" s="13"/>
      <x:c r="H3" s="13"/>
      <x:c r="I3" s="13"/>
      <x:c r="J3" s="13"/>
      <x:c r="K3" s="13"/>
      <x:c r="L3" s="13"/>
      <x:c r="M3" s="13"/>
      <x:c r="N3" s="13"/>
      <x:c r="O3" s="13"/>
      <x:c r="P3" s="13"/>
      <x:c r="Q3" s="13"/>
      <x:c r="R3" s="13"/>
      <x:c r="S3" s="13"/>
      <x:c r="T3" s="13"/>
      <x:c r="U3" s="13"/>
    </x:row>
    <x:row r="4" ht="18.75" customHeight="1">
      <x:c r="A4" s="13" t="str">
        <x:v>Chữ Hán/Hanja có * là đề xuất chưa xác minh đủ. Tra mã ET tại Nguồn kiểm tra. HVDic cùng dạng chưa xác nhận nghĩa chuyên biệt.</x:v>
      </x:c>
      <x:c r="B4" s="13"/>
      <x:c r="C4" s="13"/>
      <x:c r="D4" s="13"/>
      <x:c r="E4" s="13"/>
      <x:c r="F4" s="13"/>
      <x:c r="G4" s="13"/>
      <x:c r="H4" s="13"/>
      <x:c r="I4" s="13"/>
      <x:c r="J4" s="13"/>
      <x:c r="K4" s="13"/>
      <x:c r="L4" s="13"/>
      <x:c r="M4" s="13"/>
      <x:c r="N4" s="13"/>
      <x:c r="O4" s="13"/>
      <x:c r="P4" s="13"/>
      <x:c r="Q4" s="13"/>
      <x:c r="R4" s="13"/>
      <x:c r="S4" s="13"/>
      <x:c r="T4" s="13"/>
      <x:c r="U4" s="13"/>
    </x:row>
    <x:row r="5" ht="36.75" customHeight="1">
      <x:c r="A5" s="60" t="str">
        <x:v>STT</x:v>
      </x:c>
      <x:c r="B5" s="60" t="str">
        <x:v>Mã</x:v>
      </x:c>
      <x:c r="C5" s="60" t="str">
        <x:v>Thuật ngữ Việt</x:v>
      </x:c>
      <x:c r="D5" s="60" t="str">
        <x:v>Cấu tạo Việt</x:v>
      </x:c>
      <x:c r="E5" s="60" t="str">
        <x:v>Chứng cứ Việt</x:v>
      </x:c>
      <x:c r="F5" s="60" t="str">
        <x:v>Thuật ngữ Hàn</x:v>
      </x:c>
      <x:c r="G5" s="60" t="str">
        <x:v>Cấu tạo Hàn</x:v>
      </x:c>
      <x:c r="H5" s="60" t="str">
        <x:v>Chứng cứ Hàn</x:v>
      </x:c>
      <x:c r="I5" s="60" t="str">
        <x:v>Chứng cứ cả cặp</x:v>
      </x:c>
      <x:c r="J5" s="60" t="str">
        <x:v>Tra Hán Nôm</x:v>
      </x:c>
      <x:c r="K5" s="60" t="str">
        <x:v>Tách thành tố Việt</x:v>
      </x:c>
      <x:c r="L5" s="60" t="str">
        <x:v>Tách thành tố Hàn</x:v>
      </x:c>
      <x:c r="M5" s="60" t="str">
        <x:v>Cơ sở và ghi chú Việt</x:v>
      </x:c>
      <x:c r="N5" s="60" t="str">
        <x:v>Cơ sở và ghi chú Hàn</x:v>
      </x:c>
      <x:c r="O5" s="60" t="str">
        <x:v>Lõi từ vựng Hàn</x:v>
      </x:c>
      <x:c r="P5" s="60" t="str">
        <x:v>Tên riêng, viết tắt, số</x:v>
      </x:c>
      <x:c r="Q5" s="60" t="str">
        <x:v>Nguồn Việt</x:v>
      </x:c>
      <x:c r="R5" s="60" t="str">
        <x:v>Nguồn Hàn</x:v>
      </x:c>
      <x:c r="S5" s="60" t="str">
        <x:v>Dạng chỉnh để phân tích</x:v>
      </x:c>
      <x:c r="T5" s="60" t="str">
        <x:v>Đối chiếu qua Anh</x:v>
      </x:c>
      <x:c r="U5" s="60" t="str">
        <x:v>Nhóm nội dung</x:v>
      </x:c>
    </x:row>
    <x:row r="6" ht="85.5" customHeight="1">
      <x:c r="A6" s="14" t="n">
        <x:v>1</x:v>
      </x:c>
      <x:c r="B6" s="11" t="str">
        <x:v>T085</x:v>
      </x:c>
      <x:c r="C6" s="11" t="str">
        <x:v>Bí thư Trung ương Đảng</x:v>
      </x:c>
      <x:c r="D6" s="11" t="str">
        <x:v>Hán Việt</x:v>
      </x:c>
      <x:c r="E6" s="11" t="str">
        <x:v>A — Có chứng cứ thành tố</x:v>
      </x:c>
      <x:c r="F6" s="11" t="str">
        <x:v>당 중앙위원회 서기</x:v>
      </x:c>
      <x:c r="G6" s="11" t="str">
        <x:v>Hán Hàn</x:v>
      </x:c>
      <x:c r="H6" s="11" t="str">
        <x:v>A — Có chứng cứ thành tố</x:v>
      </x:c>
      <x:c r="I6" s="11" t="str">
        <x:f>IF(AND(LEFT(E6,1)="A",LEFT(H6,1)="A"),"A/A — Có chứng cứ hai phía",IF(OR(LEFT(E6,1)="C",LEFT(H6,1)="C"),"C — Còn điểm chưa chốt",IF(AND(OR(LEFT(E6,1)="A",LEFT(E6,1)="B"),OR(LEFT(H6,1)="A",LEFT(H6,1)="B")),"B — Cần bổ sung chứng cứ","Kiểm tra mức chứng cứ")))</x:f>
        <x:v>A/A — Có chứng cứ hai phía</x:v>
      </x:c>
      <x:c r="J6" s="11" t="str">
        <x:v>Có chứng cứ cho thành tố</x:v>
      </x:c>
      <x:c r="K6" s="11" t="str">
        <x:v>Bí thư [HV 祕書]
Trung ương [HV 中央]
Đảng [HV 黨]</x:v>
      </x:c>
      <x:c r="L6" s="11" t="str">
        <x:v>당 [HH 黨]
중앙위원회 [HH 中央委員會]
서기 [HH 書記]</x:v>
      </x:c>
      <x:c r="M6" s="11" t="str">
        <x:v>Có nguồn âm/chữ hoặc nguồn từ nguyên cho các thành tố dùng để quyết định nhãn; việc ghép thành thuật ngữ là phân tích của nghiên cứu.</x:v>
      </x:c>
      <x:c r="N6" s="11" t="str">
        <x:v>Đã tìm thấy nguồn mục từ/thành tố ghi nguyên dạng hoặc lớp từ cho toàn bộ thành tố quyết định kết luận.</x:v>
      </x:c>
      <x:c r="O6" s="11" t="str">
        <x:v>Hán Hàn</x:v>
      </x:c>
      <x:c r="P6" s="11" t="str"/>
      <x:c r="Q6" s="37" t="str">
        <x:v>ET001 (dòng 876)
ET002 (dòng 877)
ET003 (dòng 878)</x:v>
      </x:c>
      <x:c r="R6" s="37" t="str">
        <x:v>ET238 (dòng 1113)
ET239 (dòng 1114)
ET240 (dòng 1115)</x:v>
      </x:c>
      <x:c r="S6" s="11" t="str"/>
      <x:c r="T6" s="11" t="str">
        <x:v>Xác nhận — cùng biểu thức Anh</x:v>
      </x:c>
      <x:c r="U6" s="11" t="str">
        <x:v>N1 — Cá nhân</x:v>
      </x:c>
    </x:row>
    <x:row r="7" ht="85.5" customHeight="1">
      <x:c r="A7" s="14" t="n">
        <x:v>2</x:v>
      </x:c>
      <x:c r="B7" s="11" t="str">
        <x:v>T078</x:v>
      </x:c>
      <x:c r="C7" s="11" t="str">
        <x:v>Bộ trưởng</x:v>
      </x:c>
      <x:c r="D7" s="11" t="str">
        <x:v>Hán Việt</x:v>
      </x:c>
      <x:c r="E7" s="11" t="str">
        <x:v>A — Có chứng cứ thành tố</x:v>
      </x:c>
      <x:c r="F7" s="11" t="str">
        <x:v>장관</x:v>
      </x:c>
      <x:c r="G7" s="11" t="str">
        <x:v>Hán Hàn</x:v>
      </x:c>
      <x:c r="H7" s="11" t="str">
        <x:v>A — Có chứng cứ thành tố</x:v>
      </x:c>
      <x:c r="I7" s="11" t="str">
        <x:f>IF(AND(LEFT(E7,1)="A",LEFT(H7,1)="A"),"A/A — Có chứng cứ hai phía",IF(OR(LEFT(E7,1)="C",LEFT(H7,1)="C"),"C — Còn điểm chưa chốt",IF(AND(OR(LEFT(E7,1)="A",LEFT(E7,1)="B"),OR(LEFT(H7,1)="A",LEFT(H7,1)="B")),"B — Cần bổ sung chứng cứ","Kiểm tra mức chứng cứ")))</x:f>
        <x:v>A/A — Có chứng cứ hai phía</x:v>
      </x:c>
      <x:c r="J7" s="11" t="str">
        <x:v>Có mục từ cả dạng biểu thức</x:v>
      </x:c>
      <x:c r="K7" s="11" t="str">
        <x:v>Bộ trưởng [HV 部長]</x:v>
      </x:c>
      <x:c r="L7" s="11" t="str">
        <x:v>장관 [HH 長官]</x:v>
      </x:c>
      <x:c r="M7" s="11" t="str">
        <x:v>Có nguồn âm/chữ hoặc nguồn từ nguyên cho các thành tố dùng để quyết định nhãn; việc ghép thành thuật ngữ là phân tích của nghiên cứu.</x:v>
      </x:c>
      <x:c r="N7" s="11" t="str">
        <x:v>Đã tìm thấy nguồn mục từ/thành tố ghi nguyên dạng hoặc lớp từ cho toàn bộ thành tố quyết định kết luận.</x:v>
      </x:c>
      <x:c r="O7" s="11" t="str">
        <x:v>Hán Hàn</x:v>
      </x:c>
      <x:c r="P7" s="11" t="str"/>
      <x:c r="Q7" s="37" t="str">
        <x:v>ET004 (dòng 879)</x:v>
      </x:c>
      <x:c r="R7" s="37" t="str">
        <x:v>ET241 (dòng 1116)
ET242 (dòng 1117)</x:v>
      </x:c>
      <x:c r="S7" s="11" t="str"/>
      <x:c r="T7" s="11" t="str">
        <x:v>Xác nhận — cùng biểu thức Anh</x:v>
      </x:c>
      <x:c r="U7" s="11" t="str">
        <x:v>N1 — Cá nhân</x:v>
      </x:c>
    </x:row>
    <x:row r="8" ht="100.5" customHeight="1">
      <x:c r="A8" s="14" t="n">
        <x:v>3</x:v>
      </x:c>
      <x:c r="B8" s="11" t="str">
        <x:v>T103</x:v>
      </x:c>
      <x:c r="C8" s="11" t="str">
        <x:v>Bộ trưởng Bộ Công an</x:v>
      </x:c>
      <x:c r="D8" s="11" t="str">
        <x:v>Hán Việt</x:v>
      </x:c>
      <x:c r="E8" s="11" t="str">
        <x:v>A — Có chứng cứ thành tố</x:v>
      </x:c>
      <x:c r="F8" s="11" t="str">
        <x:v>공안부 장관</x:v>
      </x:c>
      <x:c r="G8" s="11" t="str">
        <x:v>Hán Hàn</x:v>
      </x:c>
      <x:c r="H8" s="11" t="str">
        <x:v>B — Phân tích tạm</x:v>
      </x:c>
      <x:c r="I8" s="11" t="str">
        <x:f>IF(AND(LEFT(E8,1)="A",LEFT(H8,1)="A"),"A/A — Có chứng cứ hai phía",IF(OR(LEFT(E8,1)="C",LEFT(H8,1)="C"),"C — Còn điểm chưa chốt",IF(AND(OR(LEFT(E8,1)="A",LEFT(E8,1)="B"),OR(LEFT(H8,1)="A",LEFT(H8,1)="B")),"B — Cần bổ sung chứng cứ","Kiểm tra mức chứng cứ")))</x:f>
        <x:v>B — Cần bổ sung chứng cứ</x:v>
      </x:c>
      <x:c r="J8" s="11" t="str">
        <x:v>Có chứng cứ cho thành tố</x:v>
      </x:c>
      <x:c r="K8" s="11" t="str">
        <x:v>Bộ trưởng [HV 部長]
Bộ [HV 部]
Công an [HV 公安]</x:v>
      </x:c>
      <x:c r="L8" s="11" t="str">
        <x:v>공안부 [HH 公安部 *]
장관 [HH 長官]</x:v>
      </x:c>
      <x:c r="M8" s="11" t="str">
        <x:v>Có nguồn âm/chữ hoặc nguồn từ nguyên cho các thành tố dùng để quyết định nhãn; việc ghép thành thuật ngữ là phân tích của nghiên cứu.</x:v>
      </x:c>
      <x:c r="N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 s="11" t="str">
        <x:v>Hán Hàn</x:v>
      </x:c>
      <x:c r="P8" s="11" t="str"/>
      <x:c r="Q8" s="37" t="str">
        <x:v>ET004 (dòng 879)
ET005 (dòng 880)
ET006 (dòng 881)</x:v>
      </x:c>
      <x:c r="R8" s="37" t="str">
        <x:v>ET243 (dòng 1118)
ET241 (dòng 1116)
ET242 (dòng 1117)</x:v>
      </x:c>
      <x:c r="S8" s="11" t="str"/>
      <x:c r="T8" s="11" t="str">
        <x:v>Xác nhận — cùng biểu thức Anh</x:v>
      </x:c>
      <x:c r="U8" s="11" t="str">
        <x:v>N1 — Cá nhân</x:v>
      </x:c>
    </x:row>
    <x:row r="9" ht="85.5" customHeight="1">
      <x:c r="A9" s="14" t="n">
        <x:v>4</x:v>
      </x:c>
      <x:c r="B9" s="11" t="str">
        <x:v>T100</x:v>
      </x:c>
      <x:c r="C9" s="11" t="str">
        <x:v>Bộ trưởng Bộ Ngoại giao</x:v>
      </x:c>
      <x:c r="D9" s="11" t="str">
        <x:v>Hán Việt</x:v>
      </x:c>
      <x:c r="E9" s="11" t="str">
        <x:v>A — Có chứng cứ thành tố</x:v>
      </x:c>
      <x:c r="F9" s="11" t="str">
        <x:v>외교부 장관</x:v>
      </x:c>
      <x:c r="G9" s="11" t="str">
        <x:v>Hán Hàn</x:v>
      </x:c>
      <x:c r="H9" s="11" t="str">
        <x:v>A — Có chứng cứ thành tố</x:v>
      </x:c>
      <x:c r="I9" s="11" t="str">
        <x:f>IF(AND(LEFT(E9,1)="A",LEFT(H9,1)="A"),"A/A — Có chứng cứ hai phía",IF(OR(LEFT(E9,1)="C",LEFT(H9,1)="C"),"C — Còn điểm chưa chốt",IF(AND(OR(LEFT(E9,1)="A",LEFT(E9,1)="B"),OR(LEFT(H9,1)="A",LEFT(H9,1)="B")),"B — Cần bổ sung chứng cứ","Kiểm tra mức chứng cứ")))</x:f>
        <x:v>A/A — Có chứng cứ hai phía</x:v>
      </x:c>
      <x:c r="J9" s="11" t="str">
        <x:v>Có chứng cứ cho thành tố</x:v>
      </x:c>
      <x:c r="K9" s="11" t="str">
        <x:v>Bộ trưởng [HV 部長]
Bộ [HV 部]
Ngoại giao [HV 外交]</x:v>
      </x:c>
      <x:c r="L9" s="11" t="str">
        <x:v>외교부 [HH 外交部]
장관 [HH 長官]</x:v>
      </x:c>
      <x:c r="M9" s="11" t="str">
        <x:v>Có nguồn âm/chữ hoặc nguồn từ nguyên cho các thành tố dùng để quyết định nhãn; việc ghép thành thuật ngữ là phân tích của nghiên cứu.</x:v>
      </x:c>
      <x:c r="N9" s="11" t="str">
        <x:v>Đã tìm thấy nguồn mục từ/thành tố ghi nguyên dạng hoặc lớp từ cho toàn bộ thành tố quyết định kết luận.</x:v>
      </x:c>
      <x:c r="O9" s="11" t="str">
        <x:v>Hán Hàn</x:v>
      </x:c>
      <x:c r="P9" s="11" t="str"/>
      <x:c r="Q9" s="37" t="str">
        <x:v>ET004 (dòng 879)
ET005 (dòng 880)
ET007 (dòng 882)</x:v>
      </x:c>
      <x:c r="R9" s="37" t="str">
        <x:v>ET244 (dòng 1119)
ET241 (dòng 1116)
ET242 (dòng 1117)</x:v>
      </x:c>
      <x:c r="S9" s="11" t="str"/>
      <x:c r="T9" s="11" t="str">
        <x:v>Xác nhận — cùng biểu thức Anh</x:v>
      </x:c>
      <x:c r="U9" s="11" t="str">
        <x:v>N1 — Cá nhân</x:v>
      </x:c>
    </x:row>
    <x:row r="10" ht="100.5" customHeight="1">
      <x:c r="A10" s="14" t="n">
        <x:v>5</x:v>
      </x:c>
      <x:c r="B10" s="11" t="str">
        <x:v>T101</x:v>
      </x:c>
      <x:c r="C10" s="11" t="str">
        <x:v>Bộ trưởng Bộ Quốc phòng</x:v>
      </x:c>
      <x:c r="D10" s="11" t="str">
        <x:v>Hán Việt</x:v>
      </x:c>
      <x:c r="E10" s="11" t="str">
        <x:v>A — Có chứng cứ thành tố</x:v>
      </x:c>
      <x:c r="F10" s="11" t="str">
        <x:v>국방부 장관</x:v>
      </x:c>
      <x:c r="G10" s="11" t="str">
        <x:v>Hán Hàn</x:v>
      </x:c>
      <x:c r="H10" s="11" t="str">
        <x:v>B — Phân tích tạm</x:v>
      </x:c>
      <x:c r="I10" s="11" t="str">
        <x:f>IF(AND(LEFT(E10,1)="A",LEFT(H10,1)="A"),"A/A — Có chứng cứ hai phía",IF(OR(LEFT(E10,1)="C",LEFT(H10,1)="C"),"C — Còn điểm chưa chốt",IF(AND(OR(LEFT(E10,1)="A",LEFT(E10,1)="B"),OR(LEFT(H10,1)="A",LEFT(H10,1)="B")),"B — Cần bổ sung chứng cứ","Kiểm tra mức chứng cứ")))</x:f>
        <x:v>B — Cần bổ sung chứng cứ</x:v>
      </x:c>
      <x:c r="J10" s="11" t="str">
        <x:v>Có chứng cứ cho thành tố</x:v>
      </x:c>
      <x:c r="K10" s="11" t="str">
        <x:v>Bộ trưởng [HV 部長]
Bộ [HV 部]
Quốc phòng [HV 國防]</x:v>
      </x:c>
      <x:c r="L10" s="11" t="str">
        <x:v>국방부 [HH 國防部 *]
장관 [HH 長官]</x:v>
      </x:c>
      <x:c r="M10" s="11" t="str">
        <x:v>Có nguồn âm/chữ hoặc nguồn từ nguyên cho các thành tố dùng để quyết định nhãn; việc ghép thành thuật ngữ là phân tích của nghiên cứu.</x:v>
      </x:c>
      <x:c r="N1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0" s="11" t="str">
        <x:v>Hán Hàn</x:v>
      </x:c>
      <x:c r="P10" s="11" t="str"/>
      <x:c r="Q10" s="37" t="str">
        <x:v>ET004 (dòng 879)
ET005 (dòng 880)
ET008 (dòng 883)</x:v>
      </x:c>
      <x:c r="R10" s="37" t="str">
        <x:v>ET245 (dòng 1120)
ET243 (dòng 1118)
ET241 (dòng 1116)
ET242 (dòng 1117)</x:v>
      </x:c>
      <x:c r="S10" s="11" t="str"/>
      <x:c r="T10" s="11" t="str">
        <x:v>Xác nhận — cùng biểu thức Anh</x:v>
      </x:c>
      <x:c r="U10" s="11" t="str">
        <x:v>N1 — Cá nhân</x:v>
      </x:c>
    </x:row>
    <x:row r="11" ht="100.5" customHeight="1">
      <x:c r="A11" s="14" t="n">
        <x:v>6</x:v>
      </x:c>
      <x:c r="B11" s="11" t="str">
        <x:v>T076</x:v>
      </x:c>
      <x:c r="C11" s="11" t="str">
        <x:v>Chủ tịch nước</x:v>
      </x:c>
      <x:c r="D11" s="11" t="str">
        <x:v>Hán Việt + thuần Việt</x:v>
      </x:c>
      <x:c r="E11" s="11" t="str">
        <x:v>B — Phân tích tạm</x:v>
      </x:c>
      <x:c r="F11" s="11" t="str">
        <x:v>국가주석</x:v>
      </x:c>
      <x:c r="G11" s="11" t="str">
        <x:v>Hán Hàn</x:v>
      </x:c>
      <x:c r="H11" s="11" t="str">
        <x:v>B — Phân tích tạm</x:v>
      </x:c>
      <x:c r="I11" s="11" t="str">
        <x:f>IF(AND(LEFT(E11,1)="A",LEFT(H11,1)="A"),"A/A — Có chứng cứ hai phía",IF(OR(LEFT(E11,1)="C",LEFT(H11,1)="C"),"C — Còn điểm chưa chốt",IF(AND(OR(LEFT(E11,1)="A",LEFT(E11,1)="B"),OR(LEFT(H11,1)="A",LEFT(H11,1)="B")),"B — Cần bổ sung chứng cứ","Kiểm tra mức chứng cứ")))</x:f>
        <x:v>B — Cần bổ sung chứng cứ</x:v>
      </x:c>
      <x:c r="J11" s="11" t="str">
        <x:v>Có chứng cứ cho thành tố</x:v>
      </x:c>
      <x:c r="K11" s="11" t="str">
        <x:v>Chủ tịch [HV 主席]
nước [TV]</x:v>
      </x:c>
      <x:c r="L11" s="11" t="str">
        <x:v>국가주석 [HH 國家主席 *]</x:v>
      </x:c>
      <x:c r="M11" s="11" t="str">
        <x:v>Phân tích cấu tạo theo thành tố; còn phần chưa có chứng cứ từ nguyên trực tiếp, xem cột ghi chú.</x:v>
      </x:c>
      <x:c r="N1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1" s="11" t="str">
        <x:v>Hán Hàn</x:v>
      </x:c>
      <x:c r="P11" s="11" t="str"/>
      <x:c r="Q11" s="37" t="str">
        <x:v>ET009 (dòng 884)
ET010 (dòng 885)</x:v>
      </x:c>
      <x:c r="R11" s="37" t="str">
        <x:v>ET246 (dòng 1121)
ET247 (dòng 1122)</x:v>
      </x:c>
      <x:c r="S11" s="11" t="str"/>
      <x:c r="T11" s="11" t="str">
        <x:v>Ứng viên — còn thiếu chứng cứ</x:v>
      </x:c>
      <x:c r="U11" s="11" t="str">
        <x:v>N1 — Cá nhân</x:v>
      </x:c>
    </x:row>
    <x:row r="12" ht="100.5" customHeight="1">
      <x:c r="A12" s="14" t="n">
        <x:v>7</x:v>
      </x:c>
      <x:c r="B12" s="11" t="str">
        <x:v>T077</x:v>
      </x:c>
      <x:c r="C12" s="11" t="str">
        <x:v>Chủ tịch Quốc hội</x:v>
      </x:c>
      <x:c r="D12" s="11" t="str">
        <x:v>Hán Việt</x:v>
      </x:c>
      <x:c r="E12" s="11" t="str">
        <x:v>A — Có chứng cứ thành tố</x:v>
      </x:c>
      <x:c r="F12" s="11" t="str">
        <x:v>국회의장</x:v>
      </x:c>
      <x:c r="G12" s="11" t="str">
        <x:v>Hán Hàn</x:v>
      </x:c>
      <x:c r="H12" s="11" t="str">
        <x:v>B — Phân tích tạm</x:v>
      </x:c>
      <x:c r="I12" s="11" t="str">
        <x:f>IF(AND(LEFT(E12,1)="A",LEFT(H12,1)="A"),"A/A — Có chứng cứ hai phía",IF(OR(LEFT(E12,1)="C",LEFT(H12,1)="C"),"C — Còn điểm chưa chốt",IF(AND(OR(LEFT(E12,1)="A",LEFT(E12,1)="B"),OR(LEFT(H12,1)="A",LEFT(H12,1)="B")),"B — Cần bổ sung chứng cứ","Kiểm tra mức chứng cứ")))</x:f>
        <x:v>B — Cần bổ sung chứng cứ</x:v>
      </x:c>
      <x:c r="J12" s="11" t="str">
        <x:v>Có chứng cứ cho thành tố</x:v>
      </x:c>
      <x:c r="K12" s="11" t="str">
        <x:v>Chủ tịch [HV 主席]
Quốc hội [HV 國會]</x:v>
      </x:c>
      <x:c r="L12" s="11" t="str">
        <x:v>국회의장 [HH 國會議長 *]</x:v>
      </x:c>
      <x:c r="M12" s="11" t="str">
        <x:v>Có nguồn âm/chữ hoặc nguồn từ nguyên cho các thành tố dùng để quyết định nhãn; việc ghép thành thuật ngữ là phân tích của nghiên cứu.</x:v>
      </x:c>
      <x:c r="N1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2" s="11" t="str">
        <x:v>Hán Hàn</x:v>
      </x:c>
      <x:c r="P12" s="11" t="str"/>
      <x:c r="Q12" s="37" t="str">
        <x:v>ET009 (dòng 884)
ET011 (dòng 886)</x:v>
      </x:c>
      <x:c r="R12" s="37" t="str">
        <x:v>ET248 (dòng 1123)
ET242 (dòng 1117)</x:v>
      </x:c>
      <x:c r="S12" s="11" t="str"/>
      <x:c r="T12" s="11" t="str">
        <x:v>Chưa đủ căn cứ đối chiếu</x:v>
      </x:c>
      <x:c r="U12" s="11" t="str">
        <x:v>N1 — Cá nhân</x:v>
      </x:c>
    </x:row>
    <x:row r="13" ht="100.5" customHeight="1">
      <x:c r="A13" s="14" t="n">
        <x:v>8</x:v>
      </x:c>
      <x:c r="B13" s="11" t="str">
        <x:v>T089</x:v>
      </x:c>
      <x:c r="C13" s="11" t="str">
        <x:v>Chủ tịch Ủy ban nhân dân</x:v>
      </x:c>
      <x:c r="D13" s="11" t="str">
        <x:v>Hán Việt</x:v>
      </x:c>
      <x:c r="E13" s="11" t="str">
        <x:v>A — Có chứng cứ thành tố</x:v>
      </x:c>
      <x:c r="F13" s="11" t="str">
        <x:v>인민위원장</x:v>
      </x:c>
      <x:c r="G13" s="11" t="str">
        <x:v>Hán Hàn</x:v>
      </x:c>
      <x:c r="H13" s="11" t="str">
        <x:v>B — Phân tích tạm</x:v>
      </x:c>
      <x:c r="I13" s="11" t="str">
        <x:f>IF(AND(LEFT(E13,1)="A",LEFT(H13,1)="A"),"A/A — Có chứng cứ hai phía",IF(OR(LEFT(E13,1)="C",LEFT(H13,1)="C"),"C — Còn điểm chưa chốt",IF(AND(OR(LEFT(E13,1)="A",LEFT(E13,1)="B"),OR(LEFT(H13,1)="A",LEFT(H13,1)="B")),"B — Cần bổ sung chứng cứ","Kiểm tra mức chứng cứ")))</x:f>
        <x:v>B — Cần bổ sung chứng cứ</x:v>
      </x:c>
      <x:c r="J13" s="11" t="str">
        <x:v>Có chứng cứ cho thành tố</x:v>
      </x:c>
      <x:c r="K13" s="11" t="str">
        <x:v>Chủ tịch [HV 主席]
Ủy [HV 委]
ban [HV 班]
nhân dân [HV 人民]</x:v>
      </x:c>
      <x:c r="L13" s="11" t="str">
        <x:v>인민위원장 [HH 人民委員長 *]</x:v>
      </x:c>
      <x:c r="M13" s="11" t="str">
        <x:v>Có nguồn âm/chữ hoặc nguồn từ nguyên cho các thành tố dùng để quyết định nhãn; việc ghép thành thuật ngữ là phân tích của nghiên cứu.</x:v>
      </x:c>
      <x:c r="N1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3" s="11" t="str">
        <x:v>Hán Hàn</x:v>
      </x:c>
      <x:c r="P13" s="11" t="str"/>
      <x:c r="Q13" s="37" t="str">
        <x:v>ET009 (dòng 884)
ET012 (dòng 887)
ET013 (dòng 888)
ET014 (dòng 889)</x:v>
      </x:c>
      <x:c r="R13" s="37" t="str">
        <x:v>ET242 (dòng 1117)
ET249 (dòng 1124)</x:v>
      </x:c>
      <x:c r="S13" s="11" t="str"/>
      <x:c r="T13" s="11" t="str">
        <x:v>Ứng viên — còn thiếu chứng cứ</x:v>
      </x:c>
      <x:c r="U13" s="11" t="str">
        <x:v>N1 — Cá nhân</x:v>
      </x:c>
    </x:row>
    <x:row r="14" ht="100.5" customHeight="1">
      <x:c r="A14" s="14" t="n">
        <x:v>9</x:v>
      </x:c>
      <x:c r="B14" s="11" t="str">
        <x:v>T003</x:v>
      </x:c>
      <x:c r="C14" s="11" t="str">
        <x:v>cử tri</x:v>
      </x:c>
      <x:c r="D14" s="11" t="str">
        <x:v>Hán Việt</x:v>
      </x:c>
      <x:c r="E14" s="11" t="str">
        <x:v>B — Phân tích tạm</x:v>
      </x:c>
      <x:c r="F14" s="11" t="str">
        <x:v>유권자</x:v>
      </x:c>
      <x:c r="G14" s="11" t="str">
        <x:v>Hán Hàn</x:v>
      </x:c>
      <x:c r="H14" s="11" t="str">
        <x:v>B — Phân tích tạm</x:v>
      </x:c>
      <x:c r="I14" s="11" t="str">
        <x:f>IF(AND(LEFT(E14,1)="A",LEFT(H14,1)="A"),"A/A — Có chứng cứ hai phía",IF(OR(LEFT(E14,1)="C",LEFT(H14,1)="C"),"C — Còn điểm chưa chốt",IF(AND(OR(LEFT(E14,1)="A",LEFT(E14,1)="B"),OR(LEFT(H14,1)="A",LEFT(H14,1)="B")),"B — Cần bổ sung chứng cứ","Kiểm tra mức chứng cứ")))</x:f>
        <x:v>B — Cần bổ sung chứng cứ</x:v>
      </x:c>
      <x:c r="J14" s="11" t="str">
        <x:v>Chưa có chứng cứ HVDic trong lượt này</x:v>
      </x:c>
      <x:c r="K14" s="11" t="str">
        <x:v>cử tri [HV 舉知 *]</x:v>
      </x:c>
      <x:c r="L14" s="11" t="str">
        <x:v>유권자 [HH 有權者 *]</x:v>
      </x:c>
      <x:c r="M14" s="11" t="str">
        <x:v>Phân tích cấu tạo theo thành tố; còn phần chưa có chứng cứ từ nguyên trực tiếp, xem cột ghi chú.
cử tri là tổ hợp được dùng trong tiếng Việt. Chữ 舉知 mới là phân tích đề xuất; không coi bản dịch tiếng Hán 選民 là mặt chữ gốc của từ Việt.</x:v>
      </x:c>
      <x:c r="N1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4" s="11" t="str">
        <x:v>Hán Hàn</x:v>
      </x:c>
      <x:c r="P14" s="11" t="str"/>
      <x:c r="Q14" s="37" t="str">
        <x:v>Chưa có nguồn từ nguyên cụ thể trong lượt này</x:v>
      </x:c>
      <x:c r="R14" s="37" t="str">
        <x:v>Chưa có nguồn từ nguyên cụ thể trong lượt này</x:v>
      </x:c>
      <x:c r="S14" s="11" t="str"/>
      <x:c r="T14" s="11" t="str">
        <x:v>Xác nhận — cùng biểu thức Anh</x:v>
      </x:c>
      <x:c r="U14" s="11" t="str">
        <x:v>N1 — Cá nhân</x:v>
      </x:c>
    </x:row>
    <x:row r="15" ht="100.5" customHeight="1">
      <x:c r="A15" s="14" t="n">
        <x:v>10</x:v>
      </x:c>
      <x:c r="B15" s="11" t="str">
        <x:v>T090</x:v>
      </x:c>
      <x:c r="C15" s="11" t="str">
        <x:v>đại biểu Hội đồng nhân dân</x:v>
      </x:c>
      <x:c r="D15" s="11" t="str">
        <x:v>Hán Việt</x:v>
      </x:c>
      <x:c r="E15" s="11" t="str">
        <x:v>A — Có chứng cứ thành tố</x:v>
      </x:c>
      <x:c r="F15" s="11" t="str">
        <x:v>인민의회 의원</x:v>
      </x:c>
      <x:c r="G15" s="11" t="str">
        <x:v>Hán Hàn</x:v>
      </x:c>
      <x:c r="H15" s="11" t="str">
        <x:v>B — Phân tích tạm</x:v>
      </x:c>
      <x:c r="I15" s="11" t="str">
        <x:f>IF(AND(LEFT(E15,1)="A",LEFT(H15,1)="A"),"A/A — Có chứng cứ hai phía",IF(OR(LEFT(E15,1)="C",LEFT(H15,1)="C"),"C — Còn điểm chưa chốt",IF(AND(OR(LEFT(E15,1)="A",LEFT(E15,1)="B"),OR(LEFT(H15,1)="A",LEFT(H15,1)="B")),"B — Cần bổ sung chứng cứ","Kiểm tra mức chứng cứ")))</x:f>
        <x:v>B — Cần bổ sung chứng cứ</x:v>
      </x:c>
      <x:c r="J15" s="11" t="str">
        <x:v>Có chứng cứ cho thành tố</x:v>
      </x:c>
      <x:c r="K15" s="11" t="str">
        <x:v>đại biểu [HV 代表]
Hội đồng [HV 會同]
nhân dân [HV 人民]</x:v>
      </x:c>
      <x:c r="L15" s="11" t="str">
        <x:v>인민의회 [HH 人民議會 *]
의원 [HH 議員 *]</x:v>
      </x:c>
      <x:c r="M15" s="11" t="str">
        <x:v>Có nguồn âm/chữ hoặc nguồn từ nguyên cho các thành tố dùng để quyết định nhãn; việc ghép thành thuật ngữ là phân tích của nghiên cứu.</x:v>
      </x:c>
      <x:c r="N1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5" s="11" t="str">
        <x:v>Hán Hàn</x:v>
      </x:c>
      <x:c r="P15" s="11" t="str"/>
      <x:c r="Q15" s="37" t="str">
        <x:v>ET015 (dòng 890)
ET016 (dòng 891)
ET014 (dòng 889)</x:v>
      </x:c>
      <x:c r="R15" s="37" t="str">
        <x:v>ET250 (dòng 1125)
ET249 (dòng 1124)</x:v>
      </x:c>
      <x:c r="S15" s="11" t="str"/>
      <x:c r="T15" s="11" t="str">
        <x:v>Chưa đủ căn cứ đối chiếu</x:v>
      </x:c>
      <x:c r="U15" s="11" t="str">
        <x:v>N1 — Cá nhân</x:v>
      </x:c>
    </x:row>
    <x:row r="16" ht="100.5" customHeight="1">
      <x:c r="A16" s="14" t="n">
        <x:v>11</x:v>
      </x:c>
      <x:c r="B16" s="11" t="str">
        <x:v>T081</x:v>
      </x:c>
      <x:c r="C16" s="11" t="str">
        <x:v>đại biểu Quốc hội</x:v>
      </x:c>
      <x:c r="D16" s="11" t="str">
        <x:v>Hán Việt</x:v>
      </x:c>
      <x:c r="E16" s="11" t="str">
        <x:v>A — Có chứng cứ thành tố</x:v>
      </x:c>
      <x:c r="F16" s="11" t="str">
        <x:v>국회의원</x:v>
      </x:c>
      <x:c r="G16" s="11" t="str">
        <x:v>Hán Hàn</x:v>
      </x:c>
      <x:c r="H16" s="11" t="str">
        <x:v>B — Phân tích tạm</x:v>
      </x:c>
      <x:c r="I16" s="11" t="str">
        <x:f>IF(AND(LEFT(E16,1)="A",LEFT(H16,1)="A"),"A/A — Có chứng cứ hai phía",IF(OR(LEFT(E16,1)="C",LEFT(H16,1)="C"),"C — Còn điểm chưa chốt",IF(AND(OR(LEFT(E16,1)="A",LEFT(E16,1)="B"),OR(LEFT(H16,1)="A",LEFT(H16,1)="B")),"B — Cần bổ sung chứng cứ","Kiểm tra mức chứng cứ")))</x:f>
        <x:v>B — Cần bổ sung chứng cứ</x:v>
      </x:c>
      <x:c r="J16" s="11" t="str">
        <x:v>Có chứng cứ cho thành tố</x:v>
      </x:c>
      <x:c r="K16" s="11" t="str">
        <x:v>đại biểu [HV 代表]
Quốc hội [HV 國會]</x:v>
      </x:c>
      <x:c r="L16" s="11" t="str">
        <x:v>국회의원 [HH 國會議員 *]</x:v>
      </x:c>
      <x:c r="M16" s="11" t="str">
        <x:v>Có nguồn âm/chữ hoặc nguồn từ nguyên cho các thành tố dùng để quyết định nhãn; việc ghép thành thuật ngữ là phân tích của nghiên cứu.</x:v>
      </x:c>
      <x:c r="N1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 s="11" t="str">
        <x:v>Hán Hàn</x:v>
      </x:c>
      <x:c r="P16" s="11" t="str"/>
      <x:c r="Q16" s="37" t="str">
        <x:v>ET015 (dòng 890)
ET011 (dòng 886)</x:v>
      </x:c>
      <x:c r="R16" s="37" t="str">
        <x:v>ET248 (dòng 1123)</x:v>
      </x:c>
      <x:c r="S16" s="11" t="str"/>
      <x:c r="T16" s="11" t="str">
        <x:v>Chưa đủ căn cứ đối chiếu</x:v>
      </x:c>
      <x:c r="U16" s="11" t="str">
        <x:v>N1 — Cá nhân</x:v>
      </x:c>
    </x:row>
    <x:row r="17" ht="85.5" customHeight="1">
      <x:c r="A17" s="14" t="n">
        <x:v>12</x:v>
      </x:c>
      <x:c r="B17" s="11" t="str">
        <x:v>T079</x:v>
      </x:c>
      <x:c r="C17" s="11" t="str">
        <x:v>Đại sứ</x:v>
      </x:c>
      <x:c r="D17" s="11" t="str">
        <x:v>Hán Việt</x:v>
      </x:c>
      <x:c r="E17" s="11" t="str">
        <x:v>A — Có chứng cứ thành tố</x:v>
      </x:c>
      <x:c r="F17" s="11" t="str">
        <x:v>대사</x:v>
      </x:c>
      <x:c r="G17" s="11" t="str">
        <x:v>Hán Hàn</x:v>
      </x:c>
      <x:c r="H17" s="11" t="str">
        <x:v>A — Có chứng cứ thành tố</x:v>
      </x:c>
      <x:c r="I17" s="11" t="str">
        <x:f>IF(AND(LEFT(E17,1)="A",LEFT(H17,1)="A"),"A/A — Có chứng cứ hai phía",IF(OR(LEFT(E17,1)="C",LEFT(H17,1)="C"),"C — Còn điểm chưa chốt",IF(AND(OR(LEFT(E17,1)="A",LEFT(E17,1)="B"),OR(LEFT(H17,1)="A",LEFT(H17,1)="B")),"B — Cần bổ sung chứng cứ","Kiểm tra mức chứng cứ")))</x:f>
        <x:v>A/A — Có chứng cứ hai phía</x:v>
      </x:c>
      <x:c r="J17" s="11" t="str">
        <x:v>Có mục từ cả dạng biểu thức</x:v>
      </x:c>
      <x:c r="K17" s="11" t="str">
        <x:v>Đại sứ [HV 大使]</x:v>
      </x:c>
      <x:c r="L17" s="11" t="str">
        <x:v>대사 [HH 大使]</x:v>
      </x:c>
      <x:c r="M17" s="11" t="str">
        <x:v>Có nguồn âm/chữ hoặc nguồn từ nguyên cho các thành tố dùng để quyết định nhãn; việc ghép thành thuật ngữ là phân tích của nghiên cứu.</x:v>
      </x:c>
      <x:c r="N17" s="11" t="str">
        <x:v>Đã tìm thấy nguồn mục từ/thành tố ghi nguyên dạng hoặc lớp từ cho toàn bộ thành tố quyết định kết luận.</x:v>
      </x:c>
      <x:c r="O17" s="11" t="str">
        <x:v>Hán Hàn</x:v>
      </x:c>
      <x:c r="P17" s="11" t="str"/>
      <x:c r="Q17" s="37" t="str">
        <x:v>ET017 (dòng 892)</x:v>
      </x:c>
      <x:c r="R17" s="37" t="str">
        <x:v>ET251 (dòng 1126)</x:v>
      </x:c>
      <x:c r="S17" s="11" t="str"/>
      <x:c r="T17" s="11" t="str">
        <x:v>Xác nhận — cùng biểu thức Anh</x:v>
      </x:c>
      <x:c r="U17" s="11" t="str">
        <x:v>N1 — Cá nhân</x:v>
      </x:c>
    </x:row>
    <x:row r="18" ht="100.5" customHeight="1">
      <x:c r="A18" s="14" t="n">
        <x:v>13</x:v>
      </x:c>
      <x:c r="B18" s="11" t="str">
        <x:v>T002</x:v>
      </x:c>
      <x:c r="C18" s="11" t="str">
        <x:v>đảng viên</x:v>
      </x:c>
      <x:c r="D18" s="11" t="str">
        <x:v>Hán Việt</x:v>
      </x:c>
      <x:c r="E18" s="11" t="str">
        <x:v>B — Phân tích tạm</x:v>
      </x:c>
      <x:c r="F18" s="11" t="str">
        <x:v>당원</x:v>
      </x:c>
      <x:c r="G18" s="11" t="str">
        <x:v>Hán Hàn</x:v>
      </x:c>
      <x:c r="H18" s="11" t="str">
        <x:v>B — Phân tích tạm</x:v>
      </x:c>
      <x:c r="I18" s="11" t="str">
        <x:f>IF(AND(LEFT(E18,1)="A",LEFT(H18,1)="A"),"A/A — Có chứng cứ hai phía",IF(OR(LEFT(E18,1)="C",LEFT(H18,1)="C"),"C — Còn điểm chưa chốt",IF(AND(OR(LEFT(E18,1)="A",LEFT(E18,1)="B"),OR(LEFT(H18,1)="A",LEFT(H18,1)="B")),"B — Cần bổ sung chứng cứ","Kiểm tra mức chứng cứ")))</x:f>
        <x:v>B — Cần bổ sung chứng cứ</x:v>
      </x:c>
      <x:c r="J18" s="11" t="str">
        <x:v>Chưa có chứng cứ HVDic trong lượt này</x:v>
      </x:c>
      <x:c r="K18" s="11" t="str">
        <x:v>đảng viên [HV 黨員 *]</x:v>
      </x:c>
      <x:c r="L18" s="11" t="str">
        <x:v>당원 [HH 黨員 *]</x:v>
      </x:c>
      <x:c r="M18" s="11" t="str">
        <x:v>Phân tích cấu tạo theo thành tố; còn phần chưa có chứng cứ từ nguyên trực tiếp, xem cột ghi chú.</x:v>
      </x:c>
      <x:c r="N1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 s="11" t="str">
        <x:v>Hán Hàn</x:v>
      </x:c>
      <x:c r="P18" s="11" t="str"/>
      <x:c r="Q18" s="37" t="str">
        <x:v>Chưa có nguồn từ nguyên cụ thể trong lượt này</x:v>
      </x:c>
      <x:c r="R18" s="37" t="str">
        <x:v>ET238 (dòng 1113)
ET239 (dòng 1114)</x:v>
      </x:c>
      <x:c r="S18" s="11" t="str"/>
      <x:c r="T18" s="11" t="str">
        <x:v>Chưa đủ căn cứ đối chiếu</x:v>
      </x:c>
      <x:c r="U18" s="11" t="str">
        <x:v>N1 — Cá nhân</x:v>
      </x:c>
    </x:row>
    <x:row r="19" ht="100.5" customHeight="1">
      <x:c r="A19" s="14" t="n">
        <x:v>14</x:v>
      </x:c>
      <x:c r="B19" s="11" t="str">
        <x:v>M011</x:v>
      </x:c>
      <x:c r="C19" s="11" t="str">
        <x:v>nguyên thủ quốc gia</x:v>
      </x:c>
      <x:c r="D19" s="11" t="str">
        <x:v>Hán Việt</x:v>
      </x:c>
      <x:c r="E19" s="11" t="str">
        <x:v>A — Có chứng cứ thành tố</x:v>
      </x:c>
      <x:c r="F19" s="11" t="str">
        <x:v>국가원수</x:v>
      </x:c>
      <x:c r="G19" s="11" t="str">
        <x:v>Hán Hàn</x:v>
      </x:c>
      <x:c r="H19" s="11" t="str">
        <x:v>B — Phân tích tạm</x:v>
      </x:c>
      <x:c r="I19" s="11" t="str">
        <x:f>IF(AND(LEFT(E19,1)="A",LEFT(H19,1)="A"),"A/A — Có chứng cứ hai phía",IF(OR(LEFT(E19,1)="C",LEFT(H19,1)="C"),"C — Còn điểm chưa chốt",IF(AND(OR(LEFT(E19,1)="A",LEFT(E19,1)="B"),OR(LEFT(H19,1)="A",LEFT(H19,1)="B")),"B — Cần bổ sung chứng cứ","Kiểm tra mức chứng cứ")))</x:f>
        <x:v>B — Cần bổ sung chứng cứ</x:v>
      </x:c>
      <x:c r="J19" s="11" t="str">
        <x:v>Có chứng cứ cho thành tố</x:v>
      </x:c>
      <x:c r="K19" s="11" t="str">
        <x:v>nguyên thủ [HV 元首]
quốc gia [HV 國家]</x:v>
      </x:c>
      <x:c r="L19" s="11" t="str">
        <x:v>국가원수 [HH 國家元首 *]</x:v>
      </x:c>
      <x:c r="M19" s="11" t="str">
        <x:v>Có nguồn âm/chữ hoặc nguồn từ nguyên cho các thành tố dùng để quyết định nhãn; việc ghép thành thuật ngữ là phân tích của nghiên cứu.</x:v>
      </x:c>
      <x:c r="N1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 s="11" t="str">
        <x:v>Hán Hàn</x:v>
      </x:c>
      <x:c r="P19" s="11" t="str"/>
      <x:c r="Q19" s="37" t="str">
        <x:v>ET018 (dòng 893)
ET019 (dòng 894)</x:v>
      </x:c>
      <x:c r="R19" s="37" t="str">
        <x:v>ET246 (dòng 1121)
ET247 (dòng 1122)</x:v>
      </x:c>
      <x:c r="S19" s="11" t="str"/>
      <x:c r="T19" s="11" t="str">
        <x:v>Ứng viên — còn thiếu chứng cứ</x:v>
      </x:c>
      <x:c r="U19" s="11" t="str">
        <x:v>N1 — Cá nhân</x:v>
      </x:c>
    </x:row>
    <x:row r="20" ht="85.5" customHeight="1">
      <x:c r="A20" s="14" t="n">
        <x:v>15</x:v>
      </x:c>
      <x:c r="B20" s="11" t="str">
        <x:v>T093</x:v>
      </x:c>
      <x:c r="C20" s="11" t="str">
        <x:v>người phát ngôn</x:v>
      </x:c>
      <x:c r="D20" s="11" t="str">
        <x:v>Hán Việt + thuần Việt</x:v>
      </x:c>
      <x:c r="E20" s="11" t="str">
        <x:v>A — Có chứng cứ thành tố</x:v>
      </x:c>
      <x:c r="F20" s="11" t="str">
        <x:v>대변인</x:v>
      </x:c>
      <x:c r="G20" s="11" t="str">
        <x:v>Hán Hàn</x:v>
      </x:c>
      <x:c r="H20" s="11" t="str">
        <x:v>A — Có chứng cứ thành tố</x:v>
      </x:c>
      <x:c r="I20" s="11" t="str">
        <x:f>IF(AND(LEFT(E20,1)="A",LEFT(H20,1)="A"),"A/A — Có chứng cứ hai phía",IF(OR(LEFT(E20,1)="C",LEFT(H20,1)="C"),"C — Còn điểm chưa chốt",IF(AND(OR(LEFT(E20,1)="A",LEFT(E20,1)="B"),OR(LEFT(H20,1)="A",LEFT(H20,1)="B")),"B — Cần bổ sung chứng cứ","Kiểm tra mức chứng cứ")))</x:f>
        <x:v>A/A — Có chứng cứ hai phía</x:v>
      </x:c>
      <x:c r="J20" s="11" t="str">
        <x:v>Có chứng cứ cho thành tố</x:v>
      </x:c>
      <x:c r="K20" s="11" t="str">
        <x:v>người [TV]
phát ngôn [HV 發言]</x:v>
      </x:c>
      <x:c r="L20" s="11" t="str">
        <x:v>대변인 [HH 代辯人]</x:v>
      </x:c>
      <x:c r="M20" s="11" t="str">
        <x:v>Có nguồn âm/chữ hoặc nguồn từ nguyên cho các thành tố dùng để quyết định nhãn; việc ghép thành thuật ngữ là phân tích của nghiên cứu.</x:v>
      </x:c>
      <x:c r="N20" s="11" t="str">
        <x:v>Đã tìm thấy nguồn mục từ/thành tố ghi nguyên dạng hoặc lớp từ cho toàn bộ thành tố quyết định kết luận.</x:v>
      </x:c>
      <x:c r="O20" s="11" t="str">
        <x:v>Hán Hàn</x:v>
      </x:c>
      <x:c r="P20" s="11" t="str"/>
      <x:c r="Q20" s="37" t="str">
        <x:v>ET020 (dòng 895)
ET021 (dòng 896)</x:v>
      </x:c>
      <x:c r="R20" s="37" t="str">
        <x:v>ET252 (dòng 1127)</x:v>
      </x:c>
      <x:c r="S20" s="11" t="str"/>
      <x:c r="T20" s="11" t="str">
        <x:v>Tương ứng — biến thể Anh</x:v>
      </x:c>
      <x:c r="U20" s="11" t="str">
        <x:v>N1 — Cá nhân</x:v>
      </x:c>
    </x:row>
    <x:row r="21" ht="85.5" customHeight="1">
      <x:c r="A21" s="14" t="n">
        <x:v>16</x:v>
      </x:c>
      <x:c r="B21" s="11" t="str">
        <x:v>T097</x:v>
      </x:c>
      <x:c r="C21" s="11" t="str">
        <x:v>người phát ngôn Bộ Ngoại giao</x:v>
      </x:c>
      <x:c r="D21" s="11" t="str">
        <x:v>Hán Việt + thuần Việt</x:v>
      </x:c>
      <x:c r="E21" s="11" t="str">
        <x:v>A — Có chứng cứ thành tố</x:v>
      </x:c>
      <x:c r="F21" s="11" t="str">
        <x:v>외교부 대변인</x:v>
      </x:c>
      <x:c r="G21" s="11" t="str">
        <x:v>Hán Hàn</x:v>
      </x:c>
      <x:c r="H21" s="11" t="str">
        <x:v>A — Có chứng cứ thành tố</x:v>
      </x:c>
      <x:c r="I21" s="11" t="str">
        <x:f>IF(AND(LEFT(E21,1)="A",LEFT(H21,1)="A"),"A/A — Có chứng cứ hai phía",IF(OR(LEFT(E21,1)="C",LEFT(H21,1)="C"),"C — Còn điểm chưa chốt",IF(AND(OR(LEFT(E21,1)="A",LEFT(E21,1)="B"),OR(LEFT(H21,1)="A",LEFT(H21,1)="B")),"B — Cần bổ sung chứng cứ","Kiểm tra mức chứng cứ")))</x:f>
        <x:v>A/A — Có chứng cứ hai phía</x:v>
      </x:c>
      <x:c r="J21" s="11" t="str">
        <x:v>Có chứng cứ cho thành tố</x:v>
      </x:c>
      <x:c r="K21" s="11" t="str">
        <x:v>người [TV]
phát ngôn [HV 發言]
Bộ [HV 部]
Ngoại giao [HV 外交]</x:v>
      </x:c>
      <x:c r="L21" s="11" t="str">
        <x:v>외교부 [HH 外交部]
대변인 [HH 代辯人]</x:v>
      </x:c>
      <x:c r="M21" s="11" t="str">
        <x:v>Có nguồn âm/chữ hoặc nguồn từ nguyên cho các thành tố dùng để quyết định nhãn; việc ghép thành thuật ngữ là phân tích của nghiên cứu.</x:v>
      </x:c>
      <x:c r="N21" s="11" t="str">
        <x:v>Đã tìm thấy nguồn mục từ/thành tố ghi nguyên dạng hoặc lớp từ cho toàn bộ thành tố quyết định kết luận.</x:v>
      </x:c>
      <x:c r="O21" s="11" t="str">
        <x:v>Hán Hàn</x:v>
      </x:c>
      <x:c r="P21" s="11" t="str"/>
      <x:c r="Q21" s="37" t="str">
        <x:v>ET020 (dòng 895)
ET021 (dòng 896)
ET005 (dòng 880)
ET007 (dòng 882)</x:v>
      </x:c>
      <x:c r="R21" s="37" t="str">
        <x:v>ET244 (dòng 1119)
ET252 (dòng 1127)</x:v>
      </x:c>
      <x:c r="S21" s="11" t="str"/>
      <x:c r="T21" s="11" t="str">
        <x:v>Chưa đủ căn cứ đối chiếu</x:v>
      </x:c>
      <x:c r="U21" s="11" t="str">
        <x:v>N1 — Cá nhân</x:v>
      </x:c>
    </x:row>
    <x:row r="22" ht="100.5" customHeight="1">
      <x:c r="A22" s="14" t="n">
        <x:v>17</x:v>
      </x:c>
      <x:c r="B22" s="11" t="str">
        <x:v>T088</x:v>
      </x:c>
      <x:c r="C22" s="11" t="str">
        <x:v>Phó Chủ tịch Quốc hội</x:v>
      </x:c>
      <x:c r="D22" s="11" t="str">
        <x:v>Hán Việt</x:v>
      </x:c>
      <x:c r="E22" s="11" t="str">
        <x:v>A — Có chứng cứ thành tố</x:v>
      </x:c>
      <x:c r="F22" s="11" t="str">
        <x:v>국회 부의장</x:v>
      </x:c>
      <x:c r="G22" s="11" t="str">
        <x:v>Hán Hàn</x:v>
      </x:c>
      <x:c r="H22" s="11" t="str">
        <x:v>B — Phân tích tạm</x:v>
      </x:c>
      <x:c r="I22" s="11" t="str">
        <x:f>IF(AND(LEFT(E22,1)="A",LEFT(H22,1)="A"),"A/A — Có chứng cứ hai phía",IF(OR(LEFT(E22,1)="C",LEFT(H22,1)="C"),"C — Còn điểm chưa chốt",IF(AND(OR(LEFT(E22,1)="A",LEFT(E22,1)="B"),OR(LEFT(H22,1)="A",LEFT(H22,1)="B")),"B — Cần bổ sung chứng cứ","Kiểm tra mức chứng cứ")))</x:f>
        <x:v>B — Cần bổ sung chứng cứ</x:v>
      </x:c>
      <x:c r="J22" s="11" t="str">
        <x:v>Có chứng cứ cho thành tố</x:v>
      </x:c>
      <x:c r="K22" s="11" t="str">
        <x:v>Phó [HV 副]
Chủ tịch [HV 主席]
Quốc hội [HV 國會]</x:v>
      </x:c>
      <x:c r="L22" s="11" t="str">
        <x:v>국회 [HH 國會]
부의장 [HH 副議長 *]</x:v>
      </x:c>
      <x:c r="M22" s="11" t="str">
        <x:v>Có nguồn âm/chữ hoặc nguồn từ nguyên cho các thành tố dùng để quyết định nhãn; việc ghép thành thuật ngữ là phân tích của nghiên cứu.</x:v>
      </x:c>
      <x:c r="N2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 s="11" t="str">
        <x:v>Hán Hàn</x:v>
      </x:c>
      <x:c r="P22" s="11" t="str"/>
      <x:c r="Q22" s="37" t="str">
        <x:v>ET022 (dòng 897)
ET009 (dòng 884)
ET011 (dòng 886)</x:v>
      </x:c>
      <x:c r="R22" s="37" t="str">
        <x:v>ET248 (dòng 1123)
ET242 (dòng 1117)
ET253 (dòng 1128)</x:v>
      </x:c>
      <x:c r="S22" s="11" t="str"/>
      <x:c r="T22" s="11" t="str">
        <x:v>Chưa đủ căn cứ đối chiếu</x:v>
      </x:c>
      <x:c r="U22" s="11" t="str">
        <x:v>N1 — Cá nhân</x:v>
      </x:c>
    </x:row>
    <x:row r="23" ht="100.5" customHeight="1">
      <x:c r="A23" s="14" t="n">
        <x:v>18</x:v>
      </x:c>
      <x:c r="B23" s="11" t="str">
        <x:v>T082</x:v>
      </x:c>
      <x:c r="C23" s="11" t="str">
        <x:v>Phó Thủ tướng</x:v>
      </x:c>
      <x:c r="D23" s="11" t="str">
        <x:v>Hán Việt</x:v>
      </x:c>
      <x:c r="E23" s="11" t="str">
        <x:v>A — Có chứng cứ thành tố</x:v>
      </x:c>
      <x:c r="F23" s="11" t="str">
        <x:v>부총리</x:v>
      </x:c>
      <x:c r="G23" s="11" t="str">
        <x:v>Hán Hàn</x:v>
      </x:c>
      <x:c r="H23" s="11" t="str">
        <x:v>B — Phân tích tạm</x:v>
      </x:c>
      <x:c r="I23" s="11" t="str">
        <x:f>IF(AND(LEFT(E23,1)="A",LEFT(H23,1)="A"),"A/A — Có chứng cứ hai phía",IF(OR(LEFT(E23,1)="C",LEFT(H23,1)="C"),"C — Còn điểm chưa chốt",IF(AND(OR(LEFT(E23,1)="A",LEFT(E23,1)="B"),OR(LEFT(H23,1)="A",LEFT(H23,1)="B")),"B — Cần bổ sung chứng cứ","Kiểm tra mức chứng cứ")))</x:f>
        <x:v>B — Cần bổ sung chứng cứ</x:v>
      </x:c>
      <x:c r="J23" s="11" t="str">
        <x:v>Có chứng cứ cho thành tố</x:v>
      </x:c>
      <x:c r="K23" s="11" t="str">
        <x:v>Phó [HV 副]
Thủ tướng [HV 首相]</x:v>
      </x:c>
      <x:c r="L23" s="11" t="str">
        <x:v>부총리 [HH 副總理 *]</x:v>
      </x:c>
      <x:c r="M23" s="11" t="str">
        <x:v>Có nguồn âm/chữ hoặc nguồn từ nguyên cho các thành tố dùng để quyết định nhãn; việc ghép thành thuật ngữ là phân tích của nghiên cứu.</x:v>
      </x:c>
      <x:c r="N2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3" s="11" t="str">
        <x:v>Hán Hàn</x:v>
      </x:c>
      <x:c r="P23" s="11" t="str"/>
      <x:c r="Q23" s="37" t="str">
        <x:v>ET022 (dòng 897)
ET023 (dòng 898)</x:v>
      </x:c>
      <x:c r="R23" s="37" t="str">
        <x:v>ET254 (dòng 1129)
ET253 (dòng 1128)</x:v>
      </x:c>
      <x:c r="S23" s="11" t="str"/>
      <x:c r="T23" s="11" t="str">
        <x:v>Xác nhận — cùng biểu thức Anh</x:v>
      </x:c>
      <x:c r="U23" s="11" t="str">
        <x:v>N1 — Cá nhân</x:v>
      </x:c>
    </x:row>
    <x:row r="24" ht="100.5" customHeight="1">
      <x:c r="A24" s="14" t="n">
        <x:v>19</x:v>
      </x:c>
      <x:c r="B24" s="11" t="str">
        <x:v>M036</x:v>
      </x:c>
      <x:c r="C24" s="11" t="str">
        <x:v>Phó Thủ tướng Thường trực</x:v>
      </x:c>
      <x:c r="D24" s="11" t="str">
        <x:v>Hán Việt</x:v>
      </x:c>
      <x:c r="E24" s="11" t="str">
        <x:v>A — Có chứng cứ thành tố</x:v>
      </x:c>
      <x:c r="F24" s="11" t="str">
        <x:v>상임 부총리</x:v>
      </x:c>
      <x:c r="G24" s="11" t="str">
        <x:v>Hán Hàn</x:v>
      </x:c>
      <x:c r="H24" s="11" t="str">
        <x:v>B — Phân tích tạm</x:v>
      </x:c>
      <x:c r="I24" s="11" t="str">
        <x:f>IF(AND(LEFT(E24,1)="A",LEFT(H24,1)="A"),"A/A — Có chứng cứ hai phía",IF(OR(LEFT(E24,1)="C",LEFT(H24,1)="C"),"C — Còn điểm chưa chốt",IF(AND(OR(LEFT(E24,1)="A",LEFT(E24,1)="B"),OR(LEFT(H24,1)="A",LEFT(H24,1)="B")),"B — Cần bổ sung chứng cứ","Kiểm tra mức chứng cứ")))</x:f>
        <x:v>B — Cần bổ sung chứng cứ</x:v>
      </x:c>
      <x:c r="J24" s="11" t="str">
        <x:v>Có chứng cứ cho thành tố</x:v>
      </x:c>
      <x:c r="K24" s="11" t="str">
        <x:v>Phó [HV 副]
Thủ tướng [HV 首相]
Thường trực [HV 常直]</x:v>
      </x:c>
      <x:c r="L24" s="11" t="str">
        <x:v>상임 [HH 常任]
부총리 [HH 副總理 *]</x:v>
      </x:c>
      <x:c r="M24" s="11" t="str">
        <x:v>Có nguồn âm/chữ hoặc nguồn từ nguyên cho các thành tố dùng để quyết định nhãn; việc ghép thành thuật ngữ là phân tích của nghiên cứu.</x:v>
      </x:c>
      <x:c r="N2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4" s="11" t="str">
        <x:v>Hán Hàn</x:v>
      </x:c>
      <x:c r="P24" s="11" t="str"/>
      <x:c r="Q24" s="37" t="str">
        <x:v>ET022 (dòng 897)
ET023 (dòng 898)
ET024 (dòng 899)</x:v>
      </x:c>
      <x:c r="R24" s="37" t="str">
        <x:v>ET255 (dòng 1130)
ET254 (dòng 1129)
ET253 (dòng 1128)</x:v>
      </x:c>
      <x:c r="S24" s="11" t="str"/>
      <x:c r="T24" s="11" t="str">
        <x:v>Ứng viên — còn thiếu chứng cứ</x:v>
      </x:c>
      <x:c r="U24" s="11" t="str">
        <x:v>N1 — Cá nhân</x:v>
      </x:c>
    </x:row>
    <x:row r="25" ht="115.5" customHeight="1">
      <x:c r="A25" s="14" t="n">
        <x:v>20</x:v>
      </x:c>
      <x:c r="B25" s="11" t="str">
        <x:v>M052</x:v>
      </x:c>
      <x:c r="C25" s="11" t="str">
        <x:v>Phó Trưởng Ban Tuyên giáo và Dân vận Trung ương</x:v>
      </x:c>
      <x:c r="D25" s="11" t="str">
        <x:v>Chưa chốt</x:v>
      </x:c>
      <x:c r="E25" s="11" t="str">
        <x:v>C — Chưa chốt từ nguyên</x:v>
      </x:c>
      <x:c r="F25" s="11" t="str">
        <x:v>중앙위 선전교육대중동원위원회 부위원장</x:v>
      </x:c>
      <x:c r="G25" s="11" t="str">
        <x:v>Hán Hàn</x:v>
      </x:c>
      <x:c r="H25" s="11" t="str">
        <x:v>B — Phân tích tạm</x:v>
      </x:c>
      <x:c r="I25" s="11" t="str">
        <x:f>IF(AND(LEFT(E25,1)="A",LEFT(H25,1)="A"),"A/A — Có chứng cứ hai phía",IF(OR(LEFT(E25,1)="C",LEFT(H25,1)="C"),"C — Còn điểm chưa chốt",IF(AND(OR(LEFT(E25,1)="A",LEFT(E25,1)="B"),OR(LEFT(H25,1)="A",LEFT(H25,1)="B")),"B — Cần bổ sung chứng cứ","Kiểm tra mức chứng cứ")))</x:f>
        <x:v>C — Còn điểm chưa chốt</x:v>
      </x:c>
      <x:c r="J25" s="11" t="str">
        <x:v>Có chứng cứ cho thành tố</x:v>
      </x:c>
      <x:c r="K25" s="11" t="str">
        <x:v>Phó [HV 副]
Trưởng [HV 長]
Ban [HV 班]
Tuyên giáo [HV 宣教 *]
và [?]
Dân vận [HV 民運 *]
Trung ương [HV 中央]</x:v>
      </x:c>
      <x:c r="L25" s="11" t="str">
        <x:v>중앙위 [HH 中央委 *]
선전교육대중동원위원회 [HH 宣傳敎育大衆動員委員會 *]
부위원장 [HH 副委員長 *]</x:v>
      </x:c>
      <x:c r="M25" s="11" t="str">
        <x:v>Có thành tố mà nguồn gốc/lớp vay mượn chưa đủ chắc; chưa dùng nhãn để chốt mẫu nghiên cứu.</x:v>
      </x:c>
      <x:c r="N2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5" s="11" t="str">
        <x:v>Hán Hàn</x:v>
      </x:c>
      <x:c r="P25" s="11" t="str"/>
      <x:c r="Q25" s="37" t="str">
        <x:v>ET022 (dòng 897)
ET025 (dòng 900)
ET013 (dòng 888)
ET026 (dòng 901)
ET002 (dòng 877)</x:v>
      </x:c>
      <x:c r="R25" s="37" t="str">
        <x:v>ET239 (dòng 1114)
ET256 (dòng 1131)
ET255 (dòng 1130)
ET242 (dòng 1117)
ET253 (dòng 1128)</x:v>
      </x:c>
      <x:c r="S25" s="11" t="str"/>
      <x:c r="T25" s="11" t="str">
        <x:v>Xác nhận — cùng biểu thức Anh</x:v>
      </x:c>
      <x:c r="U25" s="11" t="str">
        <x:v>N1 — Cá nhân</x:v>
      </x:c>
    </x:row>
    <x:row r="26" ht="145.5" customHeight="1">
      <x:c r="A26" s="14" t="n">
        <x:v>21</x:v>
      </x:c>
      <x:c r="B26" s="11" t="str">
        <x:v>NEW_G1_FL01</x:v>
      </x:c>
      <x:c r="C26" s="11" t="str">
        <x:v>phu nhân Tổng thống Hàn Quốc</x:v>
      </x:c>
      <x:c r="D26" s="11" t="str">
        <x:v>Hán Việt</x:v>
      </x:c>
      <x:c r="E26" s="11" t="str">
        <x:v>A — Có chứng cứ thành tố</x:v>
      </x:c>
      <x:c r="F26" s="11" t="str">
        <x:v>대한민국 이재명 대통령의 부인</x:v>
      </x:c>
      <x:c r="G26" s="11" t="str">
        <x:v>Hán Hàn + ngữ pháp thuần Hàn</x:v>
      </x:c>
      <x:c r="H26" s="11" t="str">
        <x:v>B — Phân tích tạm</x:v>
      </x:c>
      <x:c r="I26" s="11" t="str">
        <x:f>IF(AND(LEFT(E26,1)="A",LEFT(H26,1)="A"),"A/A — Có chứng cứ hai phía",IF(OR(LEFT(E26,1)="C",LEFT(H26,1)="C"),"C — Còn điểm chưa chốt",IF(AND(OR(LEFT(E26,1)="A",LEFT(E26,1)="B"),OR(LEFT(H26,1)="A",LEFT(H26,1)="B")),"B — Cần bổ sung chứng cứ","Kiểm tra mức chứng cứ")))</x:f>
        <x:v>B — Cần bổ sung chứng cứ</x:v>
      </x:c>
      <x:c r="J26" s="11" t="str">
        <x:v>Có chứng cứ cho thành tố</x:v>
      </x:c>
      <x:c r="K26" s="11" t="str">
        <x:v>phu nhân [HV 夫人]
Tổng thống [HV 總統]
Hàn Quốc [HV 韓國]</x:v>
      </x:c>
      <x:c r="L26" s="11" t="str">
        <x:v>대한민국 [HH 大韓民國]
이재명 [HH 李在明]
대통령 [HH 大統領]
의 [NP]
부인 [HH 夫人 *]</x:v>
      </x:c>
      <x:c r="M26" s="11" t="str">
        <x:v>Có nguồn âm/chữ hoặc nguồn từ nguyên cho các thành tố dùng để quyết định nhãn; việc ghép thành thuật ngữ là phân tích của nghiên cứu.</x:v>
      </x:c>
      <x:c r="N2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대한민국 và 이재명 có chữ Hán được nguồn xác nhận, nhưng 의 là trợ từ. Có tên riêng và phần mô tả vợ của một người cụ thể; từ nguyên không sửa được sự lệch phạm vi dịch của cặp gốc.</x:v>
      </x:c>
      <x:c r="O26" s="11" t="str">
        <x:v>Hán Hàn</x:v>
      </x:c>
      <x:c r="P26" s="11" t="str">
        <x:v>Việt: Hàn Quốc
Hàn: 대한민국
Hàn: 이재명</x:v>
      </x:c>
      <x:c r="Q26" s="37" t="str">
        <x:v>ET027 (dòng 902)
ET028 (dòng 903)
ET029 (dòng 904)</x:v>
      </x:c>
      <x:c r="R26" s="37" t="str">
        <x:v>ET257 (dòng 1132)
ET258 (dòng 1133)
ET259 (dòng 1134)
ET260 (dòng 1135)
ET261 (dòng 1136)</x:v>
      </x:c>
      <x:c r="S26" s="11" t="str"/>
      <x:c r="T26" s="11" t="str">
        <x:v>Lệch nghĩa / phạm vi</x:v>
      </x:c>
      <x:c r="U26" s="11" t="str">
        <x:v>N1 — Cá nhân</x:v>
      </x:c>
    </x:row>
    <x:row r="27" ht="115.5" customHeight="1">
      <x:c r="A27" s="14" t="n">
        <x:v>22</x:v>
      </x:c>
      <x:c r="B27" s="11" t="str">
        <x:v>T099</x:v>
      </x:c>
      <x:c r="C27" s="11" t="str">
        <x:v>Thị trưởng</x:v>
      </x:c>
      <x:c r="D27" s="11" t="str">
        <x:v>Hán Việt</x:v>
      </x:c>
      <x:c r="E27" s="11" t="str">
        <x:v>A — Có chứng cứ thành tố</x:v>
      </x:c>
      <x:c r="F27" s="11" t="str">
        <x:v>시장</x:v>
      </x:c>
      <x:c r="G27" s="11" t="str">
        <x:v>Hán Hàn</x:v>
      </x:c>
      <x:c r="H27" s="11" t="str">
        <x:v>B — Phân tích tạm</x:v>
      </x:c>
      <x:c r="I27" s="11" t="str">
        <x:f>IF(AND(LEFT(E27,1)="A",LEFT(H27,1)="A"),"A/A — Có chứng cứ hai phía",IF(OR(LEFT(E27,1)="C",LEFT(H27,1)="C"),"C — Còn điểm chưa chốt",IF(AND(OR(LEFT(E27,1)="A",LEFT(E27,1)="B"),OR(LEFT(H27,1)="A",LEFT(H27,1)="B")),"B — Cần bổ sung chứng cứ","Kiểm tra mức chứng cứ")))</x:f>
        <x:v>B — Cần bổ sung chứng cứ</x:v>
      </x:c>
      <x:c r="J27" s="11" t="str">
        <x:v>Có mục từ cả dạng biểu thức</x:v>
      </x:c>
      <x:c r="K27" s="11" t="str">
        <x:v>Thị trưởng [HV 市長]</x:v>
      </x:c>
      <x:c r="L27" s="11" t="str">
        <x:v>시장 [HH 市長 *]</x:v>
      </x:c>
      <x:c r="M27" s="11" t="str">
        <x:v>Có nguồn âm/chữ hoặc nguồn từ nguyên cho các thành tố dùng để quyết định nhãn; việc ghép thành thuật ngữ là phân tích của nghiên cứu.</x:v>
      </x:c>
      <x:c r="N2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시장 ở đây là 市長 (thị trưởng), không phải 市場 (thị trường).</x:v>
      </x:c>
      <x:c r="O27" s="11" t="str">
        <x:v>Hán Hàn</x:v>
      </x:c>
      <x:c r="P27" s="11" t="str"/>
      <x:c r="Q27" s="37" t="str">
        <x:v>ET030 (dòng 905)</x:v>
      </x:c>
      <x:c r="R27" s="37" t="str">
        <x:v>ET242 (dòng 1117)</x:v>
      </x:c>
      <x:c r="S27" s="11" t="str"/>
      <x:c r="T27" s="11" t="str">
        <x:v>Xác nhận — cùng biểu thức Anh</x:v>
      </x:c>
      <x:c r="U27" s="11" t="str">
        <x:v>N1 — Cá nhân</x:v>
      </x:c>
    </x:row>
    <x:row r="28" ht="85.5" customHeight="1">
      <x:c r="A28" s="14" t="n">
        <x:v>23</x:v>
      </x:c>
      <x:c r="B28" s="11" t="str">
        <x:v>T074</x:v>
      </x:c>
      <x:c r="C28" s="11" t="str">
        <x:v>Thủ tướng</x:v>
      </x:c>
      <x:c r="D28" s="11" t="str">
        <x:v>Hán Việt</x:v>
      </x:c>
      <x:c r="E28" s="11" t="str">
        <x:v>A — Có chứng cứ thành tố</x:v>
      </x:c>
      <x:c r="F28" s="11" t="str">
        <x:v>총리</x:v>
      </x:c>
      <x:c r="G28" s="11" t="str">
        <x:v>Hán Hàn</x:v>
      </x:c>
      <x:c r="H28" s="11" t="str">
        <x:v>A — Có chứng cứ thành tố</x:v>
      </x:c>
      <x:c r="I28" s="11" t="str">
        <x:f>IF(AND(LEFT(E28,1)="A",LEFT(H28,1)="A"),"A/A — Có chứng cứ hai phía",IF(OR(LEFT(E28,1)="C",LEFT(H28,1)="C"),"C — Còn điểm chưa chốt",IF(AND(OR(LEFT(E28,1)="A",LEFT(E28,1)="B"),OR(LEFT(H28,1)="A",LEFT(H28,1)="B")),"B — Cần bổ sung chứng cứ","Kiểm tra mức chứng cứ")))</x:f>
        <x:v>A/A — Có chứng cứ hai phía</x:v>
      </x:c>
      <x:c r="J28" s="11" t="str">
        <x:v>Có mục từ cả dạng biểu thức</x:v>
      </x:c>
      <x:c r="K28" s="11" t="str">
        <x:v>Thủ tướng [HV 首相]</x:v>
      </x:c>
      <x:c r="L28" s="11" t="str">
        <x:v>총리 [HH 總理]</x:v>
      </x:c>
      <x:c r="M28" s="11" t="str">
        <x:v>Có nguồn âm/chữ hoặc nguồn từ nguyên cho các thành tố dùng để quyết định nhãn; việc ghép thành thuật ngữ là phân tích của nghiên cứu.</x:v>
      </x:c>
      <x:c r="N28" s="11" t="str">
        <x:v>Đã tìm thấy nguồn mục từ/thành tố ghi nguyên dạng hoặc lớp từ cho toàn bộ thành tố quyết định kết luận.</x:v>
      </x:c>
      <x:c r="O28" s="11" t="str">
        <x:v>Hán Hàn</x:v>
      </x:c>
      <x:c r="P28" s="11" t="str"/>
      <x:c r="Q28" s="37" t="str">
        <x:v>ET023 (dòng 898)</x:v>
      </x:c>
      <x:c r="R28" s="37" t="str">
        <x:v>ET254 (dòng 1129)</x:v>
      </x:c>
      <x:c r="S28" s="11" t="str"/>
      <x:c r="T28" s="11" t="str">
        <x:v>Xác nhận — cùng biểu thức Anh</x:v>
      </x:c>
      <x:c r="U28" s="11" t="str">
        <x:v>N1 — Cá nhân</x:v>
      </x:c>
    </x:row>
    <x:row r="29" ht="85.5" customHeight="1">
      <x:c r="A29" s="14" t="n">
        <x:v>24</x:v>
      </x:c>
      <x:c r="B29" s="11" t="str">
        <x:v>T087</x:v>
      </x:c>
      <x:c r="C29" s="11" t="str">
        <x:v>Thứ trưởng</x:v>
      </x:c>
      <x:c r="D29" s="11" t="str">
        <x:v>Hán Việt</x:v>
      </x:c>
      <x:c r="E29" s="11" t="str">
        <x:v>B — Phân tích tạm</x:v>
      </x:c>
      <x:c r="F29" s="11" t="str">
        <x:v>차관</x:v>
      </x:c>
      <x:c r="G29" s="11" t="str">
        <x:v>Hán Hàn</x:v>
      </x:c>
      <x:c r="H29" s="11" t="str">
        <x:v>A — Có chứng cứ thành tố</x:v>
      </x:c>
      <x:c r="I29" s="11" t="str">
        <x:f>IF(AND(LEFT(E29,1)="A",LEFT(H29,1)="A"),"A/A — Có chứng cứ hai phía",IF(OR(LEFT(E29,1)="C",LEFT(H29,1)="C"),"C — Còn điểm chưa chốt",IF(AND(OR(LEFT(E29,1)="A",LEFT(E29,1)="B"),OR(LEFT(H29,1)="A",LEFT(H29,1)="B")),"B — Cần bổ sung chứng cứ","Kiểm tra mức chứng cứ")))</x:f>
        <x:v>B — Cần bổ sung chứng cứ</x:v>
      </x:c>
      <x:c r="J29" s="11" t="str">
        <x:v>Chưa có chứng cứ HVDic trong lượt này</x:v>
      </x:c>
      <x:c r="K29" s="11" t="str">
        <x:v>Thứ trưởng [HV 次長 *]</x:v>
      </x:c>
      <x:c r="L29" s="11" t="str">
        <x:v>차관 [HH 次官]</x:v>
      </x:c>
      <x:c r="M29" s="11" t="str">
        <x:v>Phân tích cấu tạo theo thành tố; còn phần chưa có chứng cứ từ nguyên trực tiếp, xem cột ghi chú.</x:v>
      </x:c>
      <x:c r="N29" s="11" t="str">
        <x:v>Đã tìm thấy nguồn mục từ/thành tố ghi nguyên dạng hoặc lớp từ cho toàn bộ thành tố quyết định kết luận.</x:v>
      </x:c>
      <x:c r="O29" s="11" t="str">
        <x:v>Hán Hàn</x:v>
      </x:c>
      <x:c r="P29" s="11" t="str"/>
      <x:c r="Q29" s="37" t="str">
        <x:v>Chưa có nguồn từ nguyên cụ thể trong lượt này</x:v>
      </x:c>
      <x:c r="R29" s="37" t="str">
        <x:v>ET242 (dòng 1117)</x:v>
      </x:c>
      <x:c r="S29" s="11" t="str"/>
      <x:c r="T29" s="11" t="str">
        <x:v>Có điều kiện — chưa chốt</x:v>
      </x:c>
      <x:c r="U29" s="11" t="str">
        <x:v>N1 — Cá nhân</x:v>
      </x:c>
    </x:row>
    <x:row r="30" ht="85.5" customHeight="1">
      <x:c r="A30" s="14" t="n">
        <x:v>25</x:v>
      </x:c>
      <x:c r="B30" s="11" t="str">
        <x:v>T102</x:v>
      </x:c>
      <x:c r="C30" s="11" t="str">
        <x:v>Thứ trưởng Bộ Ngoại giao</x:v>
      </x:c>
      <x:c r="D30" s="11" t="str">
        <x:v>Hán Việt</x:v>
      </x:c>
      <x:c r="E30" s="11" t="str">
        <x:v>B — Phân tích tạm</x:v>
      </x:c>
      <x:c r="F30" s="11" t="str">
        <x:v>외교부 차관</x:v>
      </x:c>
      <x:c r="G30" s="11" t="str">
        <x:v>Hán Hàn</x:v>
      </x:c>
      <x:c r="H30" s="11" t="str">
        <x:v>A — Có chứng cứ thành tố</x:v>
      </x:c>
      <x:c r="I30" s="11" t="str">
        <x:f>IF(AND(LEFT(E30,1)="A",LEFT(H30,1)="A"),"A/A — Có chứng cứ hai phía",IF(OR(LEFT(E30,1)="C",LEFT(H30,1)="C"),"C — Còn điểm chưa chốt",IF(AND(OR(LEFT(E30,1)="A",LEFT(E30,1)="B"),OR(LEFT(H30,1)="A",LEFT(H30,1)="B")),"B — Cần bổ sung chứng cứ","Kiểm tra mức chứng cứ")))</x:f>
        <x:v>B — Cần bổ sung chứng cứ</x:v>
      </x:c>
      <x:c r="J30" s="11" t="str">
        <x:v>Có chứng cứ cho thành tố</x:v>
      </x:c>
      <x:c r="K30" s="11" t="str">
        <x:v>Thứ trưởng [HV 次長 *]
Bộ [HV 部]
Ngoại giao [HV 外交]</x:v>
      </x:c>
      <x:c r="L30" s="11" t="str">
        <x:v>외교부 [HH 外交部]
차관 [HH 次官]</x:v>
      </x:c>
      <x:c r="M30" s="11" t="str">
        <x:v>Phân tích cấu tạo theo thành tố; còn phần chưa có chứng cứ từ nguyên trực tiếp, xem cột ghi chú.</x:v>
      </x:c>
      <x:c r="N30" s="11" t="str">
        <x:v>Đã tìm thấy nguồn mục từ/thành tố ghi nguyên dạng hoặc lớp từ cho toàn bộ thành tố quyết định kết luận.</x:v>
      </x:c>
      <x:c r="O30" s="11" t="str">
        <x:v>Hán Hàn</x:v>
      </x:c>
      <x:c r="P30" s="11" t="str"/>
      <x:c r="Q30" s="37" t="str">
        <x:v>ET005 (dòng 880)
ET007 (dòng 882)</x:v>
      </x:c>
      <x:c r="R30" s="37" t="str">
        <x:v>ET244 (dòng 1119)
ET242 (dòng 1117)</x:v>
      </x:c>
      <x:c r="S30" s="11" t="str"/>
      <x:c r="T30" s="11" t="str">
        <x:v>Chưa đủ căn cứ đối chiếu</x:v>
      </x:c>
      <x:c r="U30" s="11" t="str">
        <x:v>N1 — Cá nhân</x:v>
      </x:c>
    </x:row>
    <x:row r="31" ht="115.5" customHeight="1">
      <x:c r="A31" s="14" t="n">
        <x:v>26</x:v>
      </x:c>
      <x:c r="B31" s="11" t="str">
        <x:v>T184</x:v>
      </x:c>
      <x:c r="C31" s="11" t="str">
        <x:v>Thứ trưởng Thứ nhất Bộ Ngoại giao</x:v>
      </x:c>
      <x:c r="D31" s="11" t="str">
        <x:v>Hán Việt</x:v>
      </x:c>
      <x:c r="E31" s="11" t="str">
        <x:v>B — Phân tích tạm</x:v>
      </x:c>
      <x:c r="F31" s="11" t="str">
        <x:v>외교부 제1차관</x:v>
      </x:c>
      <x:c r="G31" s="11" t="str">
        <x:v>Hán Hàn</x:v>
      </x:c>
      <x:c r="H31" s="11" t="str">
        <x:v>B — Phân tích tạm</x:v>
      </x:c>
      <x:c r="I31" s="11" t="str">
        <x:f>IF(AND(LEFT(E31,1)="A",LEFT(H31,1)="A"),"A/A — Có chứng cứ hai phía",IF(OR(LEFT(E31,1)="C",LEFT(H31,1)="C"),"C — Còn điểm chưa chốt",IF(AND(OR(LEFT(E31,1)="A",LEFT(E31,1)="B"),OR(LEFT(H31,1)="A",LEFT(H31,1)="B")),"B — Cần bổ sung chứng cứ","Kiểm tra mức chứng cứ")))</x:f>
        <x:v>B — Cần bổ sung chứng cứ</x:v>
      </x:c>
      <x:c r="J31" s="11" t="str">
        <x:v>Có chứng cứ cho thành tố</x:v>
      </x:c>
      <x:c r="K31" s="11" t="str">
        <x:v>Thứ trưởng [HV 次長 *]
Thứ nhất [HV 次一 *]
Bộ [HV 部]
Ngoại giao [HV 外交]</x:v>
      </x:c>
      <x:c r="L31" s="11" t="str">
        <x:v>외교부 [HH 外交部]
제 [HH 第 *]
1 [SỐ]
차관 [HH 次官]</x:v>
      </x:c>
      <x:c r="M31" s="11" t="str">
        <x:v>Phân tích cấu tạo theo thành tố; còn phần chưa có chứng cứ từ nguyên trực tiếp, xem cột ghi chú.</x:v>
      </x:c>
      <x:c r="N3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제1차관 giữ số1 và tiền tố 제 第; không coi sốẢRập là từ vay mượn.</x:v>
      </x:c>
      <x:c r="O31" s="11" t="str">
        <x:v>Hán Hàn</x:v>
      </x:c>
      <x:c r="P31" s="11" t="str">
        <x:v>Hàn: 1</x:v>
      </x:c>
      <x:c r="Q31" s="37" t="str">
        <x:v>ET005 (dòng 880)
ET007 (dòng 882)</x:v>
      </x:c>
      <x:c r="R31" s="37" t="str">
        <x:v>ET244 (dòng 1119)
ET242 (dòng 1117)</x:v>
      </x:c>
      <x:c r="S31" s="11" t="str"/>
      <x:c r="T31" s="11" t="str">
        <x:v>Xác nhận — cùng biểu thức Anh</x:v>
      </x:c>
      <x:c r="U31" s="11" t="str">
        <x:v>N1 — Cá nhân</x:v>
      </x:c>
    </x:row>
    <x:row r="32" ht="100.5" customHeight="1">
      <x:c r="A32" s="14" t="n">
        <x:v>27</x:v>
      </x:c>
      <x:c r="B32" s="11" t="str">
        <x:v>T185</x:v>
      </x:c>
      <x:c r="C32" s="11" t="str">
        <x:v>Thứ trưởng Thường trực Bộ Ngoại giao</x:v>
      </x:c>
      <x:c r="D32" s="11" t="str">
        <x:v>Hán Việt</x:v>
      </x:c>
      <x:c r="E32" s="11" t="str">
        <x:v>B — Phân tích tạm</x:v>
      </x:c>
      <x:c r="F32" s="11" t="str">
        <x:v>외교부 상임차관</x:v>
      </x:c>
      <x:c r="G32" s="11" t="str">
        <x:v>Hán Hàn</x:v>
      </x:c>
      <x:c r="H32" s="11" t="str">
        <x:v>B — Phân tích tạm</x:v>
      </x:c>
      <x:c r="I32" s="11" t="str">
        <x:f>IF(AND(LEFT(E32,1)="A",LEFT(H32,1)="A"),"A/A — Có chứng cứ hai phía",IF(OR(LEFT(E32,1)="C",LEFT(H32,1)="C"),"C — Còn điểm chưa chốt",IF(AND(OR(LEFT(E32,1)="A",LEFT(E32,1)="B"),OR(LEFT(H32,1)="A",LEFT(H32,1)="B")),"B — Cần bổ sung chứng cứ","Kiểm tra mức chứng cứ")))</x:f>
        <x:v>B — Cần bổ sung chứng cứ</x:v>
      </x:c>
      <x:c r="J32" s="11" t="str">
        <x:v>Có chứng cứ cho thành tố</x:v>
      </x:c>
      <x:c r="K32" s="11" t="str">
        <x:v>Thứ trưởng [HV 次長 *]
Thường trực [HV 常直]
Bộ [HV 部]
Ngoại giao [HV 外交]</x:v>
      </x:c>
      <x:c r="L32" s="11" t="str">
        <x:v>외교부 [HH 外交部]
상임차관 [HH 常任次官 *]</x:v>
      </x:c>
      <x:c r="M32" s="11" t="str">
        <x:v>Phân tích cấu tạo theo thành tố; còn phần chưa có chứng cứ từ nguyên trực tiếp, xem cột ghi chú.</x:v>
      </x:c>
      <x:c r="N3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32" s="11" t="str">
        <x:v>Hán Hàn</x:v>
      </x:c>
      <x:c r="P32" s="11" t="str"/>
      <x:c r="Q32" s="37" t="str">
        <x:v>ET024 (dòng 899)
ET005 (dòng 880)
ET007 (dòng 882)</x:v>
      </x:c>
      <x:c r="R32" s="37" t="str">
        <x:v>ET244 (dòng 1119)
ET242 (dòng 1117)
ET255 (dòng 1130)</x:v>
      </x:c>
      <x:c r="S32" s="11" t="str"/>
      <x:c r="T32" s="11" t="str">
        <x:v>Xác nhận — cùng biểu thức Anh</x:v>
      </x:c>
      <x:c r="U32" s="11" t="str">
        <x:v>N1 — Cá nhân</x:v>
      </x:c>
    </x:row>
    <x:row r="33" ht="100.5" customHeight="1">
      <x:c r="A33" s="14" t="n">
        <x:v>28</x:v>
      </x:c>
      <x:c r="B33" s="11" t="str">
        <x:v>T086</x:v>
      </x:c>
      <x:c r="C33" s="11" t="str">
        <x:v>Thường trực Ban Bí thư</x:v>
      </x:c>
      <x:c r="D33" s="11" t="str">
        <x:v>Hán Việt</x:v>
      </x:c>
      <x:c r="E33" s="11" t="str">
        <x:v>A — Có chứng cứ thành tố</x:v>
      </x:c>
      <x:c r="F33" s="11" t="str">
        <x:v>베트남 공산당 중앙위원회 서기국 상임위원</x:v>
      </x:c>
      <x:c r="G33" s="11" t="str">
        <x:v>Hán Hàn + ngoại lai khác</x:v>
      </x:c>
      <x:c r="H33" s="11" t="str">
        <x:v>B — Phân tích tạm</x:v>
      </x:c>
      <x:c r="I33" s="11" t="str">
        <x:f>IF(AND(LEFT(E33,1)="A",LEFT(H33,1)="A"),"A/A — Có chứng cứ hai phía",IF(OR(LEFT(E33,1)="C",LEFT(H33,1)="C"),"C — Còn điểm chưa chốt",IF(AND(OR(LEFT(E33,1)="A",LEFT(E33,1)="B"),OR(LEFT(H33,1)="A",LEFT(H33,1)="B")),"B — Cần bổ sung chứng cứ","Kiểm tra mức chứng cứ")))</x:f>
        <x:v>B — Cần bổ sung chứng cứ</x:v>
      </x:c>
      <x:c r="J33" s="11" t="str">
        <x:v>Có chứng cứ cho thành tố</x:v>
      </x:c>
      <x:c r="K33" s="11" t="str">
        <x:v>Thường trực [HV 常直]
Ban [HV 班]
Bí thư [HV 祕書]</x:v>
      </x:c>
      <x:c r="L33" s="11" t="str">
        <x:v>베트남 [NL]
공산당 [HH 共産黨]
중앙위원회 [HH 中央委員會]
서기국 [HH 書記局 *]
상임위원 [HH 常任委員 *]</x:v>
      </x:c>
      <x:c r="M33" s="11" t="str">
        <x:v>Có nguồn âm/chữ hoặc nguồn từ nguyên cho các thành tố dùng để quyết định nhãn; việc ghép thành thuật ngữ là phân tích của nghiên cứu.</x:v>
      </x:c>
      <x:c r="N3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33" s="11" t="str">
        <x:v>Hán Hàn + ngoại lai khác</x:v>
      </x:c>
      <x:c r="P33" s="11" t="str">
        <x:v>Hàn: 베트남</x:v>
      </x:c>
      <x:c r="Q33" s="37" t="str">
        <x:v>ET024 (dòng 899)
ET013 (dòng 888)
ET001 (dòng 876)</x:v>
      </x:c>
      <x:c r="R33" s="37" t="str">
        <x:v>ET262 (dòng 1137)
ET263 (dòng 1138)
ET239 (dòng 1114)
ET240 (dòng 1115)
ET242 (dòng 1117)
ET255 (dòng 1130)</x:v>
      </x:c>
      <x:c r="S33" s="11" t="str"/>
      <x:c r="T33" s="11" t="str">
        <x:v>Chưa đủ căn cứ đối chiếu</x:v>
      </x:c>
      <x:c r="U33" s="11" t="str">
        <x:v>N1 — Cá nhân</x:v>
      </x:c>
    </x:row>
    <x:row r="34" ht="85.5" customHeight="1">
      <x:c r="A34" s="14" t="n">
        <x:v>29</x:v>
      </x:c>
      <x:c r="B34" s="11" t="str">
        <x:v>T075</x:v>
      </x:c>
      <x:c r="C34" s="11" t="str">
        <x:v>Tổng Bí thư</x:v>
      </x:c>
      <x:c r="D34" s="11" t="str">
        <x:v>Hán Việt</x:v>
      </x:c>
      <x:c r="E34" s="11" t="str">
        <x:v>A — Có chứng cứ thành tố</x:v>
      </x:c>
      <x:c r="F34" s="11" t="str">
        <x:v>서기장</x:v>
      </x:c>
      <x:c r="G34" s="11" t="str">
        <x:v>Hán Hàn</x:v>
      </x:c>
      <x:c r="H34" s="11" t="str">
        <x:v>A — Có chứng cứ thành tố</x:v>
      </x:c>
      <x:c r="I34" s="11" t="str">
        <x:f>IF(AND(LEFT(E34,1)="A",LEFT(H34,1)="A"),"A/A — Có chứng cứ hai phía",IF(OR(LEFT(E34,1)="C",LEFT(H34,1)="C"),"C — Còn điểm chưa chốt",IF(AND(OR(LEFT(E34,1)="A",LEFT(E34,1)="B"),OR(LEFT(H34,1)="A",LEFT(H34,1)="B")),"B — Cần bổ sung chứng cứ","Kiểm tra mức chứng cứ")))</x:f>
        <x:v>A/A — Có chứng cứ hai phía</x:v>
      </x:c>
      <x:c r="J34" s="11" t="str">
        <x:v>Có chứng cứ cho thành tố</x:v>
      </x:c>
      <x:c r="K34" s="11" t="str">
        <x:v>Tổng [HV 總]
Bí thư [HV 祕書]</x:v>
      </x:c>
      <x:c r="L34" s="11" t="str">
        <x:v>서기장 [HH 書記長]</x:v>
      </x:c>
      <x:c r="M34" s="11" t="str">
        <x:v>Có nguồn âm/chữ hoặc nguồn từ nguyên cho các thành tố dùng để quyết định nhãn; việc ghép thành thuật ngữ là phân tích của nghiên cứu.</x:v>
      </x:c>
      <x:c r="N34" s="11" t="str">
        <x:v>Đã tìm thấy nguồn mục từ/thành tố ghi nguyên dạng hoặc lớp từ cho toàn bộ thành tố quyết định kết luận.</x:v>
      </x:c>
      <x:c r="O34" s="11" t="str">
        <x:v>Hán Hàn</x:v>
      </x:c>
      <x:c r="P34" s="11" t="str"/>
      <x:c r="Q34" s="37" t="str">
        <x:v>ET031 (dòng 906)
ET001 (dòng 876)</x:v>
      </x:c>
      <x:c r="R34" s="37" t="str">
        <x:v>ET240 (dòng 1115)</x:v>
      </x:c>
      <x:c r="S34" s="11" t="str"/>
      <x:c r="T34" s="11" t="str">
        <x:v>Xác nhận — cùng biểu thức Anh</x:v>
      </x:c>
      <x:c r="U34" s="11" t="str">
        <x:v>N1 — Cá nhân</x:v>
      </x:c>
    </x:row>
    <x:row r="35" ht="85.5" customHeight="1">
      <x:c r="A35" s="14" t="n">
        <x:v>30</x:v>
      </x:c>
      <x:c r="B35" s="11" t="str">
        <x:v>T084</x:v>
      </x:c>
      <x:c r="C35" s="11" t="str">
        <x:v>Tổng thống</x:v>
      </x:c>
      <x:c r="D35" s="11" t="str">
        <x:v>Hán Việt</x:v>
      </x:c>
      <x:c r="E35" s="11" t="str">
        <x:v>A — Có chứng cứ thành tố</x:v>
      </x:c>
      <x:c r="F35" s="11" t="str">
        <x:v>대통령</x:v>
      </x:c>
      <x:c r="G35" s="11" t="str">
        <x:v>Hán Hàn</x:v>
      </x:c>
      <x:c r="H35" s="11" t="str">
        <x:v>A — Có chứng cứ thành tố</x:v>
      </x:c>
      <x:c r="I35" s="11" t="str">
        <x:f>IF(AND(LEFT(E35,1)="A",LEFT(H35,1)="A"),"A/A — Có chứng cứ hai phía",IF(OR(LEFT(E35,1)="C",LEFT(H35,1)="C"),"C — Còn điểm chưa chốt",IF(AND(OR(LEFT(E35,1)="A",LEFT(E35,1)="B"),OR(LEFT(H35,1)="A",LEFT(H35,1)="B")),"B — Cần bổ sung chứng cứ","Kiểm tra mức chứng cứ")))</x:f>
        <x:v>A/A — Có chứng cứ hai phía</x:v>
      </x:c>
      <x:c r="J35" s="11" t="str">
        <x:v>Có mục từ cả dạng biểu thức</x:v>
      </x:c>
      <x:c r="K35" s="11" t="str">
        <x:v>Tổng thống [HV 總統]</x:v>
      </x:c>
      <x:c r="L35" s="11" t="str">
        <x:v>대통령 [HH 大統領]</x:v>
      </x:c>
      <x:c r="M35" s="11" t="str">
        <x:v>Có nguồn âm/chữ hoặc nguồn từ nguyên cho các thành tố dùng để quyết định nhãn; việc ghép thành thuật ngữ là phân tích của nghiên cứu.</x:v>
      </x:c>
      <x:c r="N35" s="11" t="str">
        <x:v>Đã tìm thấy nguồn mục từ/thành tố ghi nguyên dạng hoặc lớp từ cho toàn bộ thành tố quyết định kết luận.</x:v>
      </x:c>
      <x:c r="O35" s="11" t="str">
        <x:v>Hán Hàn</x:v>
      </x:c>
      <x:c r="P35" s="11" t="str"/>
      <x:c r="Q35" s="37" t="str">
        <x:v>ET028 (dòng 903)</x:v>
      </x:c>
      <x:c r="R35" s="37" t="str">
        <x:v>ET259 (dòng 1134)</x:v>
      </x:c>
      <x:c r="S35" s="11" t="str"/>
      <x:c r="T35" s="11" t="str">
        <x:v>Xác nhận — cùng biểu thức Anh</x:v>
      </x:c>
      <x:c r="U35" s="11" t="str">
        <x:v>N1 — Cá nhân</x:v>
      </x:c>
    </x:row>
    <x:row r="36" ht="100.5" customHeight="1">
      <x:c r="A36" s="14" t="n">
        <x:v>31</x:v>
      </x:c>
      <x:c r="B36" s="11" t="str">
        <x:v>T091</x:v>
      </x:c>
      <x:c r="C36" s="11" t="str">
        <x:v>Tổng Thư ký</x:v>
      </x:c>
      <x:c r="D36" s="11" t="str">
        <x:v>Hán Việt</x:v>
      </x:c>
      <x:c r="E36" s="11" t="str">
        <x:v>A — Có chứng cứ thành tố</x:v>
      </x:c>
      <x:c r="F36" s="11" t="str">
        <x:v>사무총장</x:v>
      </x:c>
      <x:c r="G36" s="11" t="str">
        <x:v>Hán Hàn</x:v>
      </x:c>
      <x:c r="H36" s="11" t="str">
        <x:v>B — Phân tích tạm</x:v>
      </x:c>
      <x:c r="I36" s="11" t="str">
        <x:f>IF(AND(LEFT(E36,1)="A",LEFT(H36,1)="A"),"A/A — Có chứng cứ hai phía",IF(OR(LEFT(E36,1)="C",LEFT(H36,1)="C"),"C — Còn điểm chưa chốt",IF(AND(OR(LEFT(E36,1)="A",LEFT(E36,1)="B"),OR(LEFT(H36,1)="A",LEFT(H36,1)="B")),"B — Cần bổ sung chứng cứ","Kiểm tra mức chứng cứ")))</x:f>
        <x:v>B — Cần bổ sung chứng cứ</x:v>
      </x:c>
      <x:c r="J36" s="11" t="str">
        <x:v>Có chứng cứ cho thành tố</x:v>
      </x:c>
      <x:c r="K36" s="11" t="str">
        <x:v>Tổng [HV 總]
Thư ký [HV 書記]</x:v>
      </x:c>
      <x:c r="L36" s="11" t="str">
        <x:v>사무총장 [HH 事務總長 *]</x:v>
      </x:c>
      <x:c r="M36" s="11" t="str">
        <x:v>Có nguồn âm/chữ hoặc nguồn từ nguyên cho các thành tố dùng để quyết định nhãn; việc ghép thành thuật ngữ là phân tích của nghiên cứu.</x:v>
      </x:c>
      <x:c r="N3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36" s="11" t="str">
        <x:v>Hán Hàn</x:v>
      </x:c>
      <x:c r="P36" s="11" t="str"/>
      <x:c r="Q36" s="37" t="str">
        <x:v>ET031 (dòng 906)
ET032 (dòng 907)</x:v>
      </x:c>
      <x:c r="R36" s="37" t="str">
        <x:v>ET242 (dòng 1117)</x:v>
      </x:c>
      <x:c r="S36" s="11" t="str"/>
      <x:c r="T36" s="11" t="str">
        <x:v>Xác nhận — cùng biểu thức Anh</x:v>
      </x:c>
      <x:c r="U36" s="11" t="str">
        <x:v>N1 — Cá nhân</x:v>
      </x:c>
    </x:row>
    <x:row r="37" ht="100.5" customHeight="1">
      <x:c r="A37" s="14" t="n">
        <x:v>32</x:v>
      </x:c>
      <x:c r="B37" s="11" t="str">
        <x:v>T080</x:v>
      </x:c>
      <x:c r="C37" s="11" t="str">
        <x:v>Ủy viên Bộ Chính trị</x:v>
      </x:c>
      <x:c r="D37" s="11" t="str">
        <x:v>Hán Việt</x:v>
      </x:c>
      <x:c r="E37" s="11" t="str">
        <x:v>A — Có chứng cứ thành tố</x:v>
      </x:c>
      <x:c r="F37" s="11" t="str">
        <x:v>중앙정치국 위원</x:v>
      </x:c>
      <x:c r="G37" s="11" t="str">
        <x:v>Hán Hàn</x:v>
      </x:c>
      <x:c r="H37" s="11" t="str">
        <x:v>B — Phân tích tạm</x:v>
      </x:c>
      <x:c r="I37" s="11" t="str">
        <x:f>IF(AND(LEFT(E37,1)="A",LEFT(H37,1)="A"),"A/A — Có chứng cứ hai phía",IF(OR(LEFT(E37,1)="C",LEFT(H37,1)="C"),"C — Còn điểm chưa chốt",IF(AND(OR(LEFT(E37,1)="A",LEFT(E37,1)="B"),OR(LEFT(H37,1)="A",LEFT(H37,1)="B")),"B — Cần bổ sung chứng cứ","Kiểm tra mức chứng cứ")))</x:f>
        <x:v>B — Cần bổ sung chứng cứ</x:v>
      </x:c>
      <x:c r="J37" s="11" t="str">
        <x:v>Có chứng cứ cho thành tố</x:v>
      </x:c>
      <x:c r="K37" s="11" t="str">
        <x:v>Ủy viên [HV 委員]
Bộ [HV 部]
Chính trị [HV 政治]</x:v>
      </x:c>
      <x:c r="L37" s="11" t="str">
        <x:v>중앙정치국 [HH 中央政治局 *]
위원 [HH 委員]</x:v>
      </x:c>
      <x:c r="M37" s="11" t="str">
        <x:v>Có nguồn âm/chữ hoặc nguồn từ nguyên cho các thành tố dùng để quyết định nhãn; việc ghép thành thuật ngữ là phân tích của nghiên cứu.</x:v>
      </x:c>
      <x:c r="N3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37" s="11" t="str">
        <x:v>Hán Hàn</x:v>
      </x:c>
      <x:c r="P37" s="11" t="str"/>
      <x:c r="Q37" s="37" t="str">
        <x:v>ET033 (dòng 908)
ET005 (dòng 880)
ET034 (dòng 909)</x:v>
      </x:c>
      <x:c r="R37" s="37" t="str">
        <x:v>ET264 (dòng 1139)
ET239 (dòng 1114)
ET242 (dòng 1117)</x:v>
      </x:c>
      <x:c r="S37" s="11" t="str"/>
      <x:c r="T37" s="11" t="str">
        <x:v>Chưa đủ căn cứ đối chiếu</x:v>
      </x:c>
      <x:c r="U37" s="11" t="str">
        <x:v>N1 — Cá nhân</x:v>
      </x:c>
    </x:row>
    <x:row r="38" ht="85.5" customHeight="1">
      <x:c r="A38" s="14" t="n">
        <x:v>33</x:v>
      </x:c>
      <x:c r="B38" s="11" t="str">
        <x:v>T083</x:v>
      </x:c>
      <x:c r="C38" s="11" t="str">
        <x:v>Ủy viên Trung ương Đảng</x:v>
      </x:c>
      <x:c r="D38" s="11" t="str">
        <x:v>Hán Việt</x:v>
      </x:c>
      <x:c r="E38" s="11" t="str">
        <x:v>A — Có chứng cứ thành tố</x:v>
      </x:c>
      <x:c r="F38" s="11" t="str">
        <x:v>당 중앙위원회 위원</x:v>
      </x:c>
      <x:c r="G38" s="11" t="str">
        <x:v>Hán Hàn</x:v>
      </x:c>
      <x:c r="H38" s="11" t="str">
        <x:v>A — Có chứng cứ thành tố</x:v>
      </x:c>
      <x:c r="I38" s="11" t="str">
        <x:f>IF(AND(LEFT(E38,1)="A",LEFT(H38,1)="A"),"A/A — Có chứng cứ hai phía",IF(OR(LEFT(E38,1)="C",LEFT(H38,1)="C"),"C — Còn điểm chưa chốt",IF(AND(OR(LEFT(E38,1)="A",LEFT(E38,1)="B"),OR(LEFT(H38,1)="A",LEFT(H38,1)="B")),"B — Cần bổ sung chứng cứ","Kiểm tra mức chứng cứ")))</x:f>
        <x:v>A/A — Có chứng cứ hai phía</x:v>
      </x:c>
      <x:c r="J38" s="11" t="str">
        <x:v>Có chứng cứ cho thành tố</x:v>
      </x:c>
      <x:c r="K38" s="11" t="str">
        <x:v>Ủy viên [HV 委員]
Trung ương [HV 中央]
Đảng [HV 黨]</x:v>
      </x:c>
      <x:c r="L38" s="11" t="str">
        <x:v>당 [HH 黨]
중앙위원회 [HH 中央委員會]
위원 [HH 委員]</x:v>
      </x:c>
      <x:c r="M38" s="11" t="str">
        <x:v>Có nguồn âm/chữ hoặc nguồn từ nguyên cho các thành tố dùng để quyết định nhãn; việc ghép thành thuật ngữ là phân tích của nghiên cứu.</x:v>
      </x:c>
      <x:c r="N38" s="11" t="str">
        <x:v>Đã tìm thấy nguồn mục từ/thành tố ghi nguyên dạng hoặc lớp từ cho toàn bộ thành tố quyết định kết luận.</x:v>
      </x:c>
      <x:c r="O38" s="11" t="str">
        <x:v>Hán Hàn</x:v>
      </x:c>
      <x:c r="P38" s="11" t="str"/>
      <x:c r="Q38" s="37" t="str">
        <x:v>ET033 (dòng 908)
ET002 (dòng 877)
ET003 (dòng 878)</x:v>
      </x:c>
      <x:c r="R38" s="37" t="str">
        <x:v>ET238 (dòng 1113)
ET239 (dòng 1114)
ET242 (dòng 1117)</x:v>
      </x:c>
      <x:c r="S38" s="11" t="str"/>
      <x:c r="T38" s="11" t="str">
        <x:v>Xác nhận — cùng biểu thức Anh</x:v>
      </x:c>
      <x:c r="U38" s="11" t="str">
        <x:v>N1 — Cá nhân</x:v>
      </x:c>
    </x:row>
    <x:row r="39" ht="100.5" customHeight="1">
      <x:c r="A39" s="14" t="n">
        <x:v>34</x:v>
      </x:c>
      <x:c r="B39" s="11" t="str">
        <x:v>CGI003</x:v>
      </x:c>
      <x:c r="C39" s="11" t="str">
        <x:v>Ban Bí thư</x:v>
      </x:c>
      <x:c r="D39" s="11" t="str">
        <x:v>Hán Việt</x:v>
      </x:c>
      <x:c r="E39" s="11" t="str">
        <x:v>A — Có chứng cứ thành tố</x:v>
      </x:c>
      <x:c r="F39" s="11" t="str">
        <x:v>서기국</x:v>
      </x:c>
      <x:c r="G39" s="11" t="str">
        <x:v>Hán Hàn</x:v>
      </x:c>
      <x:c r="H39" s="11" t="str">
        <x:v>B — Phân tích tạm</x:v>
      </x:c>
      <x:c r="I39" s="11" t="str">
        <x:f>IF(AND(LEFT(E39,1)="A",LEFT(H39,1)="A"),"A/A — Có chứng cứ hai phía",IF(OR(LEFT(E39,1)="C",LEFT(H39,1)="C"),"C — Còn điểm chưa chốt",IF(AND(OR(LEFT(E39,1)="A",LEFT(E39,1)="B"),OR(LEFT(H39,1)="A",LEFT(H39,1)="B")),"B — Cần bổ sung chứng cứ","Kiểm tra mức chứng cứ")))</x:f>
        <x:v>B — Cần bổ sung chứng cứ</x:v>
      </x:c>
      <x:c r="J39" s="11" t="str">
        <x:v>Có chứng cứ cho thành tố</x:v>
      </x:c>
      <x:c r="K39" s="11" t="str">
        <x:v>Ban [HV 班]
Bí thư [HV 祕書]</x:v>
      </x:c>
      <x:c r="L39" s="11" t="str">
        <x:v>서기국 [HH 書記局 *]</x:v>
      </x:c>
      <x:c r="M39" s="11" t="str">
        <x:v>Có nguồn âm/chữ hoặc nguồn từ nguyên cho các thành tố dùng để quyết định nhãn; việc ghép thành thuật ngữ là phân tích của nghiên cứu.</x:v>
      </x:c>
      <x:c r="N3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39" s="11" t="str">
        <x:v>Hán Hàn</x:v>
      </x:c>
      <x:c r="P39" s="11" t="str"/>
      <x:c r="Q39" s="37" t="str">
        <x:v>ET013 (dòng 888)
ET001 (dòng 876)</x:v>
      </x:c>
      <x:c r="R39" s="37" t="str">
        <x:v>ET240 (dòng 1115)</x:v>
      </x:c>
      <x:c r="S39" s="11" t="str"/>
      <x:c r="T39" s="11" t="str">
        <x:v>Ứng viên — còn thiếu chứng cứ</x:v>
      </x:c>
      <x:c r="U39" s="11" t="str">
        <x:v>N2 — Cơ quan, tổ chức</x:v>
      </x:c>
    </x:row>
    <x:row r="40" ht="85.5" customHeight="1">
      <x:c r="A40" s="14" t="n">
        <x:v>35</x:v>
      </x:c>
      <x:c r="B40" s="11" t="str">
        <x:v>T113</x:v>
      </x:c>
      <x:c r="C40" s="11" t="str">
        <x:v>Ban Chấp hành Trung ương Đảng</x:v>
      </x:c>
      <x:c r="D40" s="11" t="str">
        <x:v>Hán Việt</x:v>
      </x:c>
      <x:c r="E40" s="11" t="str">
        <x:v>A — Có chứng cứ thành tố</x:v>
      </x:c>
      <x:c r="F40" s="11" t="str">
        <x:v>당 중앙위원회</x:v>
      </x:c>
      <x:c r="G40" s="11" t="str">
        <x:v>Hán Hàn</x:v>
      </x:c>
      <x:c r="H40" s="11" t="str">
        <x:v>A — Có chứng cứ thành tố</x:v>
      </x:c>
      <x:c r="I40" s="11" t="str">
        <x:f>IF(AND(LEFT(E40,1)="A",LEFT(H40,1)="A"),"A/A — Có chứng cứ hai phía",IF(OR(LEFT(E40,1)="C",LEFT(H40,1)="C"),"C — Còn điểm chưa chốt",IF(AND(OR(LEFT(E40,1)="A",LEFT(E40,1)="B"),OR(LEFT(H40,1)="A",LEFT(H40,1)="B")),"B — Cần bổ sung chứng cứ","Kiểm tra mức chứng cứ")))</x:f>
        <x:v>A/A — Có chứng cứ hai phía</x:v>
      </x:c>
      <x:c r="J40" s="11" t="str">
        <x:v>Có chứng cứ cho thành tố</x:v>
      </x:c>
      <x:c r="K40" s="11" t="str">
        <x:v>Ban [HV 班]
Chấp hành [HV 執行]
Trung ương [HV 中央]
Đảng [HV 黨]</x:v>
      </x:c>
      <x:c r="L40" s="11" t="str">
        <x:v>당 [HH 黨]
중앙위원회 [HH 中央委員會]</x:v>
      </x:c>
      <x:c r="M40" s="11" t="str">
        <x:v>Có nguồn âm/chữ hoặc nguồn từ nguyên cho các thành tố dùng để quyết định nhãn; việc ghép thành thuật ngữ là phân tích của nghiên cứu.</x:v>
      </x:c>
      <x:c r="N40" s="11" t="str">
        <x:v>Đã tìm thấy nguồn mục từ/thành tố ghi nguyên dạng hoặc lớp từ cho toàn bộ thành tố quyết định kết luận.</x:v>
      </x:c>
      <x:c r="O40" s="11" t="str">
        <x:v>Hán Hàn</x:v>
      </x:c>
      <x:c r="P40" s="11" t="str"/>
      <x:c r="Q40" s="37" t="str">
        <x:v>ET013 (dòng 888)
ET035 (dòng 910)
ET002 (dòng 877)
ET003 (dòng 878)</x:v>
      </x:c>
      <x:c r="R40" s="37" t="str">
        <x:v>ET238 (dòng 1113)
ET239 (dòng 1114)</x:v>
      </x:c>
      <x:c r="S40" s="11" t="str"/>
      <x:c r="T40" s="11" t="str">
        <x:v>Ứng viên — còn thiếu chứng cứ</x:v>
      </x:c>
      <x:c r="U40" s="11" t="str">
        <x:v>N2 — Cơ quan, tổ chức</x:v>
      </x:c>
    </x:row>
    <x:row r="41" ht="100.5" customHeight="1">
      <x:c r="A41" s="14" t="n">
        <x:v>36</x:v>
      </x:c>
      <x:c r="B41" s="11" t="str">
        <x:v>T124</x:v>
      </x:c>
      <x:c r="C41" s="11" t="str">
        <x:v>Ban Tổ chức Trung ương</x:v>
      </x:c>
      <x:c r="D41" s="11" t="str">
        <x:v>Hán Việt</x:v>
      </x:c>
      <x:c r="E41" s="11" t="str">
        <x:v>A — Có chứng cứ thành tố</x:v>
      </x:c>
      <x:c r="F41" s="11" t="str">
        <x:v>중앙조직위원회</x:v>
      </x:c>
      <x:c r="G41" s="11" t="str">
        <x:v>Hán Hàn</x:v>
      </x:c>
      <x:c r="H41" s="11" t="str">
        <x:v>B — Phân tích tạm</x:v>
      </x:c>
      <x:c r="I41" s="11" t="str">
        <x:f>IF(AND(LEFT(E41,1)="A",LEFT(H41,1)="A"),"A/A — Có chứng cứ hai phía",IF(OR(LEFT(E41,1)="C",LEFT(H41,1)="C"),"C — Còn điểm chưa chốt",IF(AND(OR(LEFT(E41,1)="A",LEFT(E41,1)="B"),OR(LEFT(H41,1)="A",LEFT(H41,1)="B")),"B — Cần bổ sung chứng cứ","Kiểm tra mức chứng cứ")))</x:f>
        <x:v>B — Cần bổ sung chứng cứ</x:v>
      </x:c>
      <x:c r="J41" s="11" t="str">
        <x:v>Có chứng cứ cho thành tố</x:v>
      </x:c>
      <x:c r="K41" s="11" t="str">
        <x:v>Ban [HV 班]
Tổ chức [HV 組織]
Trung ương [HV 中央]</x:v>
      </x:c>
      <x:c r="L41" s="11" t="str">
        <x:v>중앙조직위원회 [HH 中央組織委員會 *]</x:v>
      </x:c>
      <x:c r="M41" s="11" t="str">
        <x:v>Có nguồn âm/chữ hoặc nguồn từ nguyên cho các thành tố dùng để quyết định nhãn; việc ghép thành thuật ngữ là phân tích của nghiên cứu.</x:v>
      </x:c>
      <x:c r="N4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1" s="11" t="str">
        <x:v>Hán Hàn</x:v>
      </x:c>
      <x:c r="P41" s="11" t="str"/>
      <x:c r="Q41" s="37" t="str">
        <x:v>ET013 (dòng 888)
ET036 (dòng 911)
ET002 (dòng 877)</x:v>
      </x:c>
      <x:c r="R41" s="37" t="str">
        <x:v>ET256 (dòng 1131)
ET255 (dòng 1130)
ET242 (dòng 1117)
ET265 (dòng 1140)
ET239 (dòng 1114)</x:v>
      </x:c>
      <x:c r="S41" s="11" t="str"/>
      <x:c r="T41" s="11" t="str">
        <x:v>Ứng viên — còn thiếu chứng cứ</x:v>
      </x:c>
      <x:c r="U41" s="11" t="str">
        <x:v>N2 — Cơ quan, tổ chức</x:v>
      </x:c>
    </x:row>
    <x:row r="42" ht="100.5" customHeight="1">
      <x:c r="A42" s="14" t="n">
        <x:v>37</x:v>
      </x:c>
      <x:c r="B42" s="11" t="str">
        <x:v>T123</x:v>
      </x:c>
      <x:c r="C42" s="11" t="str">
        <x:v>Ban Tuyên giáo và Dân vận Trung ương</x:v>
      </x:c>
      <x:c r="D42" s="11" t="str">
        <x:v>Chưa chốt</x:v>
      </x:c>
      <x:c r="E42" s="11" t="str">
        <x:v>C — Chưa chốt từ nguyên</x:v>
      </x:c>
      <x:c r="F42" s="11" t="str">
        <x:v>당 중앙위 선전교육대중동원위원회</x:v>
      </x:c>
      <x:c r="G42" s="11" t="str">
        <x:v>Hán Hàn</x:v>
      </x:c>
      <x:c r="H42" s="11" t="str">
        <x:v>B — Phân tích tạm</x:v>
      </x:c>
      <x:c r="I42" s="11" t="str">
        <x:f>IF(AND(LEFT(E42,1)="A",LEFT(H42,1)="A"),"A/A — Có chứng cứ hai phía",IF(OR(LEFT(E42,1)="C",LEFT(H42,1)="C"),"C — Còn điểm chưa chốt",IF(AND(OR(LEFT(E42,1)="A",LEFT(E42,1)="B"),OR(LEFT(H42,1)="A",LEFT(H42,1)="B")),"B — Cần bổ sung chứng cứ","Kiểm tra mức chứng cứ")))</x:f>
        <x:v>C — Còn điểm chưa chốt</x:v>
      </x:c>
      <x:c r="J42" s="11" t="str">
        <x:v>Có chứng cứ cho thành tố</x:v>
      </x:c>
      <x:c r="K42" s="11" t="str">
        <x:v>Ban [HV 班]
Tuyên giáo [HV 宣教 *]
và [?]
Dân vận [HV 民運 *]
Trung ương [HV 中央]</x:v>
      </x:c>
      <x:c r="L42" s="11" t="str">
        <x:v>당 [HH 黨]
중앙위 [HH 中央委 *]
선전교육대중동원위원회 [HH 宣傳敎育大衆動員委員會 *]</x:v>
      </x:c>
      <x:c r="M42" s="11" t="str">
        <x:v>Có thành tố mà nguồn gốc/lớp vay mượn chưa đủ chắc; chưa dùng nhãn để chốt mẫu nghiên cứu.</x:v>
      </x:c>
      <x:c r="N4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2" s="11" t="str">
        <x:v>Hán Hàn</x:v>
      </x:c>
      <x:c r="P42" s="11" t="str"/>
      <x:c r="Q42" s="37" t="str">
        <x:v>ET013 (dòng 888)
ET026 (dòng 901)
ET002 (dòng 877)</x:v>
      </x:c>
      <x:c r="R42" s="37" t="str">
        <x:v>ET238 (dòng 1113)
ET239 (dòng 1114)
ET256 (dòng 1131)
ET255 (dòng 1130)
ET242 (dòng 1117)</x:v>
      </x:c>
      <x:c r="S42" s="11" t="str"/>
      <x:c r="T42" s="11" t="str">
        <x:v>Ứng viên — còn thiếu chứng cứ</x:v>
      </x:c>
      <x:c r="U42" s="11" t="str">
        <x:v>N2 — Cơ quan, tổ chức</x:v>
      </x:c>
    </x:row>
    <x:row r="43" ht="100.5" customHeight="1">
      <x:c r="A43" s="14" t="n">
        <x:v>38</x:v>
      </x:c>
      <x:c r="B43" s="11" t="str">
        <x:v>T107</x:v>
      </x:c>
      <x:c r="C43" s="11" t="str">
        <x:v>Bộ Chính trị</x:v>
      </x:c>
      <x:c r="D43" s="11" t="str">
        <x:v>Hán Việt</x:v>
      </x:c>
      <x:c r="E43" s="11" t="str">
        <x:v>A — Có chứng cứ thành tố</x:v>
      </x:c>
      <x:c r="F43" s="11" t="str">
        <x:v>중앙정치국</x:v>
      </x:c>
      <x:c r="G43" s="11" t="str">
        <x:v>Hán Hàn</x:v>
      </x:c>
      <x:c r="H43" s="11" t="str">
        <x:v>B — Phân tích tạm</x:v>
      </x:c>
      <x:c r="I43" s="11" t="str">
        <x:f>IF(AND(LEFT(E43,1)="A",LEFT(H43,1)="A"),"A/A — Có chứng cứ hai phía",IF(OR(LEFT(E43,1)="C",LEFT(H43,1)="C"),"C — Còn điểm chưa chốt",IF(AND(OR(LEFT(E43,1)="A",LEFT(E43,1)="B"),OR(LEFT(H43,1)="A",LEFT(H43,1)="B")),"B — Cần bổ sung chứng cứ","Kiểm tra mức chứng cứ")))</x:f>
        <x:v>B — Cần bổ sung chứng cứ</x:v>
      </x:c>
      <x:c r="J43" s="11" t="str">
        <x:v>Có chứng cứ cho thành tố</x:v>
      </x:c>
      <x:c r="K43" s="11" t="str">
        <x:v>Bộ [HV 部]
Chính trị [HV 政治]</x:v>
      </x:c>
      <x:c r="L43" s="11" t="str">
        <x:v>중앙정치국 [HH 中央政治局 *]</x:v>
      </x:c>
      <x:c r="M43" s="11" t="str">
        <x:v>Có nguồn âm/chữ hoặc nguồn từ nguyên cho các thành tố dùng để quyết định nhãn; việc ghép thành thuật ngữ là phân tích của nghiên cứu.</x:v>
      </x:c>
      <x:c r="N4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3" s="11" t="str">
        <x:v>Hán Hàn</x:v>
      </x:c>
      <x:c r="P43" s="11" t="str"/>
      <x:c r="Q43" s="37" t="str">
        <x:v>ET005 (dòng 880)
ET034 (dòng 909)</x:v>
      </x:c>
      <x:c r="R43" s="37" t="str">
        <x:v>ET264 (dòng 1139)
ET239 (dòng 1114)</x:v>
      </x:c>
      <x:c r="S43" s="11" t="str"/>
      <x:c r="T43" s="11" t="str">
        <x:v>Ứng viên — còn thiếu chứng cứ</x:v>
      </x:c>
      <x:c r="U43" s="11" t="str">
        <x:v>N2 — Cơ quan, tổ chức</x:v>
      </x:c>
    </x:row>
    <x:row r="44" ht="100.5" customHeight="1">
      <x:c r="A44" s="14" t="n">
        <x:v>39</x:v>
      </x:c>
      <x:c r="B44" s="11" t="str">
        <x:v>T119</x:v>
      </x:c>
      <x:c r="C44" s="11" t="str">
        <x:v>Bộ Công an</x:v>
      </x:c>
      <x:c r="D44" s="11" t="str">
        <x:v>Hán Việt</x:v>
      </x:c>
      <x:c r="E44" s="11" t="str">
        <x:v>A — Có chứng cứ thành tố</x:v>
      </x:c>
      <x:c r="F44" s="11" t="str">
        <x:v>공안부</x:v>
      </x:c>
      <x:c r="G44" s="11" t="str">
        <x:v>Hán Hàn</x:v>
      </x:c>
      <x:c r="H44" s="11" t="str">
        <x:v>B — Phân tích tạm</x:v>
      </x:c>
      <x:c r="I44" s="11" t="str">
        <x:f>IF(AND(LEFT(E44,1)="A",LEFT(H44,1)="A"),"A/A — Có chứng cứ hai phía",IF(OR(LEFT(E44,1)="C",LEFT(H44,1)="C"),"C — Còn điểm chưa chốt",IF(AND(OR(LEFT(E44,1)="A",LEFT(E44,1)="B"),OR(LEFT(H44,1)="A",LEFT(H44,1)="B")),"B — Cần bổ sung chứng cứ","Kiểm tra mức chứng cứ")))</x:f>
        <x:v>B — Cần bổ sung chứng cứ</x:v>
      </x:c>
      <x:c r="J44" s="11" t="str">
        <x:v>Có chứng cứ cho thành tố</x:v>
      </x:c>
      <x:c r="K44" s="11" t="str">
        <x:v>Bộ [HV 部]
Công an [HV 公安]</x:v>
      </x:c>
      <x:c r="L44" s="11" t="str">
        <x:v>공안부 [HH 公安部 *]</x:v>
      </x:c>
      <x:c r="M44" s="11" t="str">
        <x:v>Có nguồn âm/chữ hoặc nguồn từ nguyên cho các thành tố dùng để quyết định nhãn; việc ghép thành thuật ngữ là phân tích của nghiên cứu.</x:v>
      </x:c>
      <x:c r="N4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4" s="11" t="str">
        <x:v>Hán Hàn</x:v>
      </x:c>
      <x:c r="P44" s="11" t="str"/>
      <x:c r="Q44" s="37" t="str">
        <x:v>ET005 (dòng 880)
ET006 (dòng 881)</x:v>
      </x:c>
      <x:c r="R44" s="37" t="str">
        <x:v>ET243 (dòng 1118)</x:v>
      </x:c>
      <x:c r="S44" s="11" t="str"/>
      <x:c r="T44" s="11" t="str">
        <x:v>Có điều kiện — chưa chốt</x:v>
      </x:c>
      <x:c r="U44" s="11" t="str">
        <x:v>N2 — Cơ quan, tổ chức</x:v>
      </x:c>
    </x:row>
    <x:row r="45" ht="100.5" customHeight="1">
      <x:c r="A45" s="14" t="n">
        <x:v>40</x:v>
      </x:c>
      <x:c r="B45" s="11" t="str">
        <x:v>M025</x:v>
      </x:c>
      <x:c r="C45" s="11" t="str">
        <x:v>Bộ Công Thương</x:v>
      </x:c>
      <x:c r="D45" s="11" t="str">
        <x:v>Hán Việt</x:v>
      </x:c>
      <x:c r="E45" s="11" t="str">
        <x:v>A — Có chứng cứ thành tố</x:v>
      </x:c>
      <x:c r="F45" s="11" t="str">
        <x:v>베트남 산업통상부</x:v>
      </x:c>
      <x:c r="G45" s="11" t="str">
        <x:v>Hán Hàn + ngoại lai khác</x:v>
      </x:c>
      <x:c r="H45" s="11" t="str">
        <x:v>B — Phân tích tạm</x:v>
      </x:c>
      <x:c r="I45" s="11" t="str">
        <x:f>IF(AND(LEFT(E45,1)="A",LEFT(H45,1)="A"),"A/A — Có chứng cứ hai phía",IF(OR(LEFT(E45,1)="C",LEFT(H45,1)="C"),"C — Còn điểm chưa chốt",IF(AND(OR(LEFT(E45,1)="A",LEFT(E45,1)="B"),OR(LEFT(H45,1)="A",LEFT(H45,1)="B")),"B — Cần bổ sung chứng cứ","Kiểm tra mức chứng cứ")))</x:f>
        <x:v>B — Cần bổ sung chứng cứ</x:v>
      </x:c>
      <x:c r="J45" s="11" t="str">
        <x:v>Có chứng cứ cho thành tố</x:v>
      </x:c>
      <x:c r="K45" s="11" t="str">
        <x:v>Bộ [HV 部]
Công Thương [HV 工商]</x:v>
      </x:c>
      <x:c r="L45" s="11" t="str">
        <x:v>베트남 [NL]
산업통상부 [HH 産業通商部 *]</x:v>
      </x:c>
      <x:c r="M45" s="11" t="str">
        <x:v>Có nguồn âm/chữ hoặc nguồn từ nguyên cho các thành tố dùng để quyết định nhãn; việc ghép thành thuật ngữ là phân tích của nghiên cứu.</x:v>
      </x:c>
      <x:c r="N4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5" s="11" t="str">
        <x:v>Hán Hàn + ngoại lai khác</x:v>
      </x:c>
      <x:c r="P45" s="11" t="str">
        <x:v>Hàn: 베트남</x:v>
      </x:c>
      <x:c r="Q45" s="37" t="str">
        <x:v>ET005 (dòng 880)
ET037 (dòng 912)</x:v>
      </x:c>
      <x:c r="R45" s="37" t="str">
        <x:v>ET262 (dòng 1137)
ET243 (dòng 1118)</x:v>
      </x:c>
      <x:c r="S45" s="11" t="str"/>
      <x:c r="T45" s="11" t="str">
        <x:v>Xác nhận — cùng biểu thức Anh</x:v>
      </x:c>
      <x:c r="U45" s="11" t="str">
        <x:v>N2 — Cơ quan, tổ chức</x:v>
      </x:c>
    </x:row>
    <x:row r="46" ht="100.5" customHeight="1">
      <x:c r="A46" s="14" t="n">
        <x:v>41</x:v>
      </x:c>
      <x:c r="B46" s="11" t="str">
        <x:v>M023</x:v>
      </x:c>
      <x:c r="C46" s="11" t="str">
        <x:v>Bộ Khoa học và Công nghệ</x:v>
      </x:c>
      <x:c r="D46" s="11" t="str">
        <x:v>Chưa chốt</x:v>
      </x:c>
      <x:c r="E46" s="11" t="str">
        <x:v>C — Chưa chốt từ nguyên</x:v>
      </x:c>
      <x:c r="F46" s="11" t="str">
        <x:v>과학기술부</x:v>
      </x:c>
      <x:c r="G46" s="11" t="str">
        <x:v>Hán Hàn</x:v>
      </x:c>
      <x:c r="H46" s="11" t="str">
        <x:v>B — Phân tích tạm</x:v>
      </x:c>
      <x:c r="I46" s="11" t="str">
        <x:f>IF(AND(LEFT(E46,1)="A",LEFT(H46,1)="A"),"A/A — Có chứng cứ hai phía",IF(OR(LEFT(E46,1)="C",LEFT(H46,1)="C"),"C — Còn điểm chưa chốt",IF(AND(OR(LEFT(E46,1)="A",LEFT(E46,1)="B"),OR(LEFT(H46,1)="A",LEFT(H46,1)="B")),"B — Cần bổ sung chứng cứ","Kiểm tra mức chứng cứ")))</x:f>
        <x:v>C — Còn điểm chưa chốt</x:v>
      </x:c>
      <x:c r="J46" s="11" t="str">
        <x:v>Có chứng cứ cho thành tố</x:v>
      </x:c>
      <x:c r="K46" s="11" t="str">
        <x:v>Bộ [HV 部]
Khoa học [HV 科學]
và [?]
Công nghệ [HV 工藝]</x:v>
      </x:c>
      <x:c r="L46" s="11" t="str">
        <x:v>과학기술부 [HH 科學技術部 *]</x:v>
      </x:c>
      <x:c r="M46" s="11" t="str">
        <x:v>Có thành tố mà nguồn gốc/lớp vay mượn chưa đủ chắc; chưa dùng nhãn để chốt mẫu nghiên cứu.</x:v>
      </x:c>
      <x:c r="N4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6" s="11" t="str">
        <x:v>Hán Hàn</x:v>
      </x:c>
      <x:c r="P46" s="11" t="str"/>
      <x:c r="Q46" s="37" t="str">
        <x:v>ET005 (dòng 880)
ET038 (dòng 913)
ET026 (dòng 901)
ET039 (dòng 914)</x:v>
      </x:c>
      <x:c r="R46" s="37" t="str">
        <x:v>ET243 (dòng 1118)</x:v>
      </x:c>
      <x:c r="S46" s="11" t="str"/>
      <x:c r="T46" s="11" t="str">
        <x:v>Có điều kiện — chưa chốt</x:v>
      </x:c>
      <x:c r="U46" s="11" t="str">
        <x:v>N2 — Cơ quan, tổ chức</x:v>
      </x:c>
    </x:row>
    <x:row r="47" ht="100.5" customHeight="1">
      <x:c r="A47" s="14" t="n">
        <x:v>42</x:v>
      </x:c>
      <x:c r="B47" s="11" t="str">
        <x:v>T130</x:v>
      </x:c>
      <x:c r="C47" s="11" t="str">
        <x:v>bộ máy nhà nước</x:v>
      </x:c>
      <x:c r="D47" s="11" t="str">
        <x:v>Chưa chốt</x:v>
      </x:c>
      <x:c r="E47" s="11" t="str">
        <x:v>C — Chưa chốt từ nguyên</x:v>
      </x:c>
      <x:c r="F47" s="11" t="str">
        <x:v>국가기구</x:v>
      </x:c>
      <x:c r="G47" s="11" t="str">
        <x:v>Hán Hàn</x:v>
      </x:c>
      <x:c r="H47" s="11" t="str">
        <x:v>B — Phân tích tạm</x:v>
      </x:c>
      <x:c r="I47" s="11" t="str">
        <x:f>IF(AND(LEFT(E47,1)="A",LEFT(H47,1)="A"),"A/A — Có chứng cứ hai phía",IF(OR(LEFT(E47,1)="C",LEFT(H47,1)="C"),"C — Còn điểm chưa chốt",IF(AND(OR(LEFT(E47,1)="A",LEFT(E47,1)="B"),OR(LEFT(H47,1)="A",LEFT(H47,1)="B")),"B — Cần bổ sung chứng cứ","Kiểm tra mức chứng cứ")))</x:f>
        <x:v>C — Còn điểm chưa chốt</x:v>
      </x:c>
      <x:c r="J47" s="11" t="str">
        <x:v>Có chứng cứ cho thành tố</x:v>
      </x:c>
      <x:c r="K47" s="11" t="str">
        <x:v>bộ [HV 部]
máy [?]
nhà [TV]
nước [TV]</x:v>
      </x:c>
      <x:c r="L47" s="11" t="str">
        <x:v>국가기구 [HH 國家機構 *]</x:v>
      </x:c>
      <x:c r="M47" s="11" t="str">
        <x:v>Có thành tố mà nguồn gốc/lớp vay mượn chưa đủ chắc; chưa dùng nhãn để chốt mẫu nghiên cứu.
Có chắc chắn bộ gốc Hán và nhà/nước thuộc lớp Việt; thành tố máy chưa được truy nguyên riêng nên chưa chốt toàn cấu tạo.</x:v>
      </x:c>
      <x:c r="N4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7" s="11" t="str">
        <x:v>Hán Hàn</x:v>
      </x:c>
      <x:c r="P47" s="11" t="str"/>
      <x:c r="Q47" s="37" t="str">
        <x:v>ET005 (dòng 880)
ET040 (dòng 915)
ET010 (dòng 885)</x:v>
      </x:c>
      <x:c r="R47" s="37" t="str">
        <x:v>ET246 (dòng 1121)
ET247 (dòng 1122)
ET249 (dòng 1124)</x:v>
      </x:c>
      <x:c r="S47" s="11" t="str"/>
      <x:c r="T47" s="11" t="str">
        <x:v>Ứng viên — còn thiếu chứng cứ</x:v>
      </x:c>
      <x:c r="U47" s="11" t="str">
        <x:v>N2 — Cơ quan, tổ chức</x:v>
      </x:c>
    </x:row>
    <x:row r="48" ht="85.5" customHeight="1">
      <x:c r="A48" s="14" t="n">
        <x:v>43</x:v>
      </x:c>
      <x:c r="B48" s="11" t="str">
        <x:v>T120</x:v>
      </x:c>
      <x:c r="C48" s="11" t="str">
        <x:v>Bộ Ngoại giao</x:v>
      </x:c>
      <x:c r="D48" s="11" t="str">
        <x:v>Hán Việt</x:v>
      </x:c>
      <x:c r="E48" s="11" t="str">
        <x:v>A — Có chứng cứ thành tố</x:v>
      </x:c>
      <x:c r="F48" s="11" t="str">
        <x:v>외교부</x:v>
      </x:c>
      <x:c r="G48" s="11" t="str">
        <x:v>Hán Hàn</x:v>
      </x:c>
      <x:c r="H48" s="11" t="str">
        <x:v>A — Có chứng cứ thành tố</x:v>
      </x:c>
      <x:c r="I48" s="11" t="str">
        <x:f>IF(AND(LEFT(E48,1)="A",LEFT(H48,1)="A"),"A/A — Có chứng cứ hai phía",IF(OR(LEFT(E48,1)="C",LEFT(H48,1)="C"),"C — Còn điểm chưa chốt",IF(AND(OR(LEFT(E48,1)="A",LEFT(E48,1)="B"),OR(LEFT(H48,1)="A",LEFT(H48,1)="B")),"B — Cần bổ sung chứng cứ","Kiểm tra mức chứng cứ")))</x:f>
        <x:v>A/A — Có chứng cứ hai phía</x:v>
      </x:c>
      <x:c r="J48" s="11" t="str">
        <x:v>Có chứng cứ cho thành tố</x:v>
      </x:c>
      <x:c r="K48" s="11" t="str">
        <x:v>Bộ [HV 部]
Ngoại giao [HV 外交]</x:v>
      </x:c>
      <x:c r="L48" s="11" t="str">
        <x:v>외교부 [HH 外交部]</x:v>
      </x:c>
      <x:c r="M48" s="11" t="str">
        <x:v>Có nguồn âm/chữ hoặc nguồn từ nguyên cho các thành tố dùng để quyết định nhãn; việc ghép thành thuật ngữ là phân tích của nghiên cứu.</x:v>
      </x:c>
      <x:c r="N48" s="11" t="str">
        <x:v>Đã tìm thấy nguồn mục từ/thành tố ghi nguyên dạng hoặc lớp từ cho toàn bộ thành tố quyết định kết luận.</x:v>
      </x:c>
      <x:c r="O48" s="11" t="str">
        <x:v>Hán Hàn</x:v>
      </x:c>
      <x:c r="P48" s="11" t="str"/>
      <x:c r="Q48" s="37" t="str">
        <x:v>ET005 (dòng 880)
ET007 (dòng 882)</x:v>
      </x:c>
      <x:c r="R48" s="37" t="str">
        <x:v>ET244 (dòng 1119)</x:v>
      </x:c>
      <x:c r="S48" s="11" t="str"/>
      <x:c r="T48" s="11" t="str">
        <x:v>Ứng viên — còn thiếu chứng cứ</x:v>
      </x:c>
      <x:c r="U48" s="11" t="str">
        <x:v>N2 — Cơ quan, tổ chức</x:v>
      </x:c>
    </x:row>
    <x:row r="49" ht="100.5" customHeight="1">
      <x:c r="A49" s="14" t="n">
        <x:v>44</x:v>
      </x:c>
      <x:c r="B49" s="11" t="str">
        <x:v>T114</x:v>
      </x:c>
      <x:c r="C49" s="11" t="str">
        <x:v>Bộ Quốc phòng</x:v>
      </x:c>
      <x:c r="D49" s="11" t="str">
        <x:v>Hán Việt</x:v>
      </x:c>
      <x:c r="E49" s="11" t="str">
        <x:v>A — Có chứng cứ thành tố</x:v>
      </x:c>
      <x:c r="F49" s="11" t="str">
        <x:v>국방부</x:v>
      </x:c>
      <x:c r="G49" s="11" t="str">
        <x:v>Hán Hàn</x:v>
      </x:c>
      <x:c r="H49" s="11" t="str">
        <x:v>B — Phân tích tạm</x:v>
      </x:c>
      <x:c r="I49" s="11" t="str">
        <x:f>IF(AND(LEFT(E49,1)="A",LEFT(H49,1)="A"),"A/A — Có chứng cứ hai phía",IF(OR(LEFT(E49,1)="C",LEFT(H49,1)="C"),"C — Còn điểm chưa chốt",IF(AND(OR(LEFT(E49,1)="A",LEFT(E49,1)="B"),OR(LEFT(H49,1)="A",LEFT(H49,1)="B")),"B — Cần bổ sung chứng cứ","Kiểm tra mức chứng cứ")))</x:f>
        <x:v>B — Cần bổ sung chứng cứ</x:v>
      </x:c>
      <x:c r="J49" s="11" t="str">
        <x:v>Có chứng cứ cho thành tố</x:v>
      </x:c>
      <x:c r="K49" s="11" t="str">
        <x:v>Bộ [HV 部]
Quốc phòng [HV 國防]</x:v>
      </x:c>
      <x:c r="L49" s="11" t="str">
        <x:v>국방부 [HH 國防部 *]</x:v>
      </x:c>
      <x:c r="M49" s="11" t="str">
        <x:v>Có nguồn âm/chữ hoặc nguồn từ nguyên cho các thành tố dùng để quyết định nhãn; việc ghép thành thuật ngữ là phân tích của nghiên cứu.</x:v>
      </x:c>
      <x:c r="N4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49" s="11" t="str">
        <x:v>Hán Hàn</x:v>
      </x:c>
      <x:c r="P49" s="11" t="str"/>
      <x:c r="Q49" s="37" t="str">
        <x:v>ET005 (dòng 880)
ET008 (dòng 883)</x:v>
      </x:c>
      <x:c r="R49" s="37" t="str">
        <x:v>ET245 (dòng 1120)
ET243 (dòng 1118)</x:v>
      </x:c>
      <x:c r="S49" s="11" t="str"/>
      <x:c r="T49" s="11" t="str">
        <x:v>Ứng viên — còn thiếu chứng cứ</x:v>
      </x:c>
      <x:c r="U49" s="11" t="str">
        <x:v>N2 — Cơ quan, tổ chức</x:v>
      </x:c>
    </x:row>
    <x:row r="50" ht="100.5" customHeight="1">
      <x:c r="A50" s="14" t="n">
        <x:v>45</x:v>
      </x:c>
      <x:c r="B50" s="11" t="str">
        <x:v>M029</x:v>
      </x:c>
      <x:c r="C50" s="11" t="str">
        <x:v>Bộ Y tế</x:v>
      </x:c>
      <x:c r="D50" s="11" t="str">
        <x:v>Hán Việt</x:v>
      </x:c>
      <x:c r="E50" s="11" t="str">
        <x:v>A — Có chứng cứ thành tố</x:v>
      </x:c>
      <x:c r="F50" s="11" t="str">
        <x:v>베트남 보건부</x:v>
      </x:c>
      <x:c r="G50" s="11" t="str">
        <x:v>Hán Hàn + ngoại lai khác</x:v>
      </x:c>
      <x:c r="H50" s="11" t="str">
        <x:v>B — Phân tích tạm</x:v>
      </x:c>
      <x:c r="I50" s="11" t="str">
        <x:f>IF(AND(LEFT(E50,1)="A",LEFT(H50,1)="A"),"A/A — Có chứng cứ hai phía",IF(OR(LEFT(E50,1)="C",LEFT(H50,1)="C"),"C — Còn điểm chưa chốt",IF(AND(OR(LEFT(E50,1)="A",LEFT(E50,1)="B"),OR(LEFT(H50,1)="A",LEFT(H50,1)="B")),"B — Cần bổ sung chứng cứ","Kiểm tra mức chứng cứ")))</x:f>
        <x:v>B — Cần bổ sung chứng cứ</x:v>
      </x:c>
      <x:c r="J50" s="11" t="str">
        <x:v>Có chứng cứ cho thành tố</x:v>
      </x:c>
      <x:c r="K50" s="11" t="str">
        <x:v>Bộ [HV 部]
Y tế [HV 醫濟]</x:v>
      </x:c>
      <x:c r="L50" s="11" t="str">
        <x:v>베트남 [NL]
보건부 [HH 保健部 *]</x:v>
      </x:c>
      <x:c r="M50" s="11" t="str">
        <x:v>Có nguồn âm/chữ hoặc nguồn từ nguyên cho các thành tố dùng để quyết định nhãn; việc ghép thành thuật ngữ là phân tích của nghiên cứu.</x:v>
      </x:c>
      <x:c r="N5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0" s="11" t="str">
        <x:v>Hán Hàn + ngoại lai khác</x:v>
      </x:c>
      <x:c r="P50" s="11" t="str">
        <x:v>Hàn: 베트남</x:v>
      </x:c>
      <x:c r="Q50" s="37" t="str">
        <x:v>ET005 (dòng 880)
ET041 (dòng 916)</x:v>
      </x:c>
      <x:c r="R50" s="37" t="str">
        <x:v>ET262 (dòng 1137)
ET243 (dòng 1118)</x:v>
      </x:c>
      <x:c r="S50" s="11" t="str"/>
      <x:c r="T50" s="11" t="str">
        <x:v>Xác nhận — cùng biểu thức Anh</x:v>
      </x:c>
      <x:c r="U50" s="11" t="str">
        <x:v>N2 — Cơ quan, tổ chức</x:v>
      </x:c>
    </x:row>
    <x:row r="51" ht="100.5" customHeight="1">
      <x:c r="A51" s="14" t="n">
        <x:v>46</x:v>
      </x:c>
      <x:c r="B51" s="11" t="str">
        <x:v>M039</x:v>
      </x:c>
      <x:c r="C51" s="11" t="str">
        <x:v>Cảnh sát biển Việt Nam</x:v>
      </x:c>
      <x:c r="D51" s="11" t="str">
        <x:v>Hán Việt + thuần Việt</x:v>
      </x:c>
      <x:c r="E51" s="11" t="str">
        <x:v>A — Có chứng cứ thành tố</x:v>
      </x:c>
      <x:c r="F51" s="11" t="str">
        <x:v>베트남 해경</x:v>
      </x:c>
      <x:c r="G51" s="11" t="str">
        <x:v>Hán Hàn + ngoại lai khác</x:v>
      </x:c>
      <x:c r="H51" s="11" t="str">
        <x:v>B — Phân tích tạm</x:v>
      </x:c>
      <x:c r="I51" s="11" t="str">
        <x:f>IF(AND(LEFT(E51,1)="A",LEFT(H51,1)="A"),"A/A — Có chứng cứ hai phía",IF(OR(LEFT(E51,1)="C",LEFT(H51,1)="C"),"C — Còn điểm chưa chốt",IF(AND(OR(LEFT(E51,1)="A",LEFT(E51,1)="B"),OR(LEFT(H51,1)="A",LEFT(H51,1)="B")),"B — Cần bổ sung chứng cứ","Kiểm tra mức chứng cứ")))</x:f>
        <x:v>B — Cần bổ sung chứng cứ</x:v>
      </x:c>
      <x:c r="J51" s="11" t="str">
        <x:v>Có chứng cứ cho thành tố</x:v>
      </x:c>
      <x:c r="K51" s="11" t="str">
        <x:v>Cảnh sát [HV 警察]
biển [TV]
Việt Nam [HV 越南]</x:v>
      </x:c>
      <x:c r="L51" s="11" t="str">
        <x:v>베트남 [NL]
해경 [HH 海警 *]</x:v>
      </x:c>
      <x:c r="M51" s="11" t="str">
        <x:v>Có nguồn âm/chữ hoặc nguồn từ nguyên cho các thành tố dùng để quyết định nhãn; việc ghép thành thuật ngữ là phân tích của nghiên cứu.</x:v>
      </x:c>
      <x:c r="N5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1" s="11" t="str">
        <x:v>Hán Hàn + ngoại lai khác</x:v>
      </x:c>
      <x:c r="P51" s="11" t="str">
        <x:v>Việt: Việt Nam
Hàn: 베트남</x:v>
      </x:c>
      <x:c r="Q51" s="37" t="str">
        <x:v>ET042 (dòng 917)
ET043 (dòng 918)
ET044 (dòng 919)</x:v>
      </x:c>
      <x:c r="R51" s="37" t="str">
        <x:v>ET262 (dòng 1137)</x:v>
      </x:c>
      <x:c r="S51" s="11" t="str"/>
      <x:c r="T51" s="11" t="str">
        <x:v>Ứng viên — còn thiếu chứng cứ</x:v>
      </x:c>
      <x:c r="U51" s="11" t="str">
        <x:v>N2 — Cơ quan, tổ chức</x:v>
      </x:c>
    </x:row>
    <x:row r="52" ht="85.5" customHeight="1">
      <x:c r="A52" s="14" t="n">
        <x:v>47</x:v>
      </x:c>
      <x:c r="B52" s="11" t="str">
        <x:v>T105</x:v>
      </x:c>
      <x:c r="C52" s="11" t="str">
        <x:v>Chính phủ</x:v>
      </x:c>
      <x:c r="D52" s="11" t="str">
        <x:v>Hán Việt</x:v>
      </x:c>
      <x:c r="E52" s="11" t="str">
        <x:v>A — Có chứng cứ thành tố</x:v>
      </x:c>
      <x:c r="F52" s="11" t="str">
        <x:v>정부</x:v>
      </x:c>
      <x:c r="G52" s="11" t="str">
        <x:v>Hán Hàn</x:v>
      </x:c>
      <x:c r="H52" s="11" t="str">
        <x:v>A — Có chứng cứ thành tố</x:v>
      </x:c>
      <x:c r="I52" s="11" t="str">
        <x:f>IF(AND(LEFT(E52,1)="A",LEFT(H52,1)="A"),"A/A — Có chứng cứ hai phía",IF(OR(LEFT(E52,1)="C",LEFT(H52,1)="C"),"C — Còn điểm chưa chốt",IF(AND(OR(LEFT(E52,1)="A",LEFT(E52,1)="B"),OR(LEFT(H52,1)="A",LEFT(H52,1)="B")),"B — Cần bổ sung chứng cứ","Kiểm tra mức chứng cứ")))</x:f>
        <x:v>A/A — Có chứng cứ hai phía</x:v>
      </x:c>
      <x:c r="J52" s="11" t="str">
        <x:v>Có mục từ cả dạng biểu thức</x:v>
      </x:c>
      <x:c r="K52" s="11" t="str">
        <x:v>Chính phủ [HV 政府]</x:v>
      </x:c>
      <x:c r="L52" s="11" t="str">
        <x:v>정부 [HH 政府]</x:v>
      </x:c>
      <x:c r="M52" s="11" t="str">
        <x:v>Có nguồn âm/chữ hoặc nguồn từ nguyên cho các thành tố dùng để quyết định nhãn; việc ghép thành thuật ngữ là phân tích của nghiên cứu.</x:v>
      </x:c>
      <x:c r="N52" s="11" t="str">
        <x:v>Đã tìm thấy nguồn mục từ/thành tố ghi nguyên dạng hoặc lớp từ cho toàn bộ thành tố quyết định kết luận.</x:v>
      </x:c>
      <x:c r="O52" s="11" t="str">
        <x:v>Hán Hàn</x:v>
      </x:c>
      <x:c r="P52" s="11" t="str"/>
      <x:c r="Q52" s="37" t="str">
        <x:v>ET045 (dòng 920)</x:v>
      </x:c>
      <x:c r="R52" s="37" t="str">
        <x:v>ET266 (dòng 1141)</x:v>
      </x:c>
      <x:c r="S52" s="11" t="str"/>
      <x:c r="T52" s="11" t="str">
        <x:v>Ứng viên — còn thiếu chứng cứ</x:v>
      </x:c>
      <x:c r="U52" s="11" t="str">
        <x:v>N2 — Cơ quan, tổ chức</x:v>
      </x:c>
    </x:row>
    <x:row r="53" ht="100.5" customHeight="1">
      <x:c r="A53" s="14" t="n">
        <x:v>48</x:v>
      </x:c>
      <x:c r="B53" s="11" t="str">
        <x:v>M051</x:v>
      </x:c>
      <x:c r="C53" s="11" t="str">
        <x:v>cơ quan ngôn luận của Đảng</x:v>
      </x:c>
      <x:c r="D53" s="11" t="str">
        <x:v>Hán Việt + thuần Việt</x:v>
      </x:c>
      <x:c r="E53" s="11" t="str">
        <x:v>B — Phân tích tạm</x:v>
      </x:c>
      <x:c r="F53" s="11" t="str">
        <x:v>당 기관지</x:v>
      </x:c>
      <x:c r="G53" s="11" t="str">
        <x:v>Hán Hàn</x:v>
      </x:c>
      <x:c r="H53" s="11" t="str">
        <x:v>B — Phân tích tạm</x:v>
      </x:c>
      <x:c r="I53" s="11" t="str">
        <x:f>IF(AND(LEFT(E53,1)="A",LEFT(H53,1)="A"),"A/A — Có chứng cứ hai phía",IF(OR(LEFT(E53,1)="C",LEFT(H53,1)="C"),"C — Còn điểm chưa chốt",IF(AND(OR(LEFT(E53,1)="A",LEFT(E53,1)="B"),OR(LEFT(H53,1)="A",LEFT(H53,1)="B")),"B — Cần bổ sung chứng cứ","Kiểm tra mức chứng cứ")))</x:f>
        <x:v>B — Cần bổ sung chứng cứ</x:v>
      </x:c>
      <x:c r="J53" s="11" t="str">
        <x:v>Có chứng cứ cho thành tố</x:v>
      </x:c>
      <x:c r="K53" s="11" t="str">
        <x:v>cơ quan [HV 機關]
ngôn luận [HV 言論]
của [TV]
Đảng [HV 黨]</x:v>
      </x:c>
      <x:c r="L53" s="11" t="str">
        <x:v>당 [HH 黨]
기관지 [HH 機關紙 *]</x:v>
      </x:c>
      <x:c r="M53" s="11" t="str">
        <x:v>Phân tích cấu tạo theo thành tố; còn phần chưa có chứng cứ từ nguyên trực tiếp, xem cột ghi chú.</x:v>
      </x:c>
      <x:c r="N5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3" s="11" t="str">
        <x:v>Hán Hàn</x:v>
      </x:c>
      <x:c r="P53" s="11" t="str"/>
      <x:c r="Q53" s="37" t="str">
        <x:v>ET046 (dòng 921)
ET047 (dòng 922)
ET003 (dòng 878)</x:v>
      </x:c>
      <x:c r="R53" s="37" t="str">
        <x:v>ET238 (dòng 1113)
ET239 (dòng 1114)</x:v>
      </x:c>
      <x:c r="S53" s="11" t="str"/>
      <x:c r="T53" s="11" t="str">
        <x:v>Lệch nghĩa / phạm vi</x:v>
      </x:c>
      <x:c r="U53" s="11" t="str">
        <x:v>N2 — Cơ quan, tổ chức</x:v>
      </x:c>
    </x:row>
    <x:row r="54" ht="100.5" customHeight="1">
      <x:c r="A54" s="14" t="n">
        <x:v>49</x:v>
      </x:c>
      <x:c r="B54" s="11" t="str">
        <x:v>T171</x:v>
      </x:c>
      <x:c r="C54" s="11" t="str">
        <x:v>Đại hội đồng Liên hợp quốc</x:v>
      </x:c>
      <x:c r="D54" s="11" t="str">
        <x:v>Hán Việt</x:v>
      </x:c>
      <x:c r="E54" s="11" t="str">
        <x:v>A — Có chứng cứ thành tố</x:v>
      </x:c>
      <x:c r="F54" s="11" t="str">
        <x:v>유엔 총회</x:v>
      </x:c>
      <x:c r="G54" s="11" t="str">
        <x:v>Hán Hàn + ngoại lai khác</x:v>
      </x:c>
      <x:c r="H54" s="11" t="str">
        <x:v>B — Phân tích tạm</x:v>
      </x:c>
      <x:c r="I54" s="11" t="str">
        <x:f>IF(AND(LEFT(E54,1)="A",LEFT(H54,1)="A"),"A/A — Có chứng cứ hai phía",IF(OR(LEFT(E54,1)="C",LEFT(H54,1)="C"),"C — Còn điểm chưa chốt",IF(AND(OR(LEFT(E54,1)="A",LEFT(E54,1)="B"),OR(LEFT(H54,1)="A",LEFT(H54,1)="B")),"B — Cần bổ sung chứng cứ","Kiểm tra mức chứng cứ")))</x:f>
        <x:v>B — Cần bổ sung chứng cứ</x:v>
      </x:c>
      <x:c r="J54" s="11" t="str">
        <x:v>Có chứng cứ cho thành tố</x:v>
      </x:c>
      <x:c r="K54" s="11" t="str">
        <x:v>Đại [HV 大]
hội đồng [HV 會同]
Liên hợp [HV 聯合]
quốc [HV 國]</x:v>
      </x:c>
      <x:c r="L54" s="11" t="str">
        <x:v>유엔 [NL]
총회 [HH 總會 *]</x:v>
      </x:c>
      <x:c r="M54" s="11" t="str">
        <x:v>Có nguồn âm/chữ hoặc nguồn từ nguyên cho các thành tố dùng để quyết định nhãn; việc ghép thành thuật ngữ là phân tích của nghiên cứu.</x:v>
      </x:c>
      <x:c r="N5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4" s="11" t="str">
        <x:v>Hán Hàn + ngoại lai khác</x:v>
      </x:c>
      <x:c r="P54" s="11" t="str">
        <x:v>Hàn: 유엔</x:v>
      </x:c>
      <x:c r="Q54" s="37" t="str">
        <x:v>ET048 (dòng 923)
ET016 (dòng 891)
ET049 (dòng 924)
ET050 (dòng 925)</x:v>
      </x:c>
      <x:c r="R54" s="37" t="str">
        <x:v>ET257 (dòng 1132)</x:v>
      </x:c>
      <x:c r="S54" s="11" t="str"/>
      <x:c r="T54" s="11" t="str">
        <x:v>Tương ứng — biến thể Anh</x:v>
      </x:c>
      <x:c r="U54" s="11" t="str">
        <x:v>N2 — Cơ quan, tổ chức</x:v>
      </x:c>
    </x:row>
    <x:row r="55" ht="100.5" customHeight="1">
      <x:c r="A55" s="14" t="n">
        <x:v>50</x:v>
      </x:c>
      <x:c r="B55" s="11" t="str">
        <x:v>M037</x:v>
      </x:c>
      <x:c r="C55" s="11" t="str">
        <x:v>đại sứ quán</x:v>
      </x:c>
      <x:c r="D55" s="11" t="str">
        <x:v>Hán Việt</x:v>
      </x:c>
      <x:c r="E55" s="11" t="str">
        <x:v>A — Có chứng cứ thành tố</x:v>
      </x:c>
      <x:c r="F55" s="11" t="str">
        <x:v>대사관</x:v>
      </x:c>
      <x:c r="G55" s="11" t="str">
        <x:v>Hán Hàn</x:v>
      </x:c>
      <x:c r="H55" s="11" t="str">
        <x:v>B — Phân tích tạm</x:v>
      </x:c>
      <x:c r="I55" s="11" t="str">
        <x:f>IF(AND(LEFT(E55,1)="A",LEFT(H55,1)="A"),"A/A — Có chứng cứ hai phía",IF(OR(LEFT(E55,1)="C",LEFT(H55,1)="C"),"C — Còn điểm chưa chốt",IF(AND(OR(LEFT(E55,1)="A",LEFT(E55,1)="B"),OR(LEFT(H55,1)="A",LEFT(H55,1)="B")),"B — Cần bổ sung chứng cứ","Kiểm tra mức chứng cứ")))</x:f>
        <x:v>B — Cần bổ sung chứng cứ</x:v>
      </x:c>
      <x:c r="J55" s="11" t="str">
        <x:v>Có chứng cứ cho thành tố</x:v>
      </x:c>
      <x:c r="K55" s="11" t="str">
        <x:v>đại sứ [HV 大使]
quán [HV 館]</x:v>
      </x:c>
      <x:c r="L55" s="11" t="str">
        <x:v>대사관 [HH 大使館 *]</x:v>
      </x:c>
      <x:c r="M55" s="11" t="str">
        <x:v>Có nguồn âm/chữ hoặc nguồn từ nguyên cho các thành tố dùng để quyết định nhãn; việc ghép thành thuật ngữ là phân tích của nghiên cứu.</x:v>
      </x:c>
      <x:c r="N5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5" s="11" t="str">
        <x:v>Hán Hàn</x:v>
      </x:c>
      <x:c r="P55" s="11" t="str"/>
      <x:c r="Q55" s="37" t="str">
        <x:v>ET017 (dòng 892)
ET051 (dòng 926)</x:v>
      </x:c>
      <x:c r="R55" s="37" t="str">
        <x:v>ET251 (dòng 1126)</x:v>
      </x:c>
      <x:c r="S55" s="11" t="str"/>
      <x:c r="T55" s="11" t="str">
        <x:v>Xác nhận — cùng biểu thức Anh</x:v>
      </x:c>
      <x:c r="U55" s="11" t="str">
        <x:v>N2 — Cơ quan, tổ chức</x:v>
      </x:c>
    </x:row>
    <x:row r="56" ht="85.5" customHeight="1">
      <x:c r="A56" s="14" t="n">
        <x:v>51</x:v>
      </x:c>
      <x:c r="B56" s="11" t="str">
        <x:v>T110</x:v>
      </x:c>
      <x:c r="C56" s="11" t="str">
        <x:v>đảng bộ</x:v>
      </x:c>
      <x:c r="D56" s="11" t="str">
        <x:v>Hán Việt</x:v>
      </x:c>
      <x:c r="E56" s="11" t="str">
        <x:v>B — Phân tích tạm</x:v>
      </x:c>
      <x:c r="F56" s="11" t="str">
        <x:v>당 조직</x:v>
      </x:c>
      <x:c r="G56" s="11" t="str">
        <x:v>Hán Hàn</x:v>
      </x:c>
      <x:c r="H56" s="11" t="str">
        <x:v>A — Có chứng cứ thành tố</x:v>
      </x:c>
      <x:c r="I56" s="11" t="str">
        <x:f>IF(AND(LEFT(E56,1)="A",LEFT(H56,1)="A"),"A/A — Có chứng cứ hai phía",IF(OR(LEFT(E56,1)="C",LEFT(H56,1)="C"),"C — Còn điểm chưa chốt",IF(AND(OR(LEFT(E56,1)="A",LEFT(E56,1)="B"),OR(LEFT(H56,1)="A",LEFT(H56,1)="B")),"B — Cần bổ sung chứng cứ","Kiểm tra mức chứng cứ")))</x:f>
        <x:v>B — Cần bổ sung chứng cứ</x:v>
      </x:c>
      <x:c r="J56" s="11" t="str">
        <x:v>Chưa có chứng cứ HVDic trong lượt này</x:v>
      </x:c>
      <x:c r="K56" s="11" t="str">
        <x:v>đảng bộ [HV 黨部 *]</x:v>
      </x:c>
      <x:c r="L56" s="11" t="str">
        <x:v>당 [HH 黨]
조직 [HH 組織]</x:v>
      </x:c>
      <x:c r="M56" s="11" t="str">
        <x:v>Phân tích cấu tạo theo thành tố; còn phần chưa có chứng cứ từ nguyên trực tiếp, xem cột ghi chú.</x:v>
      </x:c>
      <x:c r="N56" s="11" t="str">
        <x:v>Đã tìm thấy nguồn mục từ/thành tố ghi nguyên dạng hoặc lớp từ cho toàn bộ thành tố quyết định kết luận.</x:v>
      </x:c>
      <x:c r="O56" s="11" t="str">
        <x:v>Hán Hàn</x:v>
      </x:c>
      <x:c r="P56" s="11" t="str"/>
      <x:c r="Q56" s="37" t="str">
        <x:v>Chưa có nguồn từ nguyên cụ thể trong lượt này</x:v>
      </x:c>
      <x:c r="R56" s="37" t="str">
        <x:v>ET238 (dòng 1113)
ET239 (dòng 1114)
ET265 (dòng 1140)</x:v>
      </x:c>
      <x:c r="S56" s="11" t="str"/>
      <x:c r="T56" s="11" t="str">
        <x:v>Lệch nghĩa / phạm vi</x:v>
      </x:c>
      <x:c r="U56" s="11" t="str">
        <x:v>N2 — Cơ quan, tổ chức</x:v>
      </x:c>
    </x:row>
    <x:row r="57" ht="85.5" customHeight="1">
      <x:c r="A57" s="14" t="n">
        <x:v>52</x:v>
      </x:c>
      <x:c r="B57" s="11" t="str">
        <x:v>T109</x:v>
      </x:c>
      <x:c r="C57" s="11" t="str">
        <x:v>Đảng Cộng sản</x:v>
      </x:c>
      <x:c r="D57" s="11" t="str">
        <x:v>Hán Việt</x:v>
      </x:c>
      <x:c r="E57" s="11" t="str">
        <x:v>A — Có chứng cứ thành tố</x:v>
      </x:c>
      <x:c r="F57" s="11" t="str">
        <x:v>공산당</x:v>
      </x:c>
      <x:c r="G57" s="11" t="str">
        <x:v>Hán Hàn</x:v>
      </x:c>
      <x:c r="H57" s="11" t="str">
        <x:v>A — Có chứng cứ thành tố</x:v>
      </x:c>
      <x:c r="I57" s="11" t="str">
        <x:f>IF(AND(LEFT(E57,1)="A",LEFT(H57,1)="A"),"A/A — Có chứng cứ hai phía",IF(OR(LEFT(E57,1)="C",LEFT(H57,1)="C"),"C — Còn điểm chưa chốt",IF(AND(OR(LEFT(E57,1)="A",LEFT(E57,1)="B"),OR(LEFT(H57,1)="A",LEFT(H57,1)="B")),"B — Cần bổ sung chứng cứ","Kiểm tra mức chứng cứ")))</x:f>
        <x:v>A/A — Có chứng cứ hai phía</x:v>
      </x:c>
      <x:c r="J57" s="11" t="str">
        <x:v>Có chứng cứ cho thành tố</x:v>
      </x:c>
      <x:c r="K57" s="11" t="str">
        <x:v>Đảng [HV 黨]
Cộng sản [HV 共產]</x:v>
      </x:c>
      <x:c r="L57" s="11" t="str">
        <x:v>공산당 [HH 共産黨]</x:v>
      </x:c>
      <x:c r="M57" s="11" t="str">
        <x:v>Có nguồn âm/chữ hoặc nguồn từ nguyên cho các thành tố dùng để quyết định nhãn; việc ghép thành thuật ngữ là phân tích của nghiên cứu.</x:v>
      </x:c>
      <x:c r="N57" s="11" t="str">
        <x:v>Đã tìm thấy nguồn mục từ/thành tố ghi nguyên dạng hoặc lớp từ cho toàn bộ thành tố quyết định kết luận.</x:v>
      </x:c>
      <x:c r="O57" s="11" t="str">
        <x:v>Hán Hàn</x:v>
      </x:c>
      <x:c r="P57" s="11" t="str"/>
      <x:c r="Q57" s="37" t="str">
        <x:v>ET003 (dòng 878)
ET052 (dòng 927)</x:v>
      </x:c>
      <x:c r="R57" s="37" t="str">
        <x:v>ET263 (dòng 1138)</x:v>
      </x:c>
      <x:c r="S57" s="11" t="str"/>
      <x:c r="T57" s="11" t="str">
        <x:v>Ứng viên — còn thiếu chứng cứ</x:v>
      </x:c>
      <x:c r="U57" s="11" t="str">
        <x:v>N2 — Cơ quan, tổ chức</x:v>
      </x:c>
    </x:row>
    <x:row r="58" ht="85.5" customHeight="1">
      <x:c r="A58" s="14" t="n">
        <x:v>53</x:v>
      </x:c>
      <x:c r="B58" s="11" t="str">
        <x:v>T111</x:v>
      </x:c>
      <x:c r="C58" s="11" t="str">
        <x:v>Đảng Cộng sản Việt Nam</x:v>
      </x:c>
      <x:c r="D58" s="11" t="str">
        <x:v>Hán Việt</x:v>
      </x:c>
      <x:c r="E58" s="11" t="str">
        <x:v>A — Có chứng cứ thành tố</x:v>
      </x:c>
      <x:c r="F58" s="11" t="str">
        <x:v>베트남 공산당</x:v>
      </x:c>
      <x:c r="G58" s="11" t="str">
        <x:v>Hán Hàn + ngoại lai khác</x:v>
      </x:c>
      <x:c r="H58" s="11" t="str">
        <x:v>A — Có chứng cứ thành tố</x:v>
      </x:c>
      <x:c r="I58" s="11" t="str">
        <x:f>IF(AND(LEFT(E58,1)="A",LEFT(H58,1)="A"),"A/A — Có chứng cứ hai phía",IF(OR(LEFT(E58,1)="C",LEFT(H58,1)="C"),"C — Còn điểm chưa chốt",IF(AND(OR(LEFT(E58,1)="A",LEFT(E58,1)="B"),OR(LEFT(H58,1)="A",LEFT(H58,1)="B")),"B — Cần bổ sung chứng cứ","Kiểm tra mức chứng cứ")))</x:f>
        <x:v>A/A — Có chứng cứ hai phía</x:v>
      </x:c>
      <x:c r="J58" s="11" t="str">
        <x:v>Có chứng cứ cho thành tố</x:v>
      </x:c>
      <x:c r="K58" s="11" t="str">
        <x:v>Đảng [HV 黨]
Cộng sản [HV 共產]
Việt Nam [HV 越南]</x:v>
      </x:c>
      <x:c r="L58" s="11" t="str">
        <x:v>베트남 [NL]
공산당 [HH 共産黨]</x:v>
      </x:c>
      <x:c r="M58" s="11" t="str">
        <x:v>Có nguồn âm/chữ hoặc nguồn từ nguyên cho các thành tố dùng để quyết định nhãn; việc ghép thành thuật ngữ là phân tích của nghiên cứu.</x:v>
      </x:c>
      <x:c r="N58" s="11" t="str">
        <x:v>Đã tìm thấy nguồn mục từ/thành tố ghi nguyên dạng hoặc lớp từ cho toàn bộ thành tố quyết định kết luận.</x:v>
      </x:c>
      <x:c r="O58" s="11" t="str">
        <x:v>Hán Hàn + ngoại lai khác</x:v>
      </x:c>
      <x:c r="P58" s="11" t="str">
        <x:v>Việt: Việt Nam
Hàn: 베트남</x:v>
      </x:c>
      <x:c r="Q58" s="37" t="str">
        <x:v>ET003 (dòng 878)
ET052 (dòng 927)
ET044 (dòng 919)</x:v>
      </x:c>
      <x:c r="R58" s="37" t="str">
        <x:v>ET262 (dòng 1137)
ET263 (dòng 1138)</x:v>
      </x:c>
      <x:c r="S58" s="11" t="str"/>
      <x:c r="T58" s="11" t="str">
        <x:v>Tương ứng — biến thể Anh</x:v>
      </x:c>
      <x:c r="U58" s="11" t="str">
        <x:v>N2 — Cơ quan, tổ chức</x:v>
      </x:c>
    </x:row>
    <x:row r="59" ht="100.5" customHeight="1">
      <x:c r="A59" s="14" t="n">
        <x:v>54</x:v>
      </x:c>
      <x:c r="B59" s="11" t="str">
        <x:v>T125</x:v>
      </x:c>
      <x:c r="C59" s="11" t="str">
        <x:v>Đảng Nhân dân Cách mạng Lào</x:v>
      </x:c>
      <x:c r="D59" s="11" t="str">
        <x:v>Hán Việt + ngoại lai khác</x:v>
      </x:c>
      <x:c r="E59" s="11" t="str">
        <x:v>B — Phân tích tạm</x:v>
      </x:c>
      <x:c r="F59" s="11" t="str">
        <x:v>라오인민혁명당</x:v>
      </x:c>
      <x:c r="G59" s="11" t="str">
        <x:v>Hán Hàn + ngoại lai khác</x:v>
      </x:c>
      <x:c r="H59" s="11" t="str">
        <x:v>B — Phân tích tạm</x:v>
      </x:c>
      <x:c r="I59" s="11" t="str">
        <x:f>IF(AND(LEFT(E59,1)="A",LEFT(H59,1)="A"),"A/A — Có chứng cứ hai phía",IF(OR(LEFT(E59,1)="C",LEFT(H59,1)="C"),"C — Còn điểm chưa chốt",IF(AND(OR(LEFT(E59,1)="A",LEFT(E59,1)="B"),OR(LEFT(H59,1)="A",LEFT(H59,1)="B")),"B — Cần bổ sung chứng cứ","Kiểm tra mức chứng cứ")))</x:f>
        <x:v>B — Cần bổ sung chứng cứ</x:v>
      </x:c>
      <x:c r="J59" s="11" t="str">
        <x:v>Có chứng cứ cho thành tố</x:v>
      </x:c>
      <x:c r="K59" s="11" t="str">
        <x:v>Đảng [HV 黨]
Nhân dân [HV 人民]
Cách mạng [HV 革命]
Lào [NL]</x:v>
      </x:c>
      <x:c r="L59" s="11" t="str">
        <x:v>라오 [NL]
인민혁명당 [HH 人民革命黨 *]</x:v>
      </x:c>
      <x:c r="M59" s="11" t="str">
        <x:v>Phân tích cấu tạo theo thành tố; còn phần chưa có chứng cứ từ nguyên trực tiếp, xem cột ghi chú.</x:v>
      </x:c>
      <x:c r="N5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59" s="11" t="str">
        <x:v>Hán Hàn + ngoại lai khác</x:v>
      </x:c>
      <x:c r="P59" s="11" t="str">
        <x:v>Việt: Lào
Hàn: 라오</x:v>
      </x:c>
      <x:c r="Q59" s="37" t="str">
        <x:v>ET003 (dòng 878)
ET014 (dòng 889)
ET053 (dòng 928)</x:v>
      </x:c>
      <x:c r="R59" s="37" t="str">
        <x:v>ET249 (dòng 1124)
ET238 (dòng 1113)
ET239 (dòng 1114)</x:v>
      </x:c>
      <x:c r="S59" s="11" t="str"/>
      <x:c r="T59" s="11" t="str">
        <x:v>Ứng viên — còn thiếu chứng cứ</x:v>
      </x:c>
      <x:c r="U59" s="11" t="str">
        <x:v>N2 — Cơ quan, tổ chức</x:v>
      </x:c>
    </x:row>
    <x:row r="60" ht="100.5" customHeight="1">
      <x:c r="A60" s="14" t="n">
        <x:v>55</x:v>
      </x:c>
      <x:c r="B60" s="11" t="str">
        <x:v>T128</x:v>
      </x:c>
      <x:c r="C60" s="11" t="str">
        <x:v>Đảng Nhân dân Campuchia</x:v>
      </x:c>
      <x:c r="D60" s="11" t="str">
        <x:v>Hán Việt + ngoại lai khác</x:v>
      </x:c>
      <x:c r="E60" s="11" t="str">
        <x:v>B — Phân tích tạm</x:v>
      </x:c>
      <x:c r="F60" s="11" t="str">
        <x:v>캄보디아 인민당</x:v>
      </x:c>
      <x:c r="G60" s="11" t="str">
        <x:v>Hán Hàn + ngoại lai khác</x:v>
      </x:c>
      <x:c r="H60" s="11" t="str">
        <x:v>B — Phân tích tạm</x:v>
      </x:c>
      <x:c r="I60" s="11" t="str">
        <x:f>IF(AND(LEFT(E60,1)="A",LEFT(H60,1)="A"),"A/A — Có chứng cứ hai phía",IF(OR(LEFT(E60,1)="C",LEFT(H60,1)="C"),"C — Còn điểm chưa chốt",IF(AND(OR(LEFT(E60,1)="A",LEFT(E60,1)="B"),OR(LEFT(H60,1)="A",LEFT(H60,1)="B")),"B — Cần bổ sung chứng cứ","Kiểm tra mức chứng cứ")))</x:f>
        <x:v>B — Cần bổ sung chứng cứ</x:v>
      </x:c>
      <x:c r="J60" s="11" t="str">
        <x:v>Có chứng cứ cho thành tố</x:v>
      </x:c>
      <x:c r="K60" s="11" t="str">
        <x:v>Đảng [HV 黨]
Nhân dân [HV 人民]
Campuchia [NL]</x:v>
      </x:c>
      <x:c r="L60" s="11" t="str">
        <x:v>캄보디아 [NL]
인민당 [HH 人民黨 *]</x:v>
      </x:c>
      <x:c r="M60" s="11" t="str">
        <x:v>Phân tích cấu tạo theo thành tố; còn phần chưa có chứng cứ từ nguyên trực tiếp, xem cột ghi chú.</x:v>
      </x:c>
      <x:c r="N6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60" s="11" t="str">
        <x:v>Hán Hàn + ngoại lai khác</x:v>
      </x:c>
      <x:c r="P60" s="11" t="str">
        <x:v>Việt: Campuchia
Hàn: 캄보디아</x:v>
      </x:c>
      <x:c r="Q60" s="37" t="str">
        <x:v>ET003 (dòng 878)
ET014 (dòng 889)</x:v>
      </x:c>
      <x:c r="R60" s="37" t="str">
        <x:v>ET249 (dòng 1124)
ET238 (dòng 1113)
ET239 (dòng 1114)</x:v>
      </x:c>
      <x:c r="S60" s="11" t="str"/>
      <x:c r="T60" s="11" t="str">
        <x:v>Ứng viên — còn thiếu chứng cứ</x:v>
      </x:c>
      <x:c r="U60" s="11" t="str">
        <x:v>N2 — Cơ quan, tổ chức</x:v>
      </x:c>
    </x:row>
    <x:row r="61" ht="100.5" customHeight="1">
      <x:c r="A61" s="14" t="n">
        <x:v>56</x:v>
      </x:c>
      <x:c r="B61" s="11" t="str">
        <x:v>T108</x:v>
      </x:c>
      <x:c r="C61" s="11" t="str">
        <x:v>Đảng ủy</x:v>
      </x:c>
      <x:c r="D61" s="11" t="str">
        <x:v>Hán Việt</x:v>
      </x:c>
      <x:c r="E61" s="11" t="str">
        <x:v>B — Phân tích tạm</x:v>
      </x:c>
      <x:c r="F61" s="11" t="str">
        <x:v>당위원회</x:v>
      </x:c>
      <x:c r="G61" s="11" t="str">
        <x:v>Hán Hàn</x:v>
      </x:c>
      <x:c r="H61" s="11" t="str">
        <x:v>B — Phân tích tạm</x:v>
      </x:c>
      <x:c r="I61" s="11" t="str">
        <x:f>IF(AND(LEFT(E61,1)="A",LEFT(H61,1)="A"),"A/A — Có chứng cứ hai phía",IF(OR(LEFT(E61,1)="C",LEFT(H61,1)="C"),"C — Còn điểm chưa chốt",IF(AND(OR(LEFT(E61,1)="A",LEFT(E61,1)="B"),OR(LEFT(H61,1)="A",LEFT(H61,1)="B")),"B — Cần bổ sung chứng cứ","Kiểm tra mức chứng cứ")))</x:f>
        <x:v>B — Cần bổ sung chứng cứ</x:v>
      </x:c>
      <x:c r="J61" s="11" t="str">
        <x:v>Chưa có chứng cứ HVDic trong lượt này</x:v>
      </x:c>
      <x:c r="K61" s="11" t="str">
        <x:v>Đảng ủy [HV 黨委 *]</x:v>
      </x:c>
      <x:c r="L61" s="11" t="str">
        <x:v>당위원회 [HH 黨委員會 *]</x:v>
      </x:c>
      <x:c r="M61" s="11" t="str">
        <x:v>Phân tích cấu tạo theo thành tố; còn phần chưa có chứng cứ từ nguyên trực tiếp, xem cột ghi chú.</x:v>
      </x:c>
      <x:c r="N6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61" s="11" t="str">
        <x:v>Hán Hàn</x:v>
      </x:c>
      <x:c r="P61" s="11" t="str"/>
      <x:c r="Q61" s="37" t="str">
        <x:v>Chưa có nguồn từ nguyên cụ thể trong lượt này</x:v>
      </x:c>
      <x:c r="R61" s="37" t="str">
        <x:v>ET256 (dòng 1131)
ET255 (dòng 1130)
ET242 (dòng 1117)
ET238 (dòng 1113)
ET239 (dòng 1114)</x:v>
      </x:c>
      <x:c r="S61" s="11" t="str"/>
      <x:c r="T61" s="11" t="str">
        <x:v>Ứng viên — còn thiếu chứng cứ</x:v>
      </x:c>
      <x:c r="U61" s="11" t="str">
        <x:v>N2 — Cơ quan, tổ chức</x:v>
      </x:c>
    </x:row>
    <x:row r="62" ht="100.5" customHeight="1">
      <x:c r="A62" s="14" t="n">
        <x:v>57</x:v>
      </x:c>
      <x:c r="B62" s="11" t="str">
        <x:v>M015</x:v>
      </x:c>
      <x:c r="C62" s="11" t="str">
        <x:v>đội danh dự</x:v>
      </x:c>
      <x:c r="D62" s="11" t="str">
        <x:v>Hán Việt</x:v>
      </x:c>
      <x:c r="E62" s="11" t="str">
        <x:v>A — Có chứng cứ thành tố</x:v>
      </x:c>
      <x:c r="F62" s="11" t="str">
        <x:v>의장대</x:v>
      </x:c>
      <x:c r="G62" s="11" t="str">
        <x:v>Hán Hàn</x:v>
      </x:c>
      <x:c r="H62" s="11" t="str">
        <x:v>B — Phân tích tạm</x:v>
      </x:c>
      <x:c r="I62" s="11" t="str">
        <x:f>IF(AND(LEFT(E62,1)="A",LEFT(H62,1)="A"),"A/A — Có chứng cứ hai phía",IF(OR(LEFT(E62,1)="C",LEFT(H62,1)="C"),"C — Còn điểm chưa chốt",IF(AND(OR(LEFT(E62,1)="A",LEFT(E62,1)="B"),OR(LEFT(H62,1)="A",LEFT(H62,1)="B")),"B — Cần bổ sung chứng cứ","Kiểm tra mức chứng cứ")))</x:f>
        <x:v>B — Cần bổ sung chứng cứ</x:v>
      </x:c>
      <x:c r="J62" s="11" t="str">
        <x:v>Có chứng cứ cho thành tố</x:v>
      </x:c>
      <x:c r="K62" s="11" t="str">
        <x:v>đội [HV 隊]
danh dự [HV 名譽]</x:v>
      </x:c>
      <x:c r="L62" s="11" t="str">
        <x:v>의장대 [HH 儀仗隊 *]</x:v>
      </x:c>
      <x:c r="M62" s="11" t="str">
        <x:v>Có nguồn âm/chữ hoặc nguồn từ nguyên cho các thành tố dùng để quyết định nhãn; việc ghép thành thuật ngữ là phân tích của nghiên cứu.</x:v>
      </x:c>
      <x:c r="N6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62" s="11" t="str">
        <x:v>Hán Hàn</x:v>
      </x:c>
      <x:c r="P62" s="11" t="str"/>
      <x:c r="Q62" s="37" t="str">
        <x:v>ET054 (dòng 929)
ET055 (dòng 930)</x:v>
      </x:c>
      <x:c r="R62" s="37" t="str">
        <x:v>Chưa có nguồn từ nguyên cụ thể trong lượt này</x:v>
      </x:c>
      <x:c r="S62" s="11" t="str"/>
      <x:c r="T62" s="11" t="str">
        <x:v>Ứng viên — còn thiếu chứng cứ</x:v>
      </x:c>
      <x:c r="U62" s="11" t="str">
        <x:v>N2 — Cơ quan, tổ chức</x:v>
      </x:c>
    </x:row>
    <x:row r="63" ht="130.5" customHeight="1">
      <x:c r="A63" s="14" t="n">
        <x:v>58</x:v>
      </x:c>
      <x:c r="B63" s="11" t="str">
        <x:v>T132</x:v>
      </x:c>
      <x:c r="C63" s="11" t="str">
        <x:v>Hiệp hội các quốc gia Đông Nam Á (ASEAN)</x:v>
      </x:c>
      <x:c r="D63" s="11" t="str">
        <x:v>Hán Việt</x:v>
      </x:c>
      <x:c r="E63" s="11" t="str">
        <x:v>A — Có chứng cứ thành tố</x:v>
      </x:c>
      <x:c r="F63" s="11" t="str">
        <x:v>동남아시아국가연합(ASEAN)</x:v>
      </x:c>
      <x:c r="G63" s="11" t="str">
        <x:v>Hán Hàn + ngoại lai khác</x:v>
      </x:c>
      <x:c r="H63" s="11" t="str">
        <x:v>B — Phân tích tạm</x:v>
      </x:c>
      <x:c r="I63" s="11" t="str">
        <x:f>IF(AND(LEFT(E63,1)="A",LEFT(H63,1)="A"),"A/A — Có chứng cứ hai phía",IF(OR(LEFT(E63,1)="C",LEFT(H63,1)="C"),"C — Còn điểm chưa chốt",IF(AND(OR(LEFT(E63,1)="A",LEFT(E63,1)="B"),OR(LEFT(H63,1)="A",LEFT(H63,1)="B")),"B — Cần bổ sung chứng cứ","Kiểm tra mức chứng cứ")))</x:f>
        <x:v>B — Cần bổ sung chứng cứ</x:v>
      </x:c>
      <x:c r="J63" s="11" t="str">
        <x:v>Có chứng cứ cho thành tố</x:v>
      </x:c>
      <x:c r="K63" s="11" t="str">
        <x:v>Hiệp hội [HV 協會]
các [HV 各]
quốc gia [HV 國家]
Đông [HV 東]
Nam [HV 南]
Á [HV 亞]
ASEAN [VT; chú thích trong ngoặc]</x:v>
      </x:c>
      <x:c r="L63" s="11" t="str">
        <x:v>동남 [HH 東南 *]
아시아 [NL]
국가연합 [HH 國家聯合 *]
ASEAN [VT]</x:v>
      </x:c>
      <x:c r="M63" s="11" t="str">
        <x:v>Có nguồn âm/chữ hoặc nguồn từ nguyên cho các thành tố dùng để quyết định nhãn; việc ghép thành thuật ngữ là phân tích của nghiên cứu.
ASEAN trong ngoặc là tên viết tắt bổ sung. Nhãn cấu tạo xét tên đầy đủ trước ngoặc; các là yếu tố gốc Hán 各, không tự động xếp thuần Việt vì có chức năng ngữ pháp.</x:v>
      </x:c>
      <x:c r="N6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동남 là Hán Hàn, 아시아 là ngoại lai; cả tên viết đủ không thuần Hán Hàn. ASEAN trong ngoặc là chữ viết tắt bổ sung.</x:v>
      </x:c>
      <x:c r="O63" s="11" t="str">
        <x:v>Hán Hàn + ngoại lai khác</x:v>
      </x:c>
      <x:c r="P63" s="11" t="str">
        <x:v>Việt: Đông
Việt: Nam
Việt: Á
Việt: ASEAN
Hàn: 아시아
Hàn: ASEAN
Việt: ASEAN (chú thích)
Hàn: ASEAN</x:v>
      </x:c>
      <x:c r="Q63" s="37" t="str">
        <x:v>ET056 (dòng 931)
ET057 (dòng 932)
ET019 (dòng 894)
ET058 (dòng 933)
ET059 (dòng 934)
ET060 (dòng 935)</x:v>
      </x:c>
      <x:c r="R63" s="37" t="str">
        <x:v>ET249 (dòng 1124)
ET246 (dòng 1121)
ET247 (dòng 1122)</x:v>
      </x:c>
      <x:c r="S63" s="11" t="str"/>
      <x:c r="T63" s="11" t="str">
        <x:v>Xác nhận — cùng biểu thức Anh</x:v>
      </x:c>
      <x:c r="U63" s="11" t="str">
        <x:v>N2 — Cơ quan, tổ chức</x:v>
      </x:c>
    </x:row>
    <x:row r="64" ht="100.5" customHeight="1">
      <x:c r="A64" s="14" t="n">
        <x:v>59</x:v>
      </x:c>
      <x:c r="B64" s="11" t="str">
        <x:v>T169</x:v>
      </x:c>
      <x:c r="C64" s="11" t="str">
        <x:v>Hội đồng Bảo an Liên hợp quốc</x:v>
      </x:c>
      <x:c r="D64" s="11" t="str">
        <x:v>Hán Việt</x:v>
      </x:c>
      <x:c r="E64" s="11" t="str">
        <x:v>A — Có chứng cứ thành tố</x:v>
      </x:c>
      <x:c r="F64" s="11" t="str">
        <x:v>유엔 안전보장이사회</x:v>
      </x:c>
      <x:c r="G64" s="11" t="str">
        <x:v>Hán Hàn + ngoại lai khác</x:v>
      </x:c>
      <x:c r="H64" s="11" t="str">
        <x:v>B — Phân tích tạm</x:v>
      </x:c>
      <x:c r="I64" s="11" t="str">
        <x:f>IF(AND(LEFT(E64,1)="A",LEFT(H64,1)="A"),"A/A — Có chứng cứ hai phía",IF(OR(LEFT(E64,1)="C",LEFT(H64,1)="C"),"C — Còn điểm chưa chốt",IF(AND(OR(LEFT(E64,1)="A",LEFT(E64,1)="B"),OR(LEFT(H64,1)="A",LEFT(H64,1)="B")),"B — Cần bổ sung chứng cứ","Kiểm tra mức chứng cứ")))</x:f>
        <x:v>B — Cần bổ sung chứng cứ</x:v>
      </x:c>
      <x:c r="J64" s="11" t="str">
        <x:v>Có chứng cứ cho thành tố</x:v>
      </x:c>
      <x:c r="K64" s="11" t="str">
        <x:v>Hội đồng [HV 會同]
Bảo an [HV 保安]
Liên hợp [HV 聯合]
quốc [HV 國]</x:v>
      </x:c>
      <x:c r="L64" s="11" t="str">
        <x:v>유엔 [NL]
안전보장이사회 [HH 安全保障理事會 *]</x:v>
      </x:c>
      <x:c r="M64" s="11" t="str">
        <x:v>Có nguồn âm/chữ hoặc nguồn từ nguyên cho các thành tố dùng để quyết định nhãn; việc ghép thành thuật ngữ là phân tích của nghiên cứu.</x:v>
      </x:c>
      <x:c r="N6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64" s="11" t="str">
        <x:v>Hán Hàn + ngoại lai khác</x:v>
      </x:c>
      <x:c r="P64" s="11" t="str">
        <x:v>Hàn: 유엔</x:v>
      </x:c>
      <x:c r="Q64" s="37" t="str">
        <x:v>ET016 (dòng 891)
ET061 (dòng 936)
ET049 (dòng 924)
ET050 (dòng 925)</x:v>
      </x:c>
      <x:c r="R64" s="37" t="str">
        <x:v>ET257 (dòng 1132)</x:v>
      </x:c>
      <x:c r="S64" s="11" t="str"/>
      <x:c r="T64" s="11" t="str">
        <x:v>Xác nhận — cùng biểu thức Anh</x:v>
      </x:c>
      <x:c r="U64" s="11" t="str">
        <x:v>N2 — Cơ quan, tổ chức</x:v>
      </x:c>
    </x:row>
    <x:row r="65" ht="100.5" customHeight="1">
      <x:c r="A65" s="14" t="n">
        <x:v>60</x:v>
      </x:c>
      <x:c r="B65" s="11" t="str">
        <x:v>T116</x:v>
      </x:c>
      <x:c r="C65" s="11" t="str">
        <x:v>Hội đồng nhân dân</x:v>
      </x:c>
      <x:c r="D65" s="11" t="str">
        <x:v>Hán Việt</x:v>
      </x:c>
      <x:c r="E65" s="11" t="str">
        <x:v>A — Có chứng cứ thành tố</x:v>
      </x:c>
      <x:c r="F65" s="11" t="str">
        <x:v>인민의회</x:v>
      </x:c>
      <x:c r="G65" s="11" t="str">
        <x:v>Hán Hàn</x:v>
      </x:c>
      <x:c r="H65" s="11" t="str">
        <x:v>B — Phân tích tạm</x:v>
      </x:c>
      <x:c r="I65" s="11" t="str">
        <x:f>IF(AND(LEFT(E65,1)="A",LEFT(H65,1)="A"),"A/A — Có chứng cứ hai phía",IF(OR(LEFT(E65,1)="C",LEFT(H65,1)="C"),"C — Còn điểm chưa chốt",IF(AND(OR(LEFT(E65,1)="A",LEFT(E65,1)="B"),OR(LEFT(H65,1)="A",LEFT(H65,1)="B")),"B — Cần bổ sung chứng cứ","Kiểm tra mức chứng cứ")))</x:f>
        <x:v>B — Cần bổ sung chứng cứ</x:v>
      </x:c>
      <x:c r="J65" s="11" t="str">
        <x:v>Có chứng cứ cho thành tố</x:v>
      </x:c>
      <x:c r="K65" s="11" t="str">
        <x:v>Hội đồng [HV 會同]
nhân dân [HV 人民]</x:v>
      </x:c>
      <x:c r="L65" s="11" t="str">
        <x:v>인민의회 [HH 人民議會 *]</x:v>
      </x:c>
      <x:c r="M65" s="11" t="str">
        <x:v>Có nguồn âm/chữ hoặc nguồn từ nguyên cho các thành tố dùng để quyết định nhãn; việc ghép thành thuật ngữ là phân tích của nghiên cứu.</x:v>
      </x:c>
      <x:c r="N6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65" s="11" t="str">
        <x:v>Hán Hàn</x:v>
      </x:c>
      <x:c r="P65" s="11" t="str"/>
      <x:c r="Q65" s="37" t="str">
        <x:v>ET016 (dòng 891)
ET014 (dòng 889)</x:v>
      </x:c>
      <x:c r="R65" s="37" t="str">
        <x:v>ET250 (dòng 1125)
ET249 (dòng 1124)</x:v>
      </x:c>
      <x:c r="S65" s="11" t="str"/>
      <x:c r="T65" s="11" t="str">
        <x:v>Ứng viên — còn thiếu chứng cứ</x:v>
      </x:c>
      <x:c r="U65" s="11" t="str">
        <x:v>N2 — Cơ quan, tổ chức</x:v>
      </x:c>
    </x:row>
    <x:row r="66" ht="85.5" customHeight="1">
      <x:c r="A66" s="14" t="n">
        <x:v>61</x:v>
      </x:c>
      <x:c r="B66" s="11" t="str">
        <x:v>T135</x:v>
      </x:c>
      <x:c r="C66" s="11" t="str">
        <x:v>Liên hợp quốc</x:v>
      </x:c>
      <x:c r="D66" s="11" t="str">
        <x:v>Hán Việt</x:v>
      </x:c>
      <x:c r="E66" s="11" t="str">
        <x:v>A — Có chứng cứ thành tố</x:v>
      </x:c>
      <x:c r="F66" s="11" t="str">
        <x:v>유엔(UN)</x:v>
      </x:c>
      <x:c r="G66" s="11" t="str">
        <x:v>Ngoại lai khác</x:v>
      </x:c>
      <x:c r="H66" s="11" t="str">
        <x:v>A — Có chứng cứ thành tố</x:v>
      </x:c>
      <x:c r="I66" s="11" t="str">
        <x:f>IF(AND(LEFT(E66,1)="A",LEFT(H66,1)="A"),"A/A — Có chứng cứ hai phía",IF(OR(LEFT(E66,1)="C",LEFT(H66,1)="C"),"C — Còn điểm chưa chốt",IF(AND(OR(LEFT(E66,1)="A",LEFT(E66,1)="B"),OR(LEFT(H66,1)="A",LEFT(H66,1)="B")),"B — Cần bổ sung chứng cứ","Kiểm tra mức chứng cứ")))</x:f>
        <x:v>A/A — Có chứng cứ hai phía</x:v>
      </x:c>
      <x:c r="J66" s="11" t="str">
        <x:v>Có chứng cứ cho thành tố</x:v>
      </x:c>
      <x:c r="K66" s="11" t="str">
        <x:v>Liên hợp [HV 聯合]
quốc [HV 國]</x:v>
      </x:c>
      <x:c r="L66" s="11" t="str">
        <x:v>유엔 [NL]
UN [VT]</x:v>
      </x:c>
      <x:c r="M66" s="11" t="str">
        <x:v>Có nguồn âm/chữ hoặc nguồn từ nguyên cho các thành tố dùng để quyết định nhãn; việc ghép thành thuật ngữ là phân tích của nghiên cứu.</x:v>
      </x:c>
      <x:c r="N66" s="11" t="str">
        <x:v>Đã tìm thấy nguồn mục từ/thành tố ghi nguyên dạng hoặc lớp từ cho toàn bộ thành tố quyết định kết luận.</x:v>
      </x:c>
      <x:c r="O66" s="11" t="str">
        <x:v>Ngoại lai khác</x:v>
      </x:c>
      <x:c r="P66" s="11" t="str">
        <x:v>Hàn: 유엔
Hàn: UN
Hàn: UN</x:v>
      </x:c>
      <x:c r="Q66" s="37" t="str">
        <x:v>ET049 (dòng 924)
ET050 (dòng 925)</x:v>
      </x:c>
      <x:c r="R66" s="37" t="str">
        <x:v>ET257 (dòng 1132)
ET267 (dòng 1142)</x:v>
      </x:c>
      <x:c r="S66" s="11" t="str"/>
      <x:c r="T66" s="11" t="str">
        <x:v>Xác nhận — cùng biểu thức Anh</x:v>
      </x:c>
      <x:c r="U66" s="11" t="str">
        <x:v>N2 — Cơ quan, tổ chức</x:v>
      </x:c>
    </x:row>
    <x:row r="67" ht="100.5" customHeight="1">
      <x:c r="A67" s="14" t="n">
        <x:v>62</x:v>
      </x:c>
      <x:c r="B67" s="11" t="str">
        <x:v>T155</x:v>
      </x:c>
      <x:c r="C67" s="11" t="str">
        <x:v>Liên minh châu Âu</x:v>
      </x:c>
      <x:c r="D67" s="11" t="str">
        <x:v>Hán Việt</x:v>
      </x:c>
      <x:c r="E67" s="11" t="str">
        <x:v>A — Có chứng cứ thành tố</x:v>
      </x:c>
      <x:c r="F67" s="11" t="str">
        <x:v>유럽연합</x:v>
      </x:c>
      <x:c r="G67" s="11" t="str">
        <x:v>Hán Hàn + ngoại lai khác</x:v>
      </x:c>
      <x:c r="H67" s="11" t="str">
        <x:v>B — Phân tích tạm</x:v>
      </x:c>
      <x:c r="I67" s="11" t="str">
        <x:f>IF(AND(LEFT(E67,1)="A",LEFT(H67,1)="A"),"A/A — Có chứng cứ hai phía",IF(OR(LEFT(E67,1)="C",LEFT(H67,1)="C"),"C — Còn điểm chưa chốt",IF(AND(OR(LEFT(E67,1)="A",LEFT(E67,1)="B"),OR(LEFT(H67,1)="A",LEFT(H67,1)="B")),"B — Cần bổ sung chứng cứ","Kiểm tra mức chứng cứ")))</x:f>
        <x:v>B — Cần bổ sung chứng cứ</x:v>
      </x:c>
      <x:c r="J67" s="11" t="str">
        <x:v>Có chứng cứ cho thành tố</x:v>
      </x:c>
      <x:c r="K67" s="11" t="str">
        <x:v>Liên minh [HV 聯盟]
châu [HV 洲]
Âu [HV 歐]</x:v>
      </x:c>
      <x:c r="L67" s="11" t="str">
        <x:v>유럽 [NL]
연합 [HH 聯合 *]</x:v>
      </x:c>
      <x:c r="M67" s="11" t="str">
        <x:v>Có nguồn âm/chữ hoặc nguồn từ nguyên cho các thành tố dùng để quyết định nhãn; việc ghép thành thuật ngữ là phân tích của nghiên cứu.
Âu là âm Hán Việt 歐 trong tên châu Âu, dù từ nguyên xa của tên lục địa liên quan Europe; phân loại theo lớp tiếp nhận trực tiếp.</x:v>
      </x:c>
      <x:c r="N67"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67" s="11" t="str">
        <x:v>Hán Hàn + ngoại lai khác</x:v>
      </x:c>
      <x:c r="P67" s="11" t="str">
        <x:v>Việt: Âu
Hàn: 유럽</x:v>
      </x:c>
      <x:c r="Q67" s="37" t="str">
        <x:v>ET062 (dòng 937)
ET063 (dòng 938)
ET064 (dòng 939)</x:v>
      </x:c>
      <x:c r="R67" s="37" t="str">
        <x:v>Chưa có nguồn từ nguyên cụ thể trong lượt này</x:v>
      </x:c>
      <x:c r="S67" s="11" t="str"/>
      <x:c r="T67" s="11" t="str">
        <x:v>Xác nhận — cùng biểu thức Anh</x:v>
      </x:c>
      <x:c r="U67" s="11" t="str">
        <x:v>N2 — Cơ quan, tổ chức</x:v>
      </x:c>
    </x:row>
    <x:row r="68" ht="100.5" customHeight="1">
      <x:c r="A68" s="14" t="n">
        <x:v>63</x:v>
      </x:c>
      <x:c r="B68" s="11" t="str">
        <x:v>T159</x:v>
      </x:c>
      <x:c r="C68" s="11" t="str">
        <x:v>Liên minh Nghị viện thế giới</x:v>
      </x:c>
      <x:c r="D68" s="11" t="str">
        <x:v>Hán Việt</x:v>
      </x:c>
      <x:c r="E68" s="11" t="str">
        <x:v>A — Có chứng cứ thành tố</x:v>
      </x:c>
      <x:c r="F68" s="11" t="str">
        <x:v>국제의회연맹</x:v>
      </x:c>
      <x:c r="G68" s="11" t="str">
        <x:v>Hán Hàn</x:v>
      </x:c>
      <x:c r="H68" s="11" t="str">
        <x:v>B — Phân tích tạm</x:v>
      </x:c>
      <x:c r="I68" s="11" t="str">
        <x:f>IF(AND(LEFT(E68,1)="A",LEFT(H68,1)="A"),"A/A — Có chứng cứ hai phía",IF(OR(LEFT(E68,1)="C",LEFT(H68,1)="C"),"C — Còn điểm chưa chốt",IF(AND(OR(LEFT(E68,1)="A",LEFT(E68,1)="B"),OR(LEFT(H68,1)="A",LEFT(H68,1)="B")),"B — Cần bổ sung chứng cứ","Kiểm tra mức chứng cứ")))</x:f>
        <x:v>B — Cần bổ sung chứng cứ</x:v>
      </x:c>
      <x:c r="J68" s="11" t="str">
        <x:v>Có chứng cứ cho thành tố</x:v>
      </x:c>
      <x:c r="K68" s="11" t="str">
        <x:v>Liên minh [HV 聯盟]
Nghị viện [HV 議院]
thế giới [HV 世界]</x:v>
      </x:c>
      <x:c r="L68" s="11" t="str">
        <x:v>국제의회연맹 [HH 國際議會聯盟 *]</x:v>
      </x:c>
      <x:c r="M68" s="11" t="str">
        <x:v>Có nguồn âm/chữ hoặc nguồn từ nguyên cho các thành tố dùng để quyết định nhãn; việc ghép thành thuật ngữ là phân tích của nghiên cứu.</x:v>
      </x:c>
      <x:c r="N6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68" s="11" t="str">
        <x:v>Hán Hàn</x:v>
      </x:c>
      <x:c r="P68" s="11" t="str"/>
      <x:c r="Q68" s="37" t="str">
        <x:v>ET062 (dòng 937)
ET065 (dòng 940)
ET066 (dòng 941)</x:v>
      </x:c>
      <x:c r="R68" s="37" t="str">
        <x:v>ET268 (dòng 1143)
ET250 (dòng 1125)</x:v>
      </x:c>
      <x:c r="S68" s="11" t="str"/>
      <x:c r="T68" s="11" t="str">
        <x:v>Xác nhận — cùng biểu thức Anh</x:v>
      </x:c>
      <x:c r="U68" s="11" t="str">
        <x:v>N2 — Cơ quan, tổ chức</x:v>
      </x:c>
    </x:row>
    <x:row r="69" ht="100.5" customHeight="1">
      <x:c r="A69" s="14" t="n">
        <x:v>64</x:v>
      </x:c>
      <x:c r="B69" s="11" t="str">
        <x:v>T112</x:v>
      </x:c>
      <x:c r="C69" s="11" t="str">
        <x:v>Mặt trận Tổ quốc</x:v>
      </x:c>
      <x:c r="D69" s="11" t="str">
        <x:v>Hán Việt + thuần Việt</x:v>
      </x:c>
      <x:c r="E69" s="11" t="str">
        <x:v>B — Phân tích tạm</x:v>
      </x:c>
      <x:c r="F69" s="11" t="str">
        <x:v>조국전선</x:v>
      </x:c>
      <x:c r="G69" s="11" t="str">
        <x:v>Hán Hàn</x:v>
      </x:c>
      <x:c r="H69" s="11" t="str">
        <x:v>B — Phân tích tạm</x:v>
      </x:c>
      <x:c r="I69" s="11" t="str">
        <x:f>IF(AND(LEFT(E69,1)="A",LEFT(H69,1)="A"),"A/A — Có chứng cứ hai phía",IF(OR(LEFT(E69,1)="C",LEFT(H69,1)="C"),"C — Còn điểm chưa chốt",IF(AND(OR(LEFT(E69,1)="A",LEFT(E69,1)="B"),OR(LEFT(H69,1)="A",LEFT(H69,1)="B")),"B — Cần bổ sung chứng cứ","Kiểm tra mức chứng cứ")))</x:f>
        <x:v>B — Cần bổ sung chứng cứ</x:v>
      </x:c>
      <x:c r="J69" s="11" t="str">
        <x:v>Có chứng cứ cho thành tố</x:v>
      </x:c>
      <x:c r="K69" s="11" t="str">
        <x:v>Mặt [TV]
trận [HV 陣]
Tổ quốc [HV 祖國]</x:v>
      </x:c>
      <x:c r="L69" s="11" t="str">
        <x:v>조국전선 [HH 祖國戰線 *]</x:v>
      </x:c>
      <x:c r="M69" s="11" t="str">
        <x:v>Phân tích cấu tạo theo thành tố; còn phần chưa có chứng cứ từ nguyên trực tiếp, xem cột ghi chú.
Mặt là thành tố Việt, trận 陣 và Tổ quốc 祖國 là Hán Việt. Mặt trận là tổ hợp hỗn hợp.</x:v>
      </x:c>
      <x:c r="N69"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69" s="11" t="str">
        <x:v>Hán Hàn</x:v>
      </x:c>
      <x:c r="P69" s="11" t="str"/>
      <x:c r="Q69" s="37" t="str">
        <x:v>ET067 (dòng 942)
ET068 (dòng 943)
ET069 (dòng 944)</x:v>
      </x:c>
      <x:c r="R69" s="37" t="str">
        <x:v>Chưa có nguồn từ nguyên cụ thể trong lượt này</x:v>
      </x:c>
      <x:c r="S69" s="11" t="str"/>
      <x:c r="T69" s="11" t="str">
        <x:v>Ứng viên — còn thiếu chứng cứ</x:v>
      </x:c>
      <x:c r="U69" s="11" t="str">
        <x:v>N2 — Cơ quan, tổ chức</x:v>
      </x:c>
    </x:row>
    <x:row r="70" ht="85.5" customHeight="1">
      <x:c r="A70" s="14" t="n">
        <x:v>65</x:v>
      </x:c>
      <x:c r="B70" s="11" t="str">
        <x:v>T106</x:v>
      </x:c>
      <x:c r="C70" s="11" t="str">
        <x:v>Nhà nước</x:v>
      </x:c>
      <x:c r="D70" s="11" t="str">
        <x:v>Thuần Việt</x:v>
      </x:c>
      <x:c r="E70" s="11" t="str">
        <x:v>B — Phân tích tạm</x:v>
      </x:c>
      <x:c r="F70" s="11" t="str">
        <x:v>국가</x:v>
      </x:c>
      <x:c r="G70" s="11" t="str">
        <x:v>Hán Hàn</x:v>
      </x:c>
      <x:c r="H70" s="11" t="str">
        <x:v>A — Có chứng cứ thành tố</x:v>
      </x:c>
      <x:c r="I70" s="11" t="str">
        <x:f>IF(AND(LEFT(E70,1)="A",LEFT(H70,1)="A"),"A/A — Có chứng cứ hai phía",IF(OR(LEFT(E70,1)="C",LEFT(H70,1)="C"),"C — Còn điểm chưa chốt",IF(AND(OR(LEFT(E70,1)="A",LEFT(E70,1)="B"),OR(LEFT(H70,1)="A",LEFT(H70,1)="B")),"B — Cần bổ sung chứng cứ","Kiểm tra mức chứng cứ")))</x:f>
        <x:v>B — Cần bổ sung chứng cứ</x:v>
      </x:c>
      <x:c r="J70" s="11" t="str">
        <x:v>Chưa có chứng cứ HVDic trong lượt này</x:v>
      </x:c>
      <x:c r="K70" s="11" t="str">
        <x:v>Nhà [TV]
nước [TV]</x:v>
      </x:c>
      <x:c r="L70" s="11" t="str">
        <x:v>국가 [HH 國家]</x:v>
      </x:c>
      <x:c r="M70" s="11" t="str">
        <x:v>Phân tích cấu tạo theo thành tố; còn phần chưa có chứng cứ từ nguyên trực tiếp, xem cột ghi chú.
Nhà nước là tổ hợp tiếng Việt; việc dịch sang 國家/국가 không biến hai thành tố Việt thành Hán Việt.</x:v>
      </x:c>
      <x:c r="N70" s="11" t="str">
        <x:v>Đã tìm thấy nguồn mục từ/thành tố ghi nguyên dạng hoặc lớp từ cho toàn bộ thành tố quyết định kết luận.</x:v>
      </x:c>
      <x:c r="O70" s="11" t="str">
        <x:v>Hán Hàn</x:v>
      </x:c>
      <x:c r="P70" s="11" t="str"/>
      <x:c r="Q70" s="37" t="str">
        <x:v>ET040 (dòng 915)
ET010 (dòng 885)</x:v>
      </x:c>
      <x:c r="R70" s="37" t="str">
        <x:v>ET246 (dòng 1121)
ET247 (dòng 1122)</x:v>
      </x:c>
      <x:c r="S70" s="11" t="str"/>
      <x:c r="T70" s="11" t="str">
        <x:v>Ứng viên — còn thiếu chứng cứ</x:v>
      </x:c>
      <x:c r="U70" s="11" t="str">
        <x:v>N2 — Cơ quan, tổ chức</x:v>
      </x:c>
    </x:row>
    <x:row r="71" ht="100.5" customHeight="1">
      <x:c r="A71" s="14" t="n">
        <x:v>66</x:v>
      </x:c>
      <x:c r="B71" s="11" t="str">
        <x:v>M033</x:v>
      </x:c>
      <x:c r="C71" s="11" t="str">
        <x:v>nhóm nghị sĩ hữu nghị</x:v>
      </x:c>
      <x:c r="D71" s="11" t="str">
        <x:v>Hán Việt + thuần Việt</x:v>
      </x:c>
      <x:c r="E71" s="11" t="str">
        <x:v>B — Phân tích tạm</x:v>
      </x:c>
      <x:c r="F71" s="11" t="str">
        <x:v>의원친선협회</x:v>
      </x:c>
      <x:c r="G71" s="11" t="str">
        <x:v>Hán Hàn</x:v>
      </x:c>
      <x:c r="H71" s="11" t="str">
        <x:v>B — Phân tích tạm</x:v>
      </x:c>
      <x:c r="I71" s="11" t="str">
        <x:f>IF(AND(LEFT(E71,1)="A",LEFT(H71,1)="A"),"A/A — Có chứng cứ hai phía",IF(OR(LEFT(E71,1)="C",LEFT(H71,1)="C"),"C — Còn điểm chưa chốt",IF(AND(OR(LEFT(E71,1)="A",LEFT(E71,1)="B"),OR(LEFT(H71,1)="A",LEFT(H71,1)="B")),"B — Cần bổ sung chứng cứ","Kiểm tra mức chứng cứ")))</x:f>
        <x:v>B — Cần bổ sung chứng cứ</x:v>
      </x:c>
      <x:c r="J71" s="11" t="str">
        <x:v>Có chứng cứ cho thành tố</x:v>
      </x:c>
      <x:c r="K71" s="11" t="str">
        <x:v>nhóm [TV]
nghị sĩ [HV 議士 *]
hữu nghị [HV 友誼]</x:v>
      </x:c>
      <x:c r="L71" s="11" t="str">
        <x:v>의원친선협회 [HH 議員親善協會 *]</x:v>
      </x:c>
      <x:c r="M71" s="11" t="str">
        <x:v>Phân tích cấu tạo theo thành tố; còn phần chưa có chứng cứ từ nguyên trực tiếp, xem cột ghi chú.</x:v>
      </x:c>
      <x:c r="N7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71" s="11" t="str">
        <x:v>Hán Hàn</x:v>
      </x:c>
      <x:c r="P71" s="11" t="str"/>
      <x:c r="Q71" s="37" t="str">
        <x:v>ET070 (dòng 945)</x:v>
      </x:c>
      <x:c r="R71" s="37" t="str">
        <x:v>Chưa có nguồn từ nguyên cụ thể trong lượt này</x:v>
      </x:c>
      <x:c r="S71" s="11" t="str"/>
      <x:c r="T71" s="11" t="str">
        <x:v>Ứng viên — còn thiếu chứng cứ</x:v>
      </x:c>
      <x:c r="U71" s="11" t="str">
        <x:v>N2 — Cơ quan, tổ chức</x:v>
      </x:c>
    </x:row>
    <x:row r="72" ht="100.5" customHeight="1">
      <x:c r="A72" s="14" t="n">
        <x:v>67</x:v>
      </x:c>
      <x:c r="B72" s="11" t="str">
        <x:v>M016</x:v>
      </x:c>
      <x:c r="C72" s="11" t="str">
        <x:v>Quân đội nhân dân Việt Nam</x:v>
      </x:c>
      <x:c r="D72" s="11" t="str">
        <x:v>Hán Việt</x:v>
      </x:c>
      <x:c r="E72" s="11" t="str">
        <x:v>A — Có chứng cứ thành tố</x:v>
      </x:c>
      <x:c r="F72" s="11" t="str">
        <x:v>베트남 인민군</x:v>
      </x:c>
      <x:c r="G72" s="11" t="str">
        <x:v>Hán Hàn + ngoại lai khác</x:v>
      </x:c>
      <x:c r="H72" s="11" t="str">
        <x:v>B — Phân tích tạm</x:v>
      </x:c>
      <x:c r="I72" s="11" t="str">
        <x:f>IF(AND(LEFT(E72,1)="A",LEFT(H72,1)="A"),"A/A — Có chứng cứ hai phía",IF(OR(LEFT(E72,1)="C",LEFT(H72,1)="C"),"C — Còn điểm chưa chốt",IF(AND(OR(LEFT(E72,1)="A",LEFT(E72,1)="B"),OR(LEFT(H72,1)="A",LEFT(H72,1)="B")),"B — Cần bổ sung chứng cứ","Kiểm tra mức chứng cứ")))</x:f>
        <x:v>B — Cần bổ sung chứng cứ</x:v>
      </x:c>
      <x:c r="J72" s="11" t="str">
        <x:v>Có chứng cứ cho thành tố</x:v>
      </x:c>
      <x:c r="K72" s="11" t="str">
        <x:v>Quân đội [HV 軍隊]
nhân dân [HV 人民]
Việt Nam [HV 越南]</x:v>
      </x:c>
      <x:c r="L72" s="11" t="str">
        <x:v>베트남 [NL]
인민군 [HH 人民軍 *]</x:v>
      </x:c>
      <x:c r="M72" s="11" t="str">
        <x:v>Có nguồn âm/chữ hoặc nguồn từ nguyên cho các thành tố dùng để quyết định nhãn; việc ghép thành thuật ngữ là phân tích của nghiên cứu.</x:v>
      </x:c>
      <x:c r="N7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2" s="11" t="str">
        <x:v>Hán Hàn + ngoại lai khác</x:v>
      </x:c>
      <x:c r="P72" s="11" t="str">
        <x:v>Việt: Việt Nam
Hàn: 베트남</x:v>
      </x:c>
      <x:c r="Q72" s="37" t="str">
        <x:v>ET071 (dòng 946)
ET014 (dòng 889)
ET044 (dòng 919)</x:v>
      </x:c>
      <x:c r="R72" s="37" t="str">
        <x:v>ET262 (dòng 1137)
ET249 (dòng 1124)</x:v>
      </x:c>
      <x:c r="S72" s="11" t="str"/>
      <x:c r="T72" s="11" t="str">
        <x:v>Ứng viên — còn thiếu chứng cứ</x:v>
      </x:c>
      <x:c r="U72" s="11" t="str">
        <x:v>N2 — Cơ quan, tổ chức</x:v>
      </x:c>
    </x:row>
    <x:row r="73" ht="85.5" customHeight="1">
      <x:c r="A73" s="14" t="n">
        <x:v>68</x:v>
      </x:c>
      <x:c r="B73" s="11" t="str">
        <x:v>T104</x:v>
      </x:c>
      <x:c r="C73" s="11" t="str">
        <x:v>Quốc hội</x:v>
      </x:c>
      <x:c r="D73" s="11" t="str">
        <x:v>Hán Việt</x:v>
      </x:c>
      <x:c r="E73" s="11" t="str">
        <x:v>A — Có chứng cứ thành tố</x:v>
      </x:c>
      <x:c r="F73" s="11" t="str">
        <x:v>국회</x:v>
      </x:c>
      <x:c r="G73" s="11" t="str">
        <x:v>Hán Hàn</x:v>
      </x:c>
      <x:c r="H73" s="11" t="str">
        <x:v>A — Có chứng cứ thành tố</x:v>
      </x:c>
      <x:c r="I73" s="11" t="str">
        <x:f>IF(AND(LEFT(E73,1)="A",LEFT(H73,1)="A"),"A/A — Có chứng cứ hai phía",IF(OR(LEFT(E73,1)="C",LEFT(H73,1)="C"),"C — Còn điểm chưa chốt",IF(AND(OR(LEFT(E73,1)="A",LEFT(E73,1)="B"),OR(LEFT(H73,1)="A",LEFT(H73,1)="B")),"B — Cần bổ sung chứng cứ","Kiểm tra mức chứng cứ")))</x:f>
        <x:v>A/A — Có chứng cứ hai phía</x:v>
      </x:c>
      <x:c r="J73" s="11" t="str">
        <x:v>Có mục từ cả dạng biểu thức</x:v>
      </x:c>
      <x:c r="K73" s="11" t="str">
        <x:v>Quốc hội [HV 國會]</x:v>
      </x:c>
      <x:c r="L73" s="11" t="str">
        <x:v>국회 [HH 國會]</x:v>
      </x:c>
      <x:c r="M73" s="11" t="str">
        <x:v>Có nguồn âm/chữ hoặc nguồn từ nguyên cho các thành tố dùng để quyết định nhãn; việc ghép thành thuật ngữ là phân tích của nghiên cứu.</x:v>
      </x:c>
      <x:c r="N73" s="11" t="str">
        <x:v>Đã tìm thấy nguồn mục từ/thành tố ghi nguyên dạng hoặc lớp từ cho toàn bộ thành tố quyết định kết luận.</x:v>
      </x:c>
      <x:c r="O73" s="11" t="str">
        <x:v>Hán Hàn</x:v>
      </x:c>
      <x:c r="P73" s="11" t="str"/>
      <x:c r="Q73" s="37" t="str">
        <x:v>ET011 (dòng 886)</x:v>
      </x:c>
      <x:c r="R73" s="37" t="str">
        <x:v>ET248 (dòng 1123)</x:v>
      </x:c>
      <x:c r="S73" s="11" t="str"/>
      <x:c r="T73" s="11" t="str">
        <x:v>Ứng viên — còn thiếu chứng cứ</x:v>
      </x:c>
      <x:c r="U73" s="11" t="str">
        <x:v>N2 — Cơ quan, tổ chức</x:v>
      </x:c>
    </x:row>
    <x:row r="74" ht="100.5" customHeight="1">
      <x:c r="A74" s="14" t="n">
        <x:v>69</x:v>
      </x:c>
      <x:c r="B74" s="11" t="str">
        <x:v>T126</x:v>
      </x:c>
      <x:c r="C74" s="11" t="str">
        <x:v>Tòa án nhân dân tối cao</x:v>
      </x:c>
      <x:c r="D74" s="11" t="str">
        <x:v>Hán Việt + gốc Hán khác</x:v>
      </x:c>
      <x:c r="E74" s="11" t="str">
        <x:v>A — Có chứng cứ thành tố</x:v>
      </x:c>
      <x:c r="F74" s="11" t="str">
        <x:v>최고인민법원</x:v>
      </x:c>
      <x:c r="G74" s="11" t="str">
        <x:v>Hán Hàn</x:v>
      </x:c>
      <x:c r="H74" s="11" t="str">
        <x:v>B — Phân tích tạm</x:v>
      </x:c>
      <x:c r="I74" s="11" t="str">
        <x:f>IF(AND(LEFT(E74,1)="A",LEFT(H74,1)="A"),"A/A — Có chứng cứ hai phía",IF(OR(LEFT(E74,1)="C",LEFT(H74,1)="C"),"C — Còn điểm chưa chốt",IF(AND(OR(LEFT(E74,1)="A",LEFT(E74,1)="B"),OR(LEFT(H74,1)="A",LEFT(H74,1)="B")),"B — Cần bổ sung chứng cứ","Kiểm tra mức chứng cứ")))</x:f>
        <x:v>B — Cần bổ sung chứng cứ</x:v>
      </x:c>
      <x:c r="J74" s="11" t="str">
        <x:v>Có chứng cứ cho thành tố</x:v>
      </x:c>
      <x:c r="K74" s="11" t="str">
        <x:v>Tòa [GH 座]
án [HV 案]
nhân dân [HV 人民]
tối cao [HV 最高]</x:v>
      </x:c>
      <x:c r="L74" s="11" t="str">
        <x:v>최고인민법원 [HH 最高人民法院 *]</x:v>
      </x:c>
      <x:c r="M74" s="11" t="str">
        <x:v>Có nguồn âm/chữ hoặc nguồn từ nguyên cho các thành tố dùng để quyết định nhãn; việc ghép thành thuật ngữ là phân tích của nghiên cứu.
Tòa 座 là trường hợp gốc Hán ngoài lớp Hán Việt chuẩn được nghiên cứu lịch sử; không xếp là thuần Việt.</x:v>
      </x:c>
      <x:c r="N7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4" s="11" t="str">
        <x:v>Hán Hàn</x:v>
      </x:c>
      <x:c r="P74" s="11" t="str"/>
      <x:c r="Q74" s="37" t="str">
        <x:v>ET072 (dòng 947)
ET073 (dòng 948)
ET014 (dòng 889)
ET074 (dòng 949)</x:v>
      </x:c>
      <x:c r="R74" s="37" t="str">
        <x:v>ET249 (dòng 1124)</x:v>
      </x:c>
      <x:c r="S74" s="11" t="str"/>
      <x:c r="T74" s="11" t="str">
        <x:v>Ứng viên — còn thiếu chứng cứ</x:v>
      </x:c>
      <x:c r="U74" s="11" t="str">
        <x:v>N2 — Cơ quan, tổ chức</x:v>
      </x:c>
    </x:row>
    <x:row r="75" ht="145.5" customHeight="1">
      <x:c r="A75" s="14" t="n">
        <x:v>70</x:v>
      </x:c>
      <x:c r="B75" s="11" t="str">
        <x:v>M031</x:v>
      </x:c>
      <x:c r="C75" s="11" t="str">
        <x:v>Tổ chức Giáo dục, Khoa học và Văn hóa của Liên hợp quốc (UNESCO)</x:v>
      </x:c>
      <x:c r="D75" s="11" t="str">
        <x:v>Chưa chốt</x:v>
      </x:c>
      <x:c r="E75" s="11" t="str">
        <x:v>C — Chưa chốt từ nguyên</x:v>
      </x:c>
      <x:c r="F75" s="11" t="str">
        <x:v>유네스코</x:v>
      </x:c>
      <x:c r="G75" s="11" t="str">
        <x:v>Ngoại lai khác</x:v>
      </x:c>
      <x:c r="H75" s="11" t="str">
        <x:v>B — Phân tích tạm</x:v>
      </x:c>
      <x:c r="I75" s="11" t="str">
        <x:f>IF(AND(LEFT(E75,1)="A",LEFT(H75,1)="A"),"A/A — Có chứng cứ hai phía",IF(OR(LEFT(E75,1)="C",LEFT(H75,1)="C"),"C — Còn điểm chưa chốt",IF(AND(OR(LEFT(E75,1)="A",LEFT(E75,1)="B"),OR(LEFT(H75,1)="A",LEFT(H75,1)="B")),"B — Cần bổ sung chứng cứ","Kiểm tra mức chứng cứ")))</x:f>
        <x:v>C — Còn điểm chưa chốt</x:v>
      </x:c>
      <x:c r="J75" s="11" t="str">
        <x:v>Có chứng cứ cho thành tố</x:v>
      </x:c>
      <x:c r="K75" s="11" t="str">
        <x:v>Tổ chức [HV 組織]
Giáo dục [HV 教育]
Khoa học [HV 科學]
và [?]
Văn hóa [HV 文化]
của [TV]
Liên hợp [HV 聯合]
quốc [HV 國]
UNESCO [VT; chú thích trong ngoặc]</x:v>
      </x:c>
      <x:c r="L75" s="11" t="str">
        <x:v>유네스코 [NL]</x:v>
      </x:c>
      <x:c r="M75" s="11" t="str">
        <x:v>Có thành tố mà nguồn gốc/lớp vay mượn chưa đủ chắc; chưa dùng nhãn để chốt mẫu nghiên cứu.
UNESCO trong ngoặc là tên viết tắt bổ sung; còn và cần xét từ nguyên. Không loại bỏ của khi mô tả toàn tên tiếng Việt.</x:v>
      </x:c>
      <x:c r="N75" s="11" t="str">
        <x:v>Phân tích cấu tạo của người rà soát; chưa có nguồn từ nguyên cụ thể được tra cho mục hoặc các thành tố trong lượt này.</x:v>
      </x:c>
      <x:c r="O75" s="11" t="str">
        <x:v>Ngoại lai khác</x:v>
      </x:c>
      <x:c r="P75" s="11" t="str">
        <x:v>Việt: UNESCO
Hàn: 유네스코
Việt: UNESCO (chú thích)</x:v>
      </x:c>
      <x:c r="Q75" s="37" t="str">
        <x:v>ET036 (dòng 911)
ET075 (dòng 950)
ET038 (dòng 913)
ET026 (dòng 901)
ET076 (dòng 951)
ET049 (dòng 924)
ET050 (dòng 925)</x:v>
      </x:c>
      <x:c r="R75" s="37" t="str">
        <x:v>Chưa có nguồn từ nguyên cụ thể trong lượt này</x:v>
      </x:c>
      <x:c r="S75" s="11" t="str"/>
      <x:c r="T75" s="11" t="str">
        <x:v>Xác nhận — cùng biểu thức Anh</x:v>
      </x:c>
      <x:c r="U75" s="11" t="str">
        <x:v>N2 — Cơ quan, tổ chức</x:v>
      </x:c>
    </x:row>
    <x:row r="76" ht="100.5" customHeight="1">
      <x:c r="A76" s="14" t="n">
        <x:v>71</x:v>
      </x:c>
      <x:c r="B76" s="11" t="str">
        <x:v>M034</x:v>
      </x:c>
      <x:c r="C76" s="11" t="str">
        <x:v>ủy ban chuyên môn</x:v>
      </x:c>
      <x:c r="D76" s="11" t="str">
        <x:v>Hán Việt</x:v>
      </x:c>
      <x:c r="E76" s="11" t="str">
        <x:v>A — Có chứng cứ thành tố</x:v>
      </x:c>
      <x:c r="F76" s="11" t="str">
        <x:v>전문위원회</x:v>
      </x:c>
      <x:c r="G76" s="11" t="str">
        <x:v>Hán Hàn</x:v>
      </x:c>
      <x:c r="H76" s="11" t="str">
        <x:v>B — Phân tích tạm</x:v>
      </x:c>
      <x:c r="I76" s="11" t="str">
        <x:f>IF(AND(LEFT(E76,1)="A",LEFT(H76,1)="A"),"A/A — Có chứng cứ hai phía",IF(OR(LEFT(E76,1)="C",LEFT(H76,1)="C"),"C — Còn điểm chưa chốt",IF(AND(OR(LEFT(E76,1)="A",LEFT(E76,1)="B"),OR(LEFT(H76,1)="A",LEFT(H76,1)="B")),"B — Cần bổ sung chứng cứ","Kiểm tra mức chứng cứ")))</x:f>
        <x:v>B — Cần bổ sung chứng cứ</x:v>
      </x:c>
      <x:c r="J76" s="11" t="str">
        <x:v>Có chứng cứ cho thành tố</x:v>
      </x:c>
      <x:c r="K76" s="11" t="str">
        <x:v>ủy [HV 委]
ban [HV 班]
chuyên môn [HV 專門]</x:v>
      </x:c>
      <x:c r="L76" s="11" t="str">
        <x:v>전문위원회 [HH 專門委員會 *]</x:v>
      </x:c>
      <x:c r="M76" s="11" t="str">
        <x:v>Có nguồn âm/chữ hoặc nguồn từ nguyên cho các thành tố dùng để quyết định nhãn; việc ghép thành thuật ngữ là phân tích của nghiên cứu.</x:v>
      </x:c>
      <x:c r="N7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6" s="11" t="str">
        <x:v>Hán Hàn</x:v>
      </x:c>
      <x:c r="P76" s="11" t="str"/>
      <x:c r="Q76" s="37" t="str">
        <x:v>ET012 (dòng 887)
ET013 (dòng 888)
ET077 (dòng 952)</x:v>
      </x:c>
      <x:c r="R76" s="37" t="str">
        <x:v>ET256 (dòng 1131)
ET255 (dòng 1130)
ET242 (dòng 1117)</x:v>
      </x:c>
      <x:c r="S76" s="11" t="str"/>
      <x:c r="T76" s="11" t="str">
        <x:v>Ứng viên — còn thiếu chứng cứ</x:v>
      </x:c>
      <x:c r="U76" s="11" t="str">
        <x:v>N2 — Cơ quan, tổ chức</x:v>
      </x:c>
    </x:row>
    <x:row r="77" ht="100.5" customHeight="1">
      <x:c r="A77" s="14" t="n">
        <x:v>72</x:v>
      </x:c>
      <x:c r="B77" s="11" t="str">
        <x:v>T115</x:v>
      </x:c>
      <x:c r="C77" s="11" t="str">
        <x:v>Ủy ban nhân dân</x:v>
      </x:c>
      <x:c r="D77" s="11" t="str">
        <x:v>Hán Việt</x:v>
      </x:c>
      <x:c r="E77" s="11" t="str">
        <x:v>A — Có chứng cứ thành tố</x:v>
      </x:c>
      <x:c r="F77" s="11" t="str">
        <x:v>인민위원회</x:v>
      </x:c>
      <x:c r="G77" s="11" t="str">
        <x:v>Hán Hàn</x:v>
      </x:c>
      <x:c r="H77" s="11" t="str">
        <x:v>B — Phân tích tạm</x:v>
      </x:c>
      <x:c r="I77" s="11" t="str">
        <x:f>IF(AND(LEFT(E77,1)="A",LEFT(H77,1)="A"),"A/A — Có chứng cứ hai phía",IF(OR(LEFT(E77,1)="C",LEFT(H77,1)="C"),"C — Còn điểm chưa chốt",IF(AND(OR(LEFT(E77,1)="A",LEFT(E77,1)="B"),OR(LEFT(H77,1)="A",LEFT(H77,1)="B")),"B — Cần bổ sung chứng cứ","Kiểm tra mức chứng cứ")))</x:f>
        <x:v>B — Cần bổ sung chứng cứ</x:v>
      </x:c>
      <x:c r="J77" s="11" t="str">
        <x:v>Có chứng cứ cho thành tố</x:v>
      </x:c>
      <x:c r="K77" s="11" t="str">
        <x:v>Ủy [HV 委]
ban [HV 班]
nhân dân [HV 人民]</x:v>
      </x:c>
      <x:c r="L77" s="11" t="str">
        <x:v>인민위원회 [HH 人民委員會 *]</x:v>
      </x:c>
      <x:c r="M77" s="11" t="str">
        <x:v>Có nguồn âm/chữ hoặc nguồn từ nguyên cho các thành tố dùng để quyết định nhãn; việc ghép thành thuật ngữ là phân tích của nghiên cứu.</x:v>
      </x:c>
      <x:c r="N7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7" s="11" t="str">
        <x:v>Hán Hàn</x:v>
      </x:c>
      <x:c r="P77" s="11" t="str"/>
      <x:c r="Q77" s="37" t="str">
        <x:v>ET012 (dòng 887)
ET013 (dòng 888)
ET014 (dòng 889)</x:v>
      </x:c>
      <x:c r="R77" s="37" t="str">
        <x:v>ET256 (dòng 1131)
ET255 (dòng 1130)
ET242 (dòng 1117)
ET249 (dòng 1124)</x:v>
      </x:c>
      <x:c r="S77" s="11" t="str"/>
      <x:c r="T77" s="11" t="str">
        <x:v>Ứng viên — còn thiếu chứng cứ</x:v>
      </x:c>
      <x:c r="U77" s="11" t="str">
        <x:v>N2 — Cơ quan, tổ chức</x:v>
      </x:c>
    </x:row>
    <x:row r="78" ht="115.5" customHeight="1">
      <x:c r="A78" s="14" t="n">
        <x:v>73</x:v>
      </x:c>
      <x:c r="B78" s="11" t="str">
        <x:v>T121</x:v>
      </x:c>
      <x:c r="C78" s="11" t="str">
        <x:v>Ủy ban Trung ương Mặt trận Tổ quốc Việt Nam</x:v>
      </x:c>
      <x:c r="D78" s="11" t="str">
        <x:v>Hán Việt + thuần Việt</x:v>
      </x:c>
      <x:c r="E78" s="11" t="str">
        <x:v>B — Phân tích tạm</x:v>
      </x:c>
      <x:c r="F78" s="11" t="str">
        <x:v>베트남 조국전선 중앙위원회</x:v>
      </x:c>
      <x:c r="G78" s="11" t="str">
        <x:v>Hán Hàn + ngoại lai khác</x:v>
      </x:c>
      <x:c r="H78" s="11" t="str">
        <x:v>B — Phân tích tạm</x:v>
      </x:c>
      <x:c r="I78" s="11" t="str">
        <x:f>IF(AND(LEFT(E78,1)="A",LEFT(H78,1)="A"),"A/A — Có chứng cứ hai phía",IF(OR(LEFT(E78,1)="C",LEFT(H78,1)="C"),"C — Còn điểm chưa chốt",IF(AND(OR(LEFT(E78,1)="A",LEFT(E78,1)="B"),OR(LEFT(H78,1)="A",LEFT(H78,1)="B")),"B — Cần bổ sung chứng cứ","Kiểm tra mức chứng cứ")))</x:f>
        <x:v>B — Cần bổ sung chứng cứ</x:v>
      </x:c>
      <x:c r="J78" s="11" t="str">
        <x:v>Có chứng cứ cho thành tố</x:v>
      </x:c>
      <x:c r="K78" s="11" t="str">
        <x:v>Ủy [HV 委]
ban [HV 班]
Trung ương [HV 中央]
Mặt [TV]
trận [HV 陣]
Tổ quốc [HV 祖國]
Việt Nam [HV 越南]</x:v>
      </x:c>
      <x:c r="L78" s="11" t="str">
        <x:v>베트남 [NL]
조국전선 [HH 祖國戰線 *]
중앙위원회 [HH 中央委員會]</x:v>
      </x:c>
      <x:c r="M78" s="11" t="str">
        <x:v>Phân tích cấu tạo theo thành tố; còn phần chưa có chứng cứ từ nguyên trực tiếp, xem cột ghi chú.
Mặt là thành tố Việt; các phần ủy, ban, trung ương, trận, Tổ quốc, Việt Nam gốc Hán. Tên tổ chức dài không mặc nhiên toàn Hán Việt.</x:v>
      </x:c>
      <x:c r="N7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8" s="11" t="str">
        <x:v>Hán Hàn + ngoại lai khác</x:v>
      </x:c>
      <x:c r="P78" s="11" t="str">
        <x:v>Việt: Việt Nam
Hàn: 베트남</x:v>
      </x:c>
      <x:c r="Q78" s="37" t="str">
        <x:v>ET012 (dòng 887)
ET013 (dòng 888)
ET002 (dòng 877)
ET067 (dòng 942)
ET068 (dòng 943)
ET069 (dòng 944)
ET044 (dòng 919)</x:v>
      </x:c>
      <x:c r="R78" s="37" t="str">
        <x:v>ET262 (dòng 1137)
ET239 (dòng 1114)</x:v>
      </x:c>
      <x:c r="S78" s="11" t="str"/>
      <x:c r="T78" s="11" t="str">
        <x:v>Ứng viên — còn thiếu chứng cứ</x:v>
      </x:c>
      <x:c r="U78" s="11" t="str">
        <x:v>N2 — Cơ quan, tổ chức</x:v>
      </x:c>
    </x:row>
    <x:row r="79" ht="100.5" customHeight="1">
      <x:c r="A79" s="14" t="n">
        <x:v>74</x:v>
      </x:c>
      <x:c r="B79" s="11" t="str">
        <x:v>T127</x:v>
      </x:c>
      <x:c r="C79" s="11" t="str">
        <x:v>Văn phòng Chính phủ</x:v>
      </x:c>
      <x:c r="D79" s="11" t="str">
        <x:v>Hán Việt</x:v>
      </x:c>
      <x:c r="E79" s="11" t="str">
        <x:v>A — Có chứng cứ thành tố</x:v>
      </x:c>
      <x:c r="F79" s="11" t="str">
        <x:v>정부 사무처</x:v>
      </x:c>
      <x:c r="G79" s="11" t="str">
        <x:v>Hán Hàn</x:v>
      </x:c>
      <x:c r="H79" s="11" t="str">
        <x:v>B — Phân tích tạm</x:v>
      </x:c>
      <x:c r="I79" s="11" t="str">
        <x:f>IF(AND(LEFT(E79,1)="A",LEFT(H79,1)="A"),"A/A — Có chứng cứ hai phía",IF(OR(LEFT(E79,1)="C",LEFT(H79,1)="C"),"C — Còn điểm chưa chốt",IF(AND(OR(LEFT(E79,1)="A",LEFT(E79,1)="B"),OR(LEFT(H79,1)="A",LEFT(H79,1)="B")),"B — Cần bổ sung chứng cứ","Kiểm tra mức chứng cứ")))</x:f>
        <x:v>B — Cần bổ sung chứng cứ</x:v>
      </x:c>
      <x:c r="J79" s="11" t="str">
        <x:v>Có chứng cứ cho thành tố</x:v>
      </x:c>
      <x:c r="K79" s="11" t="str">
        <x:v>Văn phòng [HV 文房]
Chính phủ [HV 政府]</x:v>
      </x:c>
      <x:c r="L79" s="11" t="str">
        <x:v>정부 [HH 政府]
사무처 [HH 事務處 *]</x:v>
      </x:c>
      <x:c r="M79" s="11" t="str">
        <x:v>Có nguồn âm/chữ hoặc nguồn từ nguyên cho các thành tố dùng để quyết định nhãn; việc ghép thành thuật ngữ là phân tích của nghiên cứu.</x:v>
      </x:c>
      <x:c r="N7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79" s="11" t="str">
        <x:v>Hán Hàn</x:v>
      </x:c>
      <x:c r="P79" s="11" t="str"/>
      <x:c r="Q79" s="37" t="str">
        <x:v>ET078 (dòng 953)
ET045 (dòng 920)</x:v>
      </x:c>
      <x:c r="R79" s="37" t="str">
        <x:v>ET266 (dòng 1141)</x:v>
      </x:c>
      <x:c r="S79" s="11" t="str"/>
      <x:c r="T79" s="11" t="str">
        <x:v>Ứng viên — còn thiếu chứng cứ</x:v>
      </x:c>
      <x:c r="U79" s="11" t="str">
        <x:v>N2 — Cơ quan, tổ chức</x:v>
      </x:c>
    </x:row>
    <x:row r="80" ht="100.5" customHeight="1">
      <x:c r="A80" s="14" t="n">
        <x:v>75</x:v>
      </x:c>
      <x:c r="B80" s="11" t="str">
        <x:v>T073</x:v>
      </x:c>
      <x:c r="C80" s="11" t="str">
        <x:v>chế độ chính trị</x:v>
      </x:c>
      <x:c r="D80" s="11" t="str">
        <x:v>Hán Việt</x:v>
      </x:c>
      <x:c r="E80" s="11" t="str">
        <x:v>A — Có chứng cứ thành tố</x:v>
      </x:c>
      <x:c r="F80" s="11" t="str">
        <x:v>정치 체제</x:v>
      </x:c>
      <x:c r="G80" s="11" t="str">
        <x:v>Hán Hàn</x:v>
      </x:c>
      <x:c r="H80" s="11" t="str">
        <x:v>B — Phân tích tạm</x:v>
      </x:c>
      <x:c r="I80" s="11" t="str">
        <x:f>IF(AND(LEFT(E80,1)="A",LEFT(H80,1)="A"),"A/A — Có chứng cứ hai phía",IF(OR(LEFT(E80,1)="C",LEFT(H80,1)="C"),"C — Còn điểm chưa chốt",IF(AND(OR(LEFT(E80,1)="A",LEFT(E80,1)="B"),OR(LEFT(H80,1)="A",LEFT(H80,1)="B")),"B — Cần bổ sung chứng cứ","Kiểm tra mức chứng cứ")))</x:f>
        <x:v>B — Cần bổ sung chứng cứ</x:v>
      </x:c>
      <x:c r="J80" s="11" t="str">
        <x:v>Có chứng cứ cho thành tố</x:v>
      </x:c>
      <x:c r="K80" s="11" t="str">
        <x:v>chế độ [HV 制度]
chính trị [HV 政治]</x:v>
      </x:c>
      <x:c r="L80" s="11" t="str">
        <x:v>정치 [HH 政治]
체제 [HH 體制 *]</x:v>
      </x:c>
      <x:c r="M80" s="11" t="str">
        <x:v>Có nguồn âm/chữ hoặc nguồn từ nguyên cho các thành tố dùng để quyết định nhãn; việc ghép thành thuật ngữ là phân tích của nghiên cứu.</x:v>
      </x:c>
      <x:c r="N8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0" s="11" t="str">
        <x:v>Hán Hàn</x:v>
      </x:c>
      <x:c r="P80" s="11" t="str"/>
      <x:c r="Q80" s="37" t="str">
        <x:v>ET079 (dòng 954)
ET034 (dòng 909)</x:v>
      </x:c>
      <x:c r="R80" s="37" t="str">
        <x:v>ET264 (dòng 1139)</x:v>
      </x:c>
      <x:c r="S80" s="11" t="str"/>
      <x:c r="T80" s="11" t="str">
        <x:v>Ứng viên — còn thiếu chứng cứ</x:v>
      </x:c>
      <x:c r="U80" s="11" t="str">
        <x:v>N3 — Thể chế, tư tưởng</x:v>
      </x:c>
    </x:row>
    <x:row r="81" ht="115.5" customHeight="1">
      <x:c r="A81" s="14" t="n">
        <x:v>76</x:v>
      </x:c>
      <x:c r="B81" s="11" t="str">
        <x:v>T129</x:v>
      </x:c>
      <x:c r="C81" s="11" t="str">
        <x:v>chính quyền địa phương hai cấp</x:v>
      </x:c>
      <x:c r="D81" s="11" t="str">
        <x:v>Hán Việt + thuần Việt</x:v>
      </x:c>
      <x:c r="E81" s="11" t="str">
        <x:v>A — Có chứng cứ thành tố</x:v>
      </x:c>
      <x:c r="F81" s="11" t="str">
        <x:v>2단계 지방 행정</x:v>
      </x:c>
      <x:c r="G81" s="11" t="str">
        <x:v>Hán Hàn</x:v>
      </x:c>
      <x:c r="H81" s="11" t="str">
        <x:v>B — Phân tích tạm</x:v>
      </x:c>
      <x:c r="I81" s="11" t="str">
        <x:f>IF(AND(LEFT(E81,1)="A",LEFT(H81,1)="A"),"A/A — Có chứng cứ hai phía",IF(OR(LEFT(E81,1)="C",LEFT(H81,1)="C"),"C — Còn điểm chưa chốt",IF(AND(OR(LEFT(E81,1)="A",LEFT(E81,1)="B"),OR(LEFT(H81,1)="A",LEFT(H81,1)="B")),"B — Cần bổ sung chứng cứ","Kiểm tra mức chứng cứ")))</x:f>
        <x:v>B — Cần bổ sung chứng cứ</x:v>
      </x:c>
      <x:c r="J81" s="11" t="str">
        <x:v>Có chứng cứ cho thành tố</x:v>
      </x:c>
      <x:c r="K81" s="11" t="str">
        <x:v>chính quyền [HV 政權]
địa phương [HV 地方]
hai [TV]
cấp [HV 級]</x:v>
      </x:c>
      <x:c r="L81" s="11" t="str">
        <x:v>2 [SỐ]
단계 [HH 段階 *]
지방 [HH 地方 *]
행정 [HH 行政 *]</x:v>
      </x:c>
      <x:c r="M81" s="11" t="str">
        <x:v>Có nguồn âm/chữ hoặc nguồn từ nguyên cho các thành tố dùng để quyết định nhãn; việc ghép thành thuật ngữ là phân tích của nghiên cứu.</x:v>
      </x:c>
      <x:c r="N8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 2 là ký hiệu số; 단계/지방/행정 là lớp Hán Hàn theo phân tích.</x:v>
      </x:c>
      <x:c r="O81" s="11" t="str">
        <x:v>Hán Hàn</x:v>
      </x:c>
      <x:c r="P81" s="11" t="str">
        <x:v>Hàn: 2</x:v>
      </x:c>
      <x:c r="Q81" s="37" t="str">
        <x:v>ET080 (dòng 955)
ET081 (dòng 956)
ET082 (dòng 957)
ET083 (dòng 958)</x:v>
      </x:c>
      <x:c r="R81" s="37" t="str">
        <x:v>Chưa có nguồn từ nguyên cụ thể trong lượt này</x:v>
      </x:c>
      <x:c r="S81" s="11" t="str"/>
      <x:c r="T81" s="11" t="str">
        <x:v>Lệch nghĩa / phạm vi</x:v>
      </x:c>
      <x:c r="U81" s="11" t="str">
        <x:v>N3 — Thể chế, tư tưởng</x:v>
      </x:c>
    </x:row>
    <x:row r="82" ht="100.5" customHeight="1">
      <x:c r="A82" s="14" t="n">
        <x:v>77</x:v>
      </x:c>
      <x:c r="B82" s="11" t="str">
        <x:v>T151</x:v>
      </x:c>
      <x:c r="C82" s="11" t="str">
        <x:v>chính sách đối ngoại</x:v>
      </x:c>
      <x:c r="D82" s="11" t="str">
        <x:v>Hán Việt</x:v>
      </x:c>
      <x:c r="E82" s="11" t="str">
        <x:v>A — Có chứng cứ thành tố</x:v>
      </x:c>
      <x:c r="F82" s="11" t="str">
        <x:v>외교정책</x:v>
      </x:c>
      <x:c r="G82" s="11" t="str">
        <x:v>Hán Hàn</x:v>
      </x:c>
      <x:c r="H82" s="11" t="str">
        <x:v>B — Phân tích tạm</x:v>
      </x:c>
      <x:c r="I82" s="11" t="str">
        <x:f>IF(AND(LEFT(E82,1)="A",LEFT(H82,1)="A"),"A/A — Có chứng cứ hai phía",IF(OR(LEFT(E82,1)="C",LEFT(H82,1)="C"),"C — Còn điểm chưa chốt",IF(AND(OR(LEFT(E82,1)="A",LEFT(E82,1)="B"),OR(LEFT(H82,1)="A",LEFT(H82,1)="B")),"B — Cần bổ sung chứng cứ","Kiểm tra mức chứng cứ")))</x:f>
        <x:v>B — Cần bổ sung chứng cứ</x:v>
      </x:c>
      <x:c r="J82" s="11" t="str">
        <x:v>Có chứng cứ cho thành tố</x:v>
      </x:c>
      <x:c r="K82" s="11" t="str">
        <x:v>chính sách [HV 政策]
đối ngoại [HV 對外]</x:v>
      </x:c>
      <x:c r="L82" s="11" t="str">
        <x:v>외교정책 [HH 外交政策 *]</x:v>
      </x:c>
      <x:c r="M82" s="11" t="str">
        <x:v>Có nguồn âm/chữ hoặc nguồn từ nguyên cho các thành tố dùng để quyết định nhãn; việc ghép thành thuật ngữ là phân tích của nghiên cứu.</x:v>
      </x:c>
      <x:c r="N8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2" s="11" t="str">
        <x:v>Hán Hàn</x:v>
      </x:c>
      <x:c r="P82" s="11" t="str"/>
      <x:c r="Q82" s="37" t="str">
        <x:v>ET084 (dòng 959)
ET085 (dòng 960)</x:v>
      </x:c>
      <x:c r="R82" s="37" t="str">
        <x:v>ET269 (dòng 1144)
ET268 (dòng 1143)
ET270 (dòng 1145)</x:v>
      </x:c>
      <x:c r="S82" s="11" t="str"/>
      <x:c r="T82" s="11" t="str">
        <x:v>Xác nhận — cùng biểu thức Anh</x:v>
      </x:c>
      <x:c r="U82" s="11" t="str">
        <x:v>N3 — Thể chế, tư tưởng</x:v>
      </x:c>
    </x:row>
    <x:row r="83" ht="85.5" customHeight="1">
      <x:c r="A83" s="14" t="n">
        <x:v>78</x:v>
      </x:c>
      <x:c r="B83" s="11" t="str">
        <x:v>T066</x:v>
      </x:c>
      <x:c r="C83" s="11" t="str">
        <x:v>chính sách quốc phòng</x:v>
      </x:c>
      <x:c r="D83" s="11" t="str">
        <x:v>Hán Việt</x:v>
      </x:c>
      <x:c r="E83" s="11" t="str">
        <x:v>A — Có chứng cứ thành tố</x:v>
      </x:c>
      <x:c r="F83" s="11" t="str">
        <x:v>국방정책</x:v>
      </x:c>
      <x:c r="G83" s="11" t="str">
        <x:v>Hán Hàn</x:v>
      </x:c>
      <x:c r="H83" s="11" t="str">
        <x:v>A — Có chứng cứ thành tố</x:v>
      </x:c>
      <x:c r="I83" s="11" t="str">
        <x:f>IF(AND(LEFT(E83,1)="A",LEFT(H83,1)="A"),"A/A — Có chứng cứ hai phía",IF(OR(LEFT(E83,1)="C",LEFT(H83,1)="C"),"C — Còn điểm chưa chốt",IF(AND(OR(LEFT(E83,1)="A",LEFT(E83,1)="B"),OR(LEFT(H83,1)="A",LEFT(H83,1)="B")),"B — Cần bổ sung chứng cứ","Kiểm tra mức chứng cứ")))</x:f>
        <x:v>A/A — Có chứng cứ hai phía</x:v>
      </x:c>
      <x:c r="J83" s="11" t="str">
        <x:v>Có chứng cứ cho thành tố</x:v>
      </x:c>
      <x:c r="K83" s="11" t="str">
        <x:v>chính sách [HV 政策]
quốc phòng [HV 國防]</x:v>
      </x:c>
      <x:c r="L83" s="11" t="str">
        <x:v>국방정책 [HH 國防政策]</x:v>
      </x:c>
      <x:c r="M83" s="11" t="str">
        <x:v>Có nguồn âm/chữ hoặc nguồn từ nguyên cho các thành tố dùng để quyết định nhãn; việc ghép thành thuật ngữ là phân tích của nghiên cứu.</x:v>
      </x:c>
      <x:c r="N83" s="11" t="str">
        <x:v>Đã tìm thấy nguồn mục từ/thành tố ghi nguyên dạng hoặc lớp từ cho toàn bộ thành tố quyết định kết luận.</x:v>
      </x:c>
      <x:c r="O83" s="11" t="str">
        <x:v>Hán Hàn</x:v>
      </x:c>
      <x:c r="P83" s="11" t="str"/>
      <x:c r="Q83" s="37" t="str">
        <x:v>ET084 (dòng 959)
ET008 (dòng 883)</x:v>
      </x:c>
      <x:c r="R83" s="37" t="str">
        <x:v>ET245 (dòng 1120)</x:v>
      </x:c>
      <x:c r="S83" s="11" t="str"/>
      <x:c r="T83" s="11" t="str">
        <x:v>Ứng viên — còn thiếu chứng cứ</x:v>
      </x:c>
      <x:c r="U83" s="11" t="str">
        <x:v>N3 — Thể chế, tư tưởng</x:v>
      </x:c>
    </x:row>
    <x:row r="84" ht="100.5" customHeight="1">
      <x:c r="A84" s="14" t="n">
        <x:v>79</x:v>
      </x:c>
      <x:c r="B84" s="11" t="str">
        <x:v>T072</x:v>
      </x:c>
      <x:c r="C84" s="11" t="str">
        <x:v>chính sách tôn giáo</x:v>
      </x:c>
      <x:c r="D84" s="11" t="str">
        <x:v>Hán Việt</x:v>
      </x:c>
      <x:c r="E84" s="11" t="str">
        <x:v>A — Có chứng cứ thành tố</x:v>
      </x:c>
      <x:c r="F84" s="11" t="str">
        <x:v>종교 정책</x:v>
      </x:c>
      <x:c r="G84" s="11" t="str">
        <x:v>Hán Hàn</x:v>
      </x:c>
      <x:c r="H84" s="11" t="str">
        <x:v>B — Phân tích tạm</x:v>
      </x:c>
      <x:c r="I84" s="11" t="str">
        <x:f>IF(AND(LEFT(E84,1)="A",LEFT(H84,1)="A"),"A/A — Có chứng cứ hai phía",IF(OR(LEFT(E84,1)="C",LEFT(H84,1)="C"),"C — Còn điểm chưa chốt",IF(AND(OR(LEFT(E84,1)="A",LEFT(E84,1)="B"),OR(LEFT(H84,1)="A",LEFT(H84,1)="B")),"B — Cần bổ sung chứng cứ","Kiểm tra mức chứng cứ")))</x:f>
        <x:v>B — Cần bổ sung chứng cứ</x:v>
      </x:c>
      <x:c r="J84" s="11" t="str">
        <x:v>Có chứng cứ cho thành tố</x:v>
      </x:c>
      <x:c r="K84" s="11" t="str">
        <x:v>chính sách [HV 政策]
tôn giáo [HV 宗教]</x:v>
      </x:c>
      <x:c r="L84" s="11" t="str">
        <x:v>종교 [HH 宗敎 *]
정책 [HH 政策]</x:v>
      </x:c>
      <x:c r="M84" s="11" t="str">
        <x:v>Có nguồn âm/chữ hoặc nguồn từ nguyên cho các thành tố dùng để quyết định nhãn; việc ghép thành thuật ngữ là phân tích của nghiên cứu.</x:v>
      </x:c>
      <x:c r="N8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4" s="11" t="str">
        <x:v>Hán Hàn</x:v>
      </x:c>
      <x:c r="P84" s="11" t="str"/>
      <x:c r="Q84" s="37" t="str">
        <x:v>ET084 (dòng 959)
ET086 (dòng 961)</x:v>
      </x:c>
      <x:c r="R84" s="37" t="str">
        <x:v>ET270 (dòng 1145)</x:v>
      </x:c>
      <x:c r="S84" s="11" t="str"/>
      <x:c r="T84" s="11" t="str">
        <x:v>Ứng viên — còn thiếu chứng cứ</x:v>
      </x:c>
      <x:c r="U84" s="11" t="str">
        <x:v>N3 — Thể chế, tư tưởng</x:v>
      </x:c>
    </x:row>
    <x:row r="85" ht="100.5" customHeight="1">
      <x:c r="A85" s="14" t="n">
        <x:v>80</x:v>
      </x:c>
      <x:c r="B85" s="11" t="str">
        <x:v>T154</x:v>
      </x:c>
      <x:c r="C85" s="11" t="str">
        <x:v>chủ nghĩa đa phương</x:v>
      </x:c>
      <x:c r="D85" s="11" t="str">
        <x:v>Hán Việt</x:v>
      </x:c>
      <x:c r="E85" s="11" t="str">
        <x:v>A — Có chứng cứ thành tố</x:v>
      </x:c>
      <x:c r="F85" s="11" t="str">
        <x:v>다자주의</x:v>
      </x:c>
      <x:c r="G85" s="11" t="str">
        <x:v>Hán Hàn</x:v>
      </x:c>
      <x:c r="H85" s="11" t="str">
        <x:v>B — Phân tích tạm</x:v>
      </x:c>
      <x:c r="I85" s="11" t="str">
        <x:f>IF(AND(LEFT(E85,1)="A",LEFT(H85,1)="A"),"A/A — Có chứng cứ hai phía",IF(OR(LEFT(E85,1)="C",LEFT(H85,1)="C"),"C — Còn điểm chưa chốt",IF(AND(OR(LEFT(E85,1)="A",LEFT(E85,1)="B"),OR(LEFT(H85,1)="A",LEFT(H85,1)="B")),"B — Cần bổ sung chứng cứ","Kiểm tra mức chứng cứ")))</x:f>
        <x:v>B — Cần bổ sung chứng cứ</x:v>
      </x:c>
      <x:c r="J85" s="11" t="str">
        <x:v>Có chứng cứ cho thành tố</x:v>
      </x:c>
      <x:c r="K85" s="11" t="str">
        <x:v>chủ nghĩa [HV 主義]
đa phương [HV 多方]</x:v>
      </x:c>
      <x:c r="L85" s="11" t="str">
        <x:v>다자주의 [HH 多者主義 *]</x:v>
      </x:c>
      <x:c r="M85" s="11" t="str">
        <x:v>Có nguồn âm/chữ hoặc nguồn từ nguyên cho các thành tố dùng để quyết định nhãn; việc ghép thành thuật ngữ là phân tích của nghiên cứu.</x:v>
      </x:c>
      <x:c r="N8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5" s="11" t="str">
        <x:v>Hán Hàn</x:v>
      </x:c>
      <x:c r="P85" s="11" t="str"/>
      <x:c r="Q85" s="37" t="str">
        <x:v>ET087 (dòng 962)
ET088 (dòng 963)</x:v>
      </x:c>
      <x:c r="R85" s="37" t="str">
        <x:v>ET271 (dòng 1146)
ET272 (dòng 1147)</x:v>
      </x:c>
      <x:c r="S85" s="11" t="str"/>
      <x:c r="T85" s="11" t="str">
        <x:v>Xác nhận — cùng biểu thức Anh</x:v>
      </x:c>
      <x:c r="U85" s="11" t="str">
        <x:v>N3 — Thể chế, tư tưởng</x:v>
      </x:c>
    </x:row>
    <x:row r="86" ht="85.5" customHeight="1">
      <x:c r="A86" s="14" t="n">
        <x:v>81</x:v>
      </x:c>
      <x:c r="B86" s="11" t="str">
        <x:v>T055</x:v>
      </x:c>
      <x:c r="C86" s="11" t="str">
        <x:v>chủ nghĩa Mác-Lênin</x:v>
      </x:c>
      <x:c r="D86" s="11" t="str">
        <x:v>Hán Việt + ngoại lai khác</x:v>
      </x:c>
      <x:c r="E86" s="11" t="str">
        <x:v>B — Phân tích tạm</x:v>
      </x:c>
      <x:c r="F86" s="11" t="str">
        <x:v>마르크스-레닌주의</x:v>
      </x:c>
      <x:c r="G86" s="11" t="str">
        <x:v>Hán Hàn + ngoại lai khác</x:v>
      </x:c>
      <x:c r="H86" s="11" t="str">
        <x:v>B — Phân tích tạm</x:v>
      </x:c>
      <x:c r="I86" s="11" t="str">
        <x:f>IF(AND(LEFT(E86,1)="A",LEFT(H86,1)="A"),"A/A — Có chứng cứ hai phía",IF(OR(LEFT(E86,1)="C",LEFT(H86,1)="C"),"C — Còn điểm chưa chốt",IF(AND(OR(LEFT(E86,1)="A",LEFT(E86,1)="B"),OR(LEFT(H86,1)="A",LEFT(H86,1)="B")),"B — Cần bổ sung chứng cứ","Kiểm tra mức chứng cứ")))</x:f>
        <x:v>B — Cần bổ sung chứng cứ</x:v>
      </x:c>
      <x:c r="J86" s="11" t="str">
        <x:v>Có chứng cứ cho thành tố</x:v>
      </x:c>
      <x:c r="K86" s="11" t="str">
        <x:v>chủ nghĩa [HV 主義]
Mác [NL]
Lênin [NL]</x:v>
      </x:c>
      <x:c r="L86" s="11" t="str">
        <x:v>마르크스 [NL]
레닌 [NL]
주의 [HH 主義]</x:v>
      </x:c>
      <x:c r="M86" s="11" t="str">
        <x:v>Phân tích cấu tạo theo thành tố; còn phần chưa có chứng cứ từ nguyên trực tiếp, xem cột ghi chú.
Mác, Lênin là tên riêng phiên âm nước ngoài; không chuyển tên thành chữ Hán rồi suy rằng đó là Hán Việt.</x:v>
      </x:c>
      <x:c r="N86" s="11" t="str">
        <x:v>Phân tích cấu tạo của người rà soát; nguồn dưới đây chỉ chứng thực các thành tố được nêu. Chưa đối chiếu từ nguyên riêng cho toàn bộ thành tố.
마르크스/레닌 là tên người phiên âm; hậu tố 주의 主義 thuộc Hán Hàn.</x:v>
      </x:c>
      <x:c r="O86" s="11" t="str">
        <x:v>Hán Hàn + ngoại lai khác</x:v>
      </x:c>
      <x:c r="P86" s="11" t="str">
        <x:v>Việt: Mác
Việt: Lênin
Hàn: 마르크스
Hàn: 레닌</x:v>
      </x:c>
      <x:c r="Q86" s="37" t="str">
        <x:v>ET087 (dòng 962)</x:v>
      </x:c>
      <x:c r="R86" s="37" t="str">
        <x:v>ET271 (dòng 1146)</x:v>
      </x:c>
      <x:c r="S86" s="11" t="str"/>
      <x:c r="T86" s="11" t="str">
        <x:v>Ứng viên — còn thiếu chứng cứ</x:v>
      </x:c>
      <x:c r="U86" s="11" t="str">
        <x:v>N3 — Thể chế, tư tưởng</x:v>
      </x:c>
    </x:row>
    <x:row r="87" ht="100.5" customHeight="1">
      <x:c r="A87" s="14" t="n">
        <x:v>82</x:v>
      </x:c>
      <x:c r="B87" s="11" t="str">
        <x:v>CGP001</x:v>
      </x:c>
      <x:c r="C87" s="11" t="str">
        <x:v>chủ nghĩa quốc tế</x:v>
      </x:c>
      <x:c r="D87" s="11" t="str">
        <x:v>Hán Việt</x:v>
      </x:c>
      <x:c r="E87" s="11" t="str">
        <x:v>A — Có chứng cứ thành tố</x:v>
      </x:c>
      <x:c r="F87" s="11" t="str">
        <x:v>국제주의</x:v>
      </x:c>
      <x:c r="G87" s="11" t="str">
        <x:v>Hán Hàn</x:v>
      </x:c>
      <x:c r="H87" s="11" t="str">
        <x:v>B — Phân tích tạm</x:v>
      </x:c>
      <x:c r="I87" s="11" t="str">
        <x:f>IF(AND(LEFT(E87,1)="A",LEFT(H87,1)="A"),"A/A — Có chứng cứ hai phía",IF(OR(LEFT(E87,1)="C",LEFT(H87,1)="C"),"C — Còn điểm chưa chốt",IF(AND(OR(LEFT(E87,1)="A",LEFT(E87,1)="B"),OR(LEFT(H87,1)="A",LEFT(H87,1)="B")),"B — Cần bổ sung chứng cứ","Kiểm tra mức chứng cứ")))</x:f>
        <x:v>B — Cần bổ sung chứng cứ</x:v>
      </x:c>
      <x:c r="J87" s="11" t="str">
        <x:v>Có chứng cứ cho thành tố</x:v>
      </x:c>
      <x:c r="K87" s="11" t="str">
        <x:v>chủ nghĩa [HV 主義]
quốc tế [HV 國際]</x:v>
      </x:c>
      <x:c r="L87" s="11" t="str">
        <x:v>국제주의 [HH 國際主義 *]</x:v>
      </x:c>
      <x:c r="M87" s="11" t="str">
        <x:v>Có nguồn âm/chữ hoặc nguồn từ nguyên cho các thành tố dùng để quyết định nhãn; việc ghép thành thuật ngữ là phân tích của nghiên cứu.</x:v>
      </x:c>
      <x:c r="N8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87" s="11" t="str">
        <x:v>Hán Hàn</x:v>
      </x:c>
      <x:c r="P87" s="11" t="str"/>
      <x:c r="Q87" s="37" t="str">
        <x:v>ET087 (dòng 962)
ET089 (dòng 964)</x:v>
      </x:c>
      <x:c r="R87" s="37" t="str">
        <x:v>ET268 (dòng 1143)
ET271 (dòng 1146)</x:v>
      </x:c>
      <x:c r="S87" s="11" t="str"/>
      <x:c r="T87" s="11" t="str">
        <x:v>Ứng viên — còn thiếu chứng cứ</x:v>
      </x:c>
      <x:c r="U87" s="11" t="str">
        <x:v>N3 — Thể chế, tư tưởng</x:v>
      </x:c>
    </x:row>
    <x:row r="88" ht="85.5" customHeight="1">
      <x:c r="A88" s="14" t="n">
        <x:v>83</x:v>
      </x:c>
      <x:c r="B88" s="11" t="str">
        <x:v>T029</x:v>
      </x:c>
      <x:c r="C88" s="11" t="str">
        <x:v>chủ nghĩa xã hội</x:v>
      </x:c>
      <x:c r="D88" s="11" t="str">
        <x:v>Hán Việt</x:v>
      </x:c>
      <x:c r="E88" s="11" t="str">
        <x:v>A — Có chứng cứ thành tố</x:v>
      </x:c>
      <x:c r="F88" s="11" t="str">
        <x:v>사회주의</x:v>
      </x:c>
      <x:c r="G88" s="11" t="str">
        <x:v>Hán Hàn</x:v>
      </x:c>
      <x:c r="H88" s="11" t="str">
        <x:v>A — Có chứng cứ thành tố</x:v>
      </x:c>
      <x:c r="I88" s="11" t="str">
        <x:f>IF(AND(LEFT(E88,1)="A",LEFT(H88,1)="A"),"A/A — Có chứng cứ hai phía",IF(OR(LEFT(E88,1)="C",LEFT(H88,1)="C"),"C — Còn điểm chưa chốt",IF(AND(OR(LEFT(E88,1)="A",LEFT(E88,1)="B"),OR(LEFT(H88,1)="A",LEFT(H88,1)="B")),"B — Cần bổ sung chứng cứ","Kiểm tra mức chứng cứ")))</x:f>
        <x:v>A/A — Có chứng cứ hai phía</x:v>
      </x:c>
      <x:c r="J88" s="11" t="str">
        <x:v>Có chứng cứ cho thành tố</x:v>
      </x:c>
      <x:c r="K88" s="11" t="str">
        <x:v>chủ nghĩa [HV 主義]
xã hội [HV 社會]</x:v>
      </x:c>
      <x:c r="L88" s="11" t="str">
        <x:v>사회주의 [HH 社會主義]</x:v>
      </x:c>
      <x:c r="M88" s="11" t="str">
        <x:v>Có nguồn âm/chữ hoặc nguồn từ nguyên cho các thành tố dùng để quyết định nhãn; việc ghép thành thuật ngữ là phân tích của nghiên cứu.</x:v>
      </x:c>
      <x:c r="N88" s="11" t="str">
        <x:v>Đã tìm thấy nguồn mục từ/thành tố ghi nguyên dạng hoặc lớp từ cho toàn bộ thành tố quyết định kết luận.</x:v>
      </x:c>
      <x:c r="O88" s="11" t="str">
        <x:v>Hán Hàn</x:v>
      </x:c>
      <x:c r="P88" s="11" t="str"/>
      <x:c r="Q88" s="37" t="str">
        <x:v>ET087 (dòng 962)
ET090 (dòng 965)</x:v>
      </x:c>
      <x:c r="R88" s="37" t="str">
        <x:v>ET271 (dòng 1146)</x:v>
      </x:c>
      <x:c r="S88" s="11" t="str"/>
      <x:c r="T88" s="11" t="str">
        <x:v>Có điều kiện — chưa chốt</x:v>
      </x:c>
      <x:c r="U88" s="11" t="str">
        <x:v>N3 — Thể chế, tư tưởng</x:v>
      </x:c>
    </x:row>
    <x:row r="89" ht="85.5" customHeight="1">
      <x:c r="A89" s="14" t="n">
        <x:v>84</x:v>
      </x:c>
      <x:c r="B89" s="11" t="str">
        <x:v>T061</x:v>
      </x:c>
      <x:c r="C89" s="11" t="str">
        <x:v>chủ quyền quốc gia</x:v>
      </x:c>
      <x:c r="D89" s="11" t="str">
        <x:v>Hán Việt</x:v>
      </x:c>
      <x:c r="E89" s="11" t="str">
        <x:v>A — Có chứng cứ thành tố</x:v>
      </x:c>
      <x:c r="F89" s="11" t="str">
        <x:v>국가 주권</x:v>
      </x:c>
      <x:c r="G89" s="11" t="str">
        <x:v>Hán Hàn</x:v>
      </x:c>
      <x:c r="H89" s="11" t="str">
        <x:v>A — Có chứng cứ thành tố</x:v>
      </x:c>
      <x:c r="I89" s="11" t="str">
        <x:f>IF(AND(LEFT(E89,1)="A",LEFT(H89,1)="A"),"A/A — Có chứng cứ hai phía",IF(OR(LEFT(E89,1)="C",LEFT(H89,1)="C"),"C — Còn điểm chưa chốt",IF(AND(OR(LEFT(E89,1)="A",LEFT(E89,1)="B"),OR(LEFT(H89,1)="A",LEFT(H89,1)="B")),"B — Cần bổ sung chứng cứ","Kiểm tra mức chứng cứ")))</x:f>
        <x:v>A/A — Có chứng cứ hai phía</x:v>
      </x:c>
      <x:c r="J89" s="11" t="str">
        <x:v>Có chứng cứ cho thành tố</x:v>
      </x:c>
      <x:c r="K89" s="11" t="str">
        <x:v>chủ quyền [HV 主權]
quốc gia [HV 國家]</x:v>
      </x:c>
      <x:c r="L89" s="11" t="str">
        <x:v>국가 [HH 國家]
주권 [HH 主權]</x:v>
      </x:c>
      <x:c r="M89" s="11" t="str">
        <x:v>Có nguồn âm/chữ hoặc nguồn từ nguyên cho các thành tố dùng để quyết định nhãn; việc ghép thành thuật ngữ là phân tích của nghiên cứu.</x:v>
      </x:c>
      <x:c r="N89" s="11" t="str">
        <x:v>Đã tìm thấy nguồn mục từ/thành tố ghi nguyên dạng hoặc lớp từ cho toàn bộ thành tố quyết định kết luận.</x:v>
      </x:c>
      <x:c r="O89" s="11" t="str">
        <x:v>Hán Hàn</x:v>
      </x:c>
      <x:c r="P89" s="11" t="str"/>
      <x:c r="Q89" s="37" t="str">
        <x:v>ET091 (dòng 966)
ET019 (dòng 894)</x:v>
      </x:c>
      <x:c r="R89" s="37" t="str">
        <x:v>ET246 (dòng 1121)
ET247 (dòng 1122)
ET273 (dòng 1148)</x:v>
      </x:c>
      <x:c r="S89" s="11" t="str"/>
      <x:c r="T89" s="11" t="str">
        <x:v>Ứng viên — còn thiếu chứng cứ</x:v>
      </x:c>
      <x:c r="U89" s="11" t="str">
        <x:v>N3 — Thể chế, tư tưởng</x:v>
      </x:c>
    </x:row>
    <x:row r="90" ht="85.5" customHeight="1">
      <x:c r="A90" s="14" t="n">
        <x:v>85</x:v>
      </x:c>
      <x:c r="B90" s="11" t="str">
        <x:v>T023</x:v>
      </x:c>
      <x:c r="C90" s="11" t="str">
        <x:v>dân chủ</x:v>
      </x:c>
      <x:c r="D90" s="11" t="str">
        <x:v>Hán Việt</x:v>
      </x:c>
      <x:c r="E90" s="11" t="str">
        <x:v>A — Có chứng cứ thành tố</x:v>
      </x:c>
      <x:c r="F90" s="11" t="str">
        <x:v>민주주의</x:v>
      </x:c>
      <x:c r="G90" s="11" t="str">
        <x:v>Hán Hàn</x:v>
      </x:c>
      <x:c r="H90" s="11" t="str">
        <x:v>A — Có chứng cứ thành tố</x:v>
      </x:c>
      <x:c r="I90" s="11" t="str">
        <x:f>IF(AND(LEFT(E90,1)="A",LEFT(H90,1)="A"),"A/A — Có chứng cứ hai phía",IF(OR(LEFT(E90,1)="C",LEFT(H90,1)="C"),"C — Còn điểm chưa chốt",IF(AND(OR(LEFT(E90,1)="A",LEFT(E90,1)="B"),OR(LEFT(H90,1)="A",LEFT(H90,1)="B")),"B — Cần bổ sung chứng cứ","Kiểm tra mức chứng cứ")))</x:f>
        <x:v>A/A — Có chứng cứ hai phía</x:v>
      </x:c>
      <x:c r="J90" s="11" t="str">
        <x:v>Có mục từ cả dạng biểu thức</x:v>
      </x:c>
      <x:c r="K90" s="11" t="str">
        <x:v>dân chủ [HV 民主]</x:v>
      </x:c>
      <x:c r="L90" s="11" t="str">
        <x:v>민주주의 [HH 民主主義]</x:v>
      </x:c>
      <x:c r="M90" s="11" t="str">
        <x:v>Có nguồn âm/chữ hoặc nguồn từ nguyên cho các thành tố dùng để quyết định nhãn; việc ghép thành thuật ngữ là phân tích của nghiên cứu.</x:v>
      </x:c>
      <x:c r="N90" s="11" t="str">
        <x:v>Đã tìm thấy nguồn mục từ/thành tố ghi nguyên dạng hoặc lớp từ cho toàn bộ thành tố quyết định kết luận.</x:v>
      </x:c>
      <x:c r="O90" s="11" t="str">
        <x:v>Hán Hàn</x:v>
      </x:c>
      <x:c r="P90" s="11" t="str"/>
      <x:c r="Q90" s="37" t="str">
        <x:v>ET092 (dòng 967)</x:v>
      </x:c>
      <x:c r="R90" s="37" t="str">
        <x:v>ET274 (dòng 1149)</x:v>
      </x:c>
      <x:c r="S90" s="11" t="str"/>
      <x:c r="T90" s="11" t="str">
        <x:v>Có điều kiện — chưa chốt</x:v>
      </x:c>
      <x:c r="U90" s="11" t="str">
        <x:v>N3 — Thể chế, tư tưởng</x:v>
      </x:c>
    </x:row>
    <x:row r="91" ht="100.5" customHeight="1">
      <x:c r="A91" s="14" t="n">
        <x:v>86</x:v>
      </x:c>
      <x:c r="B91" s="11" t="str">
        <x:v>T042</x:v>
      </x:c>
      <x:c r="C91" s="11" t="str">
        <x:v>độc lập dân tộc</x:v>
      </x:c>
      <x:c r="D91" s="11" t="str">
        <x:v>Hán Việt</x:v>
      </x:c>
      <x:c r="E91" s="11" t="str">
        <x:v>A — Có chứng cứ thành tố</x:v>
      </x:c>
      <x:c r="F91" s="11" t="str">
        <x:v>민족 독립</x:v>
      </x:c>
      <x:c r="G91" s="11" t="str">
        <x:v>Hán Hàn</x:v>
      </x:c>
      <x:c r="H91" s="11" t="str">
        <x:v>B — Phân tích tạm</x:v>
      </x:c>
      <x:c r="I91" s="11" t="str">
        <x:f>IF(AND(LEFT(E91,1)="A",LEFT(H91,1)="A"),"A/A — Có chứng cứ hai phía",IF(OR(LEFT(E91,1)="C",LEFT(H91,1)="C"),"C — Còn điểm chưa chốt",IF(AND(OR(LEFT(E91,1)="A",LEFT(E91,1)="B"),OR(LEFT(H91,1)="A",LEFT(H91,1)="B")),"B — Cần bổ sung chứng cứ","Kiểm tra mức chứng cứ")))</x:f>
        <x:v>B — Cần bổ sung chứng cứ</x:v>
      </x:c>
      <x:c r="J91" s="11" t="str">
        <x:v>Có chứng cứ cho thành tố</x:v>
      </x:c>
      <x:c r="K91" s="11" t="str">
        <x:v>độc lập [HV 獨立]
dân tộc [HV 民族]</x:v>
      </x:c>
      <x:c r="L91" s="11" t="str">
        <x:v>민족 [HH 民族 *]
독립 [HH 獨立 *]</x:v>
      </x:c>
      <x:c r="M91" s="11" t="str">
        <x:v>Có nguồn âm/chữ hoặc nguồn từ nguyên cho các thành tố dùng để quyết định nhãn; việc ghép thành thuật ngữ là phân tích của nghiên cứu.</x:v>
      </x:c>
      <x:c r="N9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91" s="11" t="str">
        <x:v>Hán Hàn</x:v>
      </x:c>
      <x:c r="P91" s="11" t="str"/>
      <x:c r="Q91" s="37" t="str">
        <x:v>ET093 (dòng 968)
ET094 (dòng 969)</x:v>
      </x:c>
      <x:c r="R91" s="37" t="str">
        <x:v>Chưa có nguồn từ nguyên cụ thể trong lượt này</x:v>
      </x:c>
      <x:c r="S91" s="11" t="str"/>
      <x:c r="T91" s="11" t="str">
        <x:v>Ứng viên — còn thiếu chứng cứ</x:v>
      </x:c>
      <x:c r="U91" s="11" t="str">
        <x:v>Cần xem xét</x:v>
      </x:c>
    </x:row>
    <x:row r="92" ht="100.5" customHeight="1">
      <x:c r="A92" s="14" t="n">
        <x:v>87</x:v>
      </x:c>
      <x:c r="B92" s="11" t="str">
        <x:v>T037</x:v>
      </x:c>
      <x:c r="C92" s="11" t="str">
        <x:v>độc lập, tự chủ</x:v>
      </x:c>
      <x:c r="D92" s="11" t="str">
        <x:v>Hán Việt</x:v>
      </x:c>
      <x:c r="E92" s="11" t="str">
        <x:v>A — Có chứng cứ thành tố</x:v>
      </x:c>
      <x:c r="F92" s="11" t="str">
        <x:v>독립, 자주</x:v>
      </x:c>
      <x:c r="G92" s="11" t="str">
        <x:v>Hán Hàn</x:v>
      </x:c>
      <x:c r="H92" s="11" t="str">
        <x:v>B — Phân tích tạm</x:v>
      </x:c>
      <x:c r="I92" s="11" t="str">
        <x:f>IF(AND(LEFT(E92,1)="A",LEFT(H92,1)="A"),"A/A — Có chứng cứ hai phía",IF(OR(LEFT(E92,1)="C",LEFT(H92,1)="C"),"C — Còn điểm chưa chốt",IF(AND(OR(LEFT(E92,1)="A",LEFT(E92,1)="B"),OR(LEFT(H92,1)="A",LEFT(H92,1)="B")),"B — Cần bổ sung chứng cứ","Kiểm tra mức chứng cứ")))</x:f>
        <x:v>B — Cần bổ sung chứng cứ</x:v>
      </x:c>
      <x:c r="J92" s="11" t="str">
        <x:v>Có chứng cứ cho thành tố</x:v>
      </x:c>
      <x:c r="K92" s="11" t="str">
        <x:v>độc lập [HV 獨立]
tự chủ [HV 自主]</x:v>
      </x:c>
      <x:c r="L92" s="11" t="str">
        <x:v>독립 [HH 獨立 *]
자주 [HH 自主 *]</x:v>
      </x:c>
      <x:c r="M92" s="11" t="str">
        <x:v>Có nguồn âm/chữ hoặc nguồn từ nguyên cho các thành tố dùng để quyết định nhãn; việc ghép thành thuật ngữ là phân tích của nghiên cứu.</x:v>
      </x:c>
      <x:c r="N9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92" s="11" t="str">
        <x:v>Hán Hàn</x:v>
      </x:c>
      <x:c r="P92" s="11" t="str"/>
      <x:c r="Q92" s="37" t="str">
        <x:v>ET093 (dòng 968)
ET095 (dòng 970)</x:v>
      </x:c>
      <x:c r="R92" s="37" t="str">
        <x:v>Chưa có nguồn từ nguyên cụ thể trong lượt này</x:v>
      </x:c>
      <x:c r="S92" s="11" t="str"/>
      <x:c r="T92" s="11" t="str">
        <x:v>Ứng viên — còn thiếu chứng cứ</x:v>
      </x:c>
      <x:c r="U92" s="11" t="str">
        <x:v>N3 — Thể chế, tư tưởng</x:v>
      </x:c>
    </x:row>
    <x:row r="93" ht="100.5" customHeight="1">
      <x:c r="A93" s="14" t="n">
        <x:v>88</x:v>
      </x:c>
      <x:c r="B93" s="11" t="str">
        <x:v>T022</x:v>
      </x:c>
      <x:c r="C93" s="11" t="str">
        <x:v>đường lối</x:v>
      </x:c>
      <x:c r="D93" s="11" t="str">
        <x:v>Thuần Việt</x:v>
      </x:c>
      <x:c r="E93" s="11" t="str">
        <x:v>B — Phân tích tạm</x:v>
      </x:c>
      <x:c r="F93" s="11" t="str">
        <x:v>노선</x:v>
      </x:c>
      <x:c r="G93" s="11" t="str">
        <x:v>Hán Hàn</x:v>
      </x:c>
      <x:c r="H93" s="11" t="str">
        <x:v>B — Phân tích tạm</x:v>
      </x:c>
      <x:c r="I93" s="11" t="str">
        <x:f>IF(AND(LEFT(E93,1)="A",LEFT(H93,1)="A"),"A/A — Có chứng cứ hai phía",IF(OR(LEFT(E93,1)="C",LEFT(H93,1)="C"),"C — Còn điểm chưa chốt",IF(AND(OR(LEFT(E93,1)="A",LEFT(E93,1)="B"),OR(LEFT(H93,1)="A",LEFT(H93,1)="B")),"B — Cần bổ sung chứng cứ","Kiểm tra mức chứng cứ")))</x:f>
        <x:v>B — Cần bổ sung chứng cứ</x:v>
      </x:c>
      <x:c r="J93" s="11" t="str">
        <x:v>Chưa có chứng cứ HVDic trong lượt này</x:v>
      </x:c>
      <x:c r="K93" s="11" t="str">
        <x:v>đường [TV]
lối [TV]</x:v>
      </x:c>
      <x:c r="L93" s="11" t="str">
        <x:v>노선 [HH 路線 *]</x:v>
      </x:c>
      <x:c r="M93" s="11" t="str">
        <x:v>Phân tích cấu tạo theo thành tố; còn phần chưa có chứng cứ từ nguyên trực tiếp, xem cột ghi chú.</x:v>
      </x:c>
      <x:c r="N93"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93" s="11" t="str">
        <x:v>Hán Hàn</x:v>
      </x:c>
      <x:c r="P93" s="11" t="str"/>
      <x:c r="Q93" s="37" t="str">
        <x:v>ET096 (dòng 971)</x:v>
      </x:c>
      <x:c r="R93" s="37" t="str">
        <x:v>Chưa có nguồn từ nguyên cụ thể trong lượt này</x:v>
      </x:c>
      <x:c r="S93" s="11" t="str"/>
      <x:c r="T93" s="11" t="str">
        <x:v>Ứng viên — còn thiếu chứng cứ</x:v>
      </x:c>
      <x:c r="U93" s="11" t="str">
        <x:v>N3 — Thể chế, tư tưởng</x:v>
      </x:c>
    </x:row>
    <x:row r="94" ht="100.5" customHeight="1">
      <x:c r="A94" s="14" t="n">
        <x:v>89</x:v>
      </x:c>
      <x:c r="B94" s="11" t="str">
        <x:v>T145</x:v>
      </x:c>
      <x:c r="C94" s="11" t="str">
        <x:v>đường lối đối ngoại</x:v>
      </x:c>
      <x:c r="D94" s="11" t="str">
        <x:v>Hán Việt + thuần Việt</x:v>
      </x:c>
      <x:c r="E94" s="11" t="str">
        <x:v>B — Phân tích tạm</x:v>
      </x:c>
      <x:c r="F94" s="11" t="str">
        <x:v>대외정책 노선</x:v>
      </x:c>
      <x:c r="G94" s="11" t="str">
        <x:v>Hán Hàn</x:v>
      </x:c>
      <x:c r="H94" s="11" t="str">
        <x:v>B — Phân tích tạm</x:v>
      </x:c>
      <x:c r="I94" s="11" t="str">
        <x:f>IF(AND(LEFT(E94,1)="A",LEFT(H94,1)="A"),"A/A — Có chứng cứ hai phía",IF(OR(LEFT(E94,1)="C",LEFT(H94,1)="C"),"C — Còn điểm chưa chốt",IF(AND(OR(LEFT(E94,1)="A",LEFT(E94,1)="B"),OR(LEFT(H94,1)="A",LEFT(H94,1)="B")),"B — Cần bổ sung chứng cứ","Kiểm tra mức chứng cứ")))</x:f>
        <x:v>B — Cần bổ sung chứng cứ</x:v>
      </x:c>
      <x:c r="J94" s="11" t="str">
        <x:v>Có chứng cứ cho thành tố</x:v>
      </x:c>
      <x:c r="K94" s="11" t="str">
        <x:v>đường [TV]
lối [TV]
đối ngoại [HV 對外]</x:v>
      </x:c>
      <x:c r="L94" s="11" t="str">
        <x:v>대외정책 [HH 對外政策 *]
노선 [HH 路線 *]</x:v>
      </x:c>
      <x:c r="M94" s="11" t="str">
        <x:v>Phân tích cấu tạo theo thành tố; còn phần chưa có chứng cứ từ nguyên trực tiếp, xem cột ghi chú.</x:v>
      </x:c>
      <x:c r="N9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94" s="11" t="str">
        <x:v>Hán Hàn</x:v>
      </x:c>
      <x:c r="P94" s="11" t="str"/>
      <x:c r="Q94" s="37" t="str">
        <x:v>ET096 (dòng 971)
ET085 (dòng 960)</x:v>
      </x:c>
      <x:c r="R94" s="37" t="str">
        <x:v>ET270 (dòng 1145)
ET275 (dòng 1150)</x:v>
      </x:c>
      <x:c r="S94" s="11" t="str"/>
      <x:c r="T94" s="11" t="str">
        <x:v>Ứng viên — còn thiếu chứng cứ</x:v>
      </x:c>
      <x:c r="U94" s="11" t="str">
        <x:v>N3 — Thể chế, tư tưởng</x:v>
      </x:c>
    </x:row>
    <x:row r="95" ht="85.5" customHeight="1">
      <x:c r="A95" s="14" t="n">
        <x:v>90</x:v>
      </x:c>
      <x:c r="B95" s="11" t="str">
        <x:v>T021</x:v>
      </x:c>
      <x:c r="C95" s="11" t="str">
        <x:v>hệ thống chính trị</x:v>
      </x:c>
      <x:c r="D95" s="11" t="str">
        <x:v>Hán Việt</x:v>
      </x:c>
      <x:c r="E95" s="11" t="str">
        <x:v>A — Có chứng cứ thành tố</x:v>
      </x:c>
      <x:c r="F95" s="11" t="str">
        <x:v>정치 시스템</x:v>
      </x:c>
      <x:c r="G95" s="11" t="str">
        <x:v>Hán Hàn + ngoại lai khác</x:v>
      </x:c>
      <x:c r="H95" s="11" t="str">
        <x:v>A — Có chứng cứ thành tố</x:v>
      </x:c>
      <x:c r="I95" s="11" t="str">
        <x:f>IF(AND(LEFT(E95,1)="A",LEFT(H95,1)="A"),"A/A — Có chứng cứ hai phía",IF(OR(LEFT(E95,1)="C",LEFT(H95,1)="C"),"C — Còn điểm chưa chốt",IF(AND(OR(LEFT(E95,1)="A",LEFT(E95,1)="B"),OR(LEFT(H95,1)="A",LEFT(H95,1)="B")),"B — Cần bổ sung chứng cứ","Kiểm tra mức chứng cứ")))</x:f>
        <x:v>A/A — Có chứng cứ hai phía</x:v>
      </x:c>
      <x:c r="J95" s="11" t="str">
        <x:v>Có chứng cứ cho thành tố</x:v>
      </x:c>
      <x:c r="K95" s="11" t="str">
        <x:v>hệ thống [HV 系統]
chính trị [HV 政治]</x:v>
      </x:c>
      <x:c r="L95" s="11" t="str">
        <x:v>정치 [HH 政治]
시스템 [NL]</x:v>
      </x:c>
      <x:c r="M95" s="11" t="str">
        <x:v>Có nguồn âm/chữ hoặc nguồn từ nguyên cho các thành tố dùng để quyết định nhãn; việc ghép thành thuật ngữ là phân tích của nghiên cứu.</x:v>
      </x:c>
      <x:c r="N95" s="11" t="str">
        <x:v>Đã tìm thấy nguồn mục từ/thành tố ghi nguyên dạng hoặc lớp từ cho toàn bộ thành tố quyết định kết luận.</x:v>
      </x:c>
      <x:c r="O95" s="11" t="str">
        <x:v>Hán Hàn + ngoại lai khác</x:v>
      </x:c>
      <x:c r="P95" s="11" t="str"/>
      <x:c r="Q95" s="37" t="str">
        <x:v>ET097 (dòng 972)
ET034 (dòng 909)</x:v>
      </x:c>
      <x:c r="R95" s="37" t="str">
        <x:v>ET264 (dòng 1139)
ET276 (dòng 1151)</x:v>
      </x:c>
      <x:c r="S95" s="11" t="str"/>
      <x:c r="T95" s="11" t="str">
        <x:v>Ứng viên — còn thiếu chứng cứ</x:v>
      </x:c>
      <x:c r="U95" s="11" t="str">
        <x:v>N3 — Thể chế, tư tưởng</x:v>
      </x:c>
    </x:row>
    <x:row r="96" ht="115.5" customHeight="1">
      <x:c r="A96" s="14" t="n">
        <x:v>91</x:v>
      </x:c>
      <x:c r="B96" s="11" t="str">
        <x:v>T062</x:v>
      </x:c>
      <x:c r="C96" s="11" t="str">
        <x:v>kinh tế thị trường định hướng xã hội chủ nghĩa</x:v>
      </x:c>
      <x:c r="D96" s="11" t="str">
        <x:v>Hán Việt</x:v>
      </x:c>
      <x:c r="E96" s="11" t="str">
        <x:v>B — Phân tích tạm</x:v>
      </x:c>
      <x:c r="F96" s="11" t="str">
        <x:v>사회주의 지향 시장경제</x:v>
      </x:c>
      <x:c r="G96" s="11" t="str">
        <x:v>Hán Hàn</x:v>
      </x:c>
      <x:c r="H96" s="11" t="str">
        <x:v>B — Phân tích tạm</x:v>
      </x:c>
      <x:c r="I96" s="11" t="str">
        <x:f>IF(AND(LEFT(E96,1)="A",LEFT(H96,1)="A"),"A/A — Có chứng cứ hai phía",IF(OR(LEFT(E96,1)="C",LEFT(H96,1)="C"),"C — Còn điểm chưa chốt",IF(AND(OR(LEFT(E96,1)="A",LEFT(E96,1)="B"),OR(LEFT(H96,1)="A",LEFT(H96,1)="B")),"B — Cần bổ sung chứng cứ","Kiểm tra mức chứng cứ")))</x:f>
        <x:v>B — Cần bổ sung chứng cứ</x:v>
      </x:c>
      <x:c r="J96" s="11" t="str">
        <x:v>Có chứng cứ cho thành tố</x:v>
      </x:c>
      <x:c r="K96" s="11" t="str">
        <x:v>kinh tế [HV 經濟]
thị trường [HV 市場]
định hướng [HV 定向 *]
xã hội [HV 社會]
chủ nghĩa [HV 主義]</x:v>
      </x:c>
      <x:c r="L96" s="11" t="str">
        <x:v>사회주의 [HH 社會主義]
지향 [HH 志向 *]
시장경제 [HH 市場經濟]</x:v>
      </x:c>
      <x:c r="M96" s="11" t="str">
        <x:v>Phân tích cấu tạo theo thành tố; còn phần chưa có chứng cứ từ nguyên trực tiếp, xem cột ghi chú.</x:v>
      </x:c>
      <x:c r="N9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시장경제 dùng 市場經濟; không lấy 市長 ở mục thị trưởng.</x:v>
      </x:c>
      <x:c r="O96" s="11" t="str">
        <x:v>Hán Hàn</x:v>
      </x:c>
      <x:c r="P96" s="11" t="str"/>
      <x:c r="Q96" s="37" t="str">
        <x:v>ET098 (dòng 973)
ET099 (dòng 974)
ET090 (dòng 965)
ET087 (dòng 962)</x:v>
      </x:c>
      <x:c r="R96" s="37" t="str">
        <x:v>ET271 (dòng 1146)</x:v>
      </x:c>
      <x:c r="S96" s="11" t="str"/>
      <x:c r="T96" s="11" t="str">
        <x:v>Ứng viên — còn thiếu chứng cứ</x:v>
      </x:c>
      <x:c r="U96" s="11" t="str">
        <x:v>N3 — Thể chế, tư tưởng</x:v>
      </x:c>
    </x:row>
    <x:row r="97" ht="100.5" customHeight="1">
      <x:c r="A97" s="14" t="n">
        <x:v>92</x:v>
      </x:c>
      <x:c r="B97" s="11" t="str">
        <x:v>T142</x:v>
      </x:c>
      <x:c r="C97" s="11" t="str">
        <x:v>luật pháp quốc tế</x:v>
      </x:c>
      <x:c r="D97" s="11" t="str">
        <x:v>Hán Việt</x:v>
      </x:c>
      <x:c r="E97" s="11" t="str">
        <x:v>B — Phân tích tạm</x:v>
      </x:c>
      <x:c r="F97" s="11" t="str">
        <x:v>국제법</x:v>
      </x:c>
      <x:c r="G97" s="11" t="str">
        <x:v>Hán Hàn</x:v>
      </x:c>
      <x:c r="H97" s="11" t="str">
        <x:v>B — Phân tích tạm</x:v>
      </x:c>
      <x:c r="I97" s="11" t="str">
        <x:f>IF(AND(LEFT(E97,1)="A",LEFT(H97,1)="A"),"A/A — Có chứng cứ hai phía",IF(OR(LEFT(E97,1)="C",LEFT(H97,1)="C"),"C — Còn điểm chưa chốt",IF(AND(OR(LEFT(E97,1)="A",LEFT(E97,1)="B"),OR(LEFT(H97,1)="A",LEFT(H97,1)="B")),"B — Cần bổ sung chứng cứ","Kiểm tra mức chứng cứ")))</x:f>
        <x:v>B — Cần bổ sung chứng cứ</x:v>
      </x:c>
      <x:c r="J97" s="11" t="str">
        <x:v>Có chứng cứ cho thành tố</x:v>
      </x:c>
      <x:c r="K97" s="11" t="str">
        <x:v>luật pháp [HV 律法 *]
quốc tế [HV 國際]</x:v>
      </x:c>
      <x:c r="L97" s="11" t="str">
        <x:v>국제법 [HH 國際法 *]</x:v>
      </x:c>
      <x:c r="M97" s="11" t="str">
        <x:v>Phân tích cấu tạo theo thành tố; còn phần chưa có chứng cứ từ nguyên trực tiếp, xem cột ghi chú.</x:v>
      </x:c>
      <x:c r="N9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97" s="11" t="str">
        <x:v>Hán Hàn</x:v>
      </x:c>
      <x:c r="P97" s="11" t="str"/>
      <x:c r="Q97" s="37" t="str">
        <x:v>ET089 (dòng 964)</x:v>
      </x:c>
      <x:c r="R97" s="37" t="str">
        <x:v>ET268 (dòng 1143)</x:v>
      </x:c>
      <x:c r="S97" s="11" t="str"/>
      <x:c r="T97" s="11" t="str">
        <x:v>Ứng viên — còn thiếu chứng cứ</x:v>
      </x:c>
      <x:c r="U97" s="11" t="str">
        <x:v>N3 — Thể chế, tư tưởng</x:v>
      </x:c>
    </x:row>
    <x:row r="98" ht="100.5" customHeight="1">
      <x:c r="A98" s="14" t="n">
        <x:v>93</x:v>
      </x:c>
      <x:c r="B98" s="11" t="str">
        <x:v>M030</x:v>
      </x:c>
      <x:c r="C98" s="11" t="str">
        <x:v>miễn thị thực</x:v>
      </x:c>
      <x:c r="D98" s="11" t="str">
        <x:v>Hán Việt</x:v>
      </x:c>
      <x:c r="E98" s="11" t="str">
        <x:v>B — Phân tích tạm</x:v>
      </x:c>
      <x:c r="F98" s="11" t="str">
        <x:v>비자 면제</x:v>
      </x:c>
      <x:c r="G98" s="11" t="str">
        <x:v>Hán Hàn + ngoại lai khác</x:v>
      </x:c>
      <x:c r="H98" s="11" t="str">
        <x:v>B — Phân tích tạm</x:v>
      </x:c>
      <x:c r="I98" s="11" t="str">
        <x:f>IF(AND(LEFT(E98,1)="A",LEFT(H98,1)="A"),"A/A — Có chứng cứ hai phía",IF(OR(LEFT(E98,1)="C",LEFT(H98,1)="C"),"C — Còn điểm chưa chốt",IF(AND(OR(LEFT(E98,1)="A",LEFT(E98,1)="B"),OR(LEFT(H98,1)="A",LEFT(H98,1)="B")),"B — Cần bổ sung chứng cứ","Kiểm tra mức chứng cứ")))</x:f>
        <x:v>B — Cần bổ sung chứng cứ</x:v>
      </x:c>
      <x:c r="J98" s="11" t="str">
        <x:v>Có chứng cứ cho thành tố</x:v>
      </x:c>
      <x:c r="K98" s="11" t="str">
        <x:v>miễn [HV 免]
thị thực [HV 視實 *]</x:v>
      </x:c>
      <x:c r="L98" s="11" t="str">
        <x:v>비자 [NL]
면제 [HH 免除 *]</x:v>
      </x:c>
      <x:c r="M98" s="11" t="str">
        <x:v>Phân tích cấu tạo theo thành tố; còn phần chưa có chứng cứ từ nguyên trực tiếp, xem cột ghi chú.</x:v>
      </x:c>
      <x:c r="N9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98" s="11" t="str">
        <x:v>Hán Hàn + ngoại lai khác</x:v>
      </x:c>
      <x:c r="P98" s="11" t="str"/>
      <x:c r="Q98" s="37" t="str">
        <x:v>ET100 (dòng 975)</x:v>
      </x:c>
      <x:c r="R98" s="37" t="str">
        <x:v>ET277 (dòng 1152)</x:v>
      </x:c>
      <x:c r="S98" s="11" t="str"/>
      <x:c r="T98" s="11" t="str">
        <x:v>Ứng viên — còn thiếu chứng cứ</x:v>
      </x:c>
      <x:c r="U98" s="11" t="str">
        <x:v>N3 — Thể chế, tư tưởng</x:v>
      </x:c>
    </x:row>
    <x:row r="99" ht="100.5" customHeight="1">
      <x:c r="A99" s="14" t="n">
        <x:v>94</x:v>
      </x:c>
      <x:c r="B99" s="11" t="str">
        <x:v>CGI005</x:v>
      </x:c>
      <x:c r="C99" s="11" t="str">
        <x:v>mô hình lãnh đạo tập thể</x:v>
      </x:c>
      <x:c r="D99" s="11" t="str">
        <x:v>Hán Việt</x:v>
      </x:c>
      <x:c r="E99" s="11" t="str">
        <x:v>B — Phân tích tạm</x:v>
      </x:c>
      <x:c r="F99" s="11" t="str">
        <x:v>집단 지도체제</x:v>
      </x:c>
      <x:c r="G99" s="11" t="str">
        <x:v>Hán Hàn</x:v>
      </x:c>
      <x:c r="H99" s="11" t="str">
        <x:v>B — Phân tích tạm</x:v>
      </x:c>
      <x:c r="I99" s="11" t="str">
        <x:f>IF(AND(LEFT(E99,1)="A",LEFT(H99,1)="A"),"A/A — Có chứng cứ hai phía",IF(OR(LEFT(E99,1)="C",LEFT(H99,1)="C"),"C — Còn điểm chưa chốt",IF(AND(OR(LEFT(E99,1)="A",LEFT(E99,1)="B"),OR(LEFT(H99,1)="A",LEFT(H99,1)="B")),"B — Cần bổ sung chứng cứ","Kiểm tra mức chứng cứ")))</x:f>
        <x:v>B — Cần bổ sung chứng cứ</x:v>
      </x:c>
      <x:c r="J99" s="11" t="str">
        <x:v>Có chứng cứ cho thành tố</x:v>
      </x:c>
      <x:c r="K99" s="11" t="str">
        <x:v>mô hình [HV 模型 *]
lãnh đạo [HV 領導]
tập thể [HV 集體 *]</x:v>
      </x:c>
      <x:c r="L99" s="11" t="str">
        <x:v>집단 [HH 集團 *]
지도체제 [HH 指導體制 *]</x:v>
      </x:c>
      <x:c r="M99" s="11" t="str">
        <x:v>Phân tích cấu tạo theo thành tố; còn phần chưa có chứng cứ từ nguyên trực tiếp, xem cột ghi chú.</x:v>
      </x:c>
      <x:c r="N99"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99" s="11" t="str">
        <x:v>Hán Hàn</x:v>
      </x:c>
      <x:c r="P99" s="11" t="str"/>
      <x:c r="Q99" s="37" t="str">
        <x:v>ET101 (dòng 976)</x:v>
      </x:c>
      <x:c r="R99" s="37" t="str">
        <x:v>Chưa có nguồn từ nguyên cụ thể trong lượt này</x:v>
      </x:c>
      <x:c r="S99" s="11" t="str"/>
      <x:c r="T99" s="11" t="str">
        <x:v>Ứng viên — còn thiếu chứng cứ</x:v>
      </x:c>
      <x:c r="U99" s="11" t="str">
        <x:v>N3 — Thể chế, tư tưởng</x:v>
      </x:c>
    </x:row>
    <x:row r="100" ht="100.5" customHeight="1">
      <x:c r="A100" s="14" t="n">
        <x:v>95</x:v>
      </x:c>
      <x:c r="B100" s="11" t="str">
        <x:v>T048</x:v>
      </x:c>
      <x:c r="C100" s="11" t="str">
        <x:v>Nhà nước pháp quyền</x:v>
      </x:c>
      <x:c r="D100" s="11" t="str">
        <x:v>Hán Việt + thuần Việt</x:v>
      </x:c>
      <x:c r="E100" s="11" t="str">
        <x:v>B — Phân tích tạm</x:v>
      </x:c>
      <x:c r="F100" s="11" t="str">
        <x:v>법치국가</x:v>
      </x:c>
      <x:c r="G100" s="11" t="str">
        <x:v>Hán Hàn</x:v>
      </x:c>
      <x:c r="H100" s="11" t="str">
        <x:v>B — Phân tích tạm</x:v>
      </x:c>
      <x:c r="I100" s="11" t="str">
        <x:f>IF(AND(LEFT(E100,1)="A",LEFT(H100,1)="A"),"A/A — Có chứng cứ hai phía",IF(OR(LEFT(E100,1)="C",LEFT(H100,1)="C"),"C — Còn điểm chưa chốt",IF(AND(OR(LEFT(E100,1)="A",LEFT(E100,1)="B"),OR(LEFT(H100,1)="A",LEFT(H100,1)="B")),"B — Cần bổ sung chứng cứ","Kiểm tra mức chứng cứ")))</x:f>
        <x:v>B — Cần bổ sung chứng cứ</x:v>
      </x:c>
      <x:c r="J100" s="11" t="str">
        <x:v>Chưa có chứng cứ HVDic trong lượt này</x:v>
      </x:c>
      <x:c r="K100" s="11" t="str">
        <x:v>Nhà [TV]
nước [TV]
pháp quyền [HV 法權 *]</x:v>
      </x:c>
      <x:c r="L100" s="11" t="str">
        <x:v>법치국가 [HH 法治國家 *]</x:v>
      </x:c>
      <x:c r="M100" s="11" t="str">
        <x:v>Phân tích cấu tạo theo thành tố; còn phần chưa có chứng cứ từ nguyên trực tiếp, xem cột ghi chú.</x:v>
      </x:c>
      <x:c r="N10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00" s="11" t="str">
        <x:v>Hán Hàn</x:v>
      </x:c>
      <x:c r="P100" s="11" t="str"/>
      <x:c r="Q100" s="37" t="str">
        <x:v>ET040 (dòng 915)
ET010 (dòng 885)</x:v>
      </x:c>
      <x:c r="R100" s="37" t="str">
        <x:v>ET246 (dòng 1121)
ET247 (dòng 1122)</x:v>
      </x:c>
      <x:c r="S100" s="11" t="str"/>
      <x:c r="T100" s="11" t="str">
        <x:v>Ứng viên — còn thiếu chứng cứ</x:v>
      </x:c>
      <x:c r="U100" s="11" t="str">
        <x:v>N3 — Thể chế, tư tưởng</x:v>
      </x:c>
    </x:row>
    <x:row r="101" ht="85.5" customHeight="1">
      <x:c r="A101" s="14" t="n">
        <x:v>96</x:v>
      </x:c>
      <x:c r="B101" s="11" t="str">
        <x:v>M050</x:v>
      </x:c>
      <x:c r="C101" s="11" t="str">
        <x:v>nhiệm kỳ</x:v>
      </x:c>
      <x:c r="D101" s="11" t="str">
        <x:v>Hán Việt</x:v>
      </x:c>
      <x:c r="E101" s="11" t="str">
        <x:v>A — Có chứng cứ thành tố</x:v>
      </x:c>
      <x:c r="F101" s="11" t="str">
        <x:v>임기</x:v>
      </x:c>
      <x:c r="G101" s="11" t="str">
        <x:v>Hán Hàn</x:v>
      </x:c>
      <x:c r="H101" s="11" t="str">
        <x:v>A — Có chứng cứ thành tố</x:v>
      </x:c>
      <x:c r="I101" s="11" t="str">
        <x:f>IF(AND(LEFT(E101,1)="A",LEFT(H101,1)="A"),"A/A — Có chứng cứ hai phía",IF(OR(LEFT(E101,1)="C",LEFT(H101,1)="C"),"C — Còn điểm chưa chốt",IF(AND(OR(LEFT(E101,1)="A",LEFT(E101,1)="B"),OR(LEFT(H101,1)="A",LEFT(H101,1)="B")),"B — Cần bổ sung chứng cứ","Kiểm tra mức chứng cứ")))</x:f>
        <x:v>A/A — Có chứng cứ hai phía</x:v>
      </x:c>
      <x:c r="J101" s="11" t="str">
        <x:v>Có mục từ cả dạng biểu thức</x:v>
      </x:c>
      <x:c r="K101" s="11" t="str">
        <x:v>nhiệm kỳ [HV 任期]</x:v>
      </x:c>
      <x:c r="L101" s="11" t="str">
        <x:v>임기 [HH 任期]</x:v>
      </x:c>
      <x:c r="M101" s="11" t="str">
        <x:v>Có nguồn âm/chữ hoặc nguồn từ nguyên cho các thành tố dùng để quyết định nhãn; việc ghép thành thuật ngữ là phân tích của nghiên cứu.</x:v>
      </x:c>
      <x:c r="N101" s="11" t="str">
        <x:v>Đã tìm thấy nguồn mục từ/thành tố ghi nguyên dạng hoặc lớp từ cho toàn bộ thành tố quyết định kết luận.</x:v>
      </x:c>
      <x:c r="O101" s="11" t="str">
        <x:v>Hán Hàn</x:v>
      </x:c>
      <x:c r="P101" s="11" t="str"/>
      <x:c r="Q101" s="37" t="str">
        <x:v>ET102 (dòng 977)</x:v>
      </x:c>
      <x:c r="R101" s="37" t="str">
        <x:v>ET278 (dòng 1153)</x:v>
      </x:c>
      <x:c r="S101" s="11" t="str"/>
      <x:c r="T101" s="11" t="str">
        <x:v>Ứng viên — còn thiếu chứng cứ</x:v>
      </x:c>
      <x:c r="U101" s="11" t="str">
        <x:v>Cần xem xét</x:v>
      </x:c>
    </x:row>
    <x:row r="102" ht="85.5" customHeight="1">
      <x:c r="A102" s="14" t="n">
        <x:v>97</x:v>
      </x:c>
      <x:c r="B102" s="11" t="str">
        <x:v>T006</x:v>
      </x:c>
      <x:c r="C102" s="11" t="str">
        <x:v>quyền con người</x:v>
      </x:c>
      <x:c r="D102" s="11" t="str">
        <x:v>Hán Việt + thuần Việt</x:v>
      </x:c>
      <x:c r="E102" s="11" t="str">
        <x:v>B — Phân tích tạm</x:v>
      </x:c>
      <x:c r="F102" s="11" t="str">
        <x:v>인권</x:v>
      </x:c>
      <x:c r="G102" s="11" t="str">
        <x:v>Hán Hàn</x:v>
      </x:c>
      <x:c r="H102" s="11" t="str">
        <x:v>A — Có chứng cứ thành tố</x:v>
      </x:c>
      <x:c r="I102" s="11" t="str">
        <x:f>IF(AND(LEFT(E102,1)="A",LEFT(H102,1)="A"),"A/A — Có chứng cứ hai phía",IF(OR(LEFT(E102,1)="C",LEFT(H102,1)="C"),"C — Còn điểm chưa chốt",IF(AND(OR(LEFT(E102,1)="A",LEFT(E102,1)="B"),OR(LEFT(H102,1)="A",LEFT(H102,1)="B")),"B — Cần bổ sung chứng cứ","Kiểm tra mức chứng cứ")))</x:f>
        <x:v>B — Cần bổ sung chứng cứ</x:v>
      </x:c>
      <x:c r="J102" s="11" t="str">
        <x:v>Có chứng cứ cho thành tố</x:v>
      </x:c>
      <x:c r="K102" s="11" t="str">
        <x:v>quyền [HV 權]
con [TV]
người [TV]</x:v>
      </x:c>
      <x:c r="L102" s="11" t="str">
        <x:v>인권 [HH 人權]</x:v>
      </x:c>
      <x:c r="M102" s="11" t="str">
        <x:v>Phân tích cấu tạo theo thành tố; còn phần chưa có chứng cứ từ nguyên trực tiếp, xem cột ghi chú.</x:v>
      </x:c>
      <x:c r="N102" s="11" t="str">
        <x:v>Đã tìm thấy nguồn mục từ/thành tố ghi nguyên dạng hoặc lớp từ cho toàn bộ thành tố quyết định kết luận.</x:v>
      </x:c>
      <x:c r="O102" s="11" t="str">
        <x:v>Hán Hàn</x:v>
      </x:c>
      <x:c r="P102" s="11" t="str"/>
      <x:c r="Q102" s="37" t="str">
        <x:v>ET103 (dòng 978)
ET104 (dòng 979)
ET020 (dòng 895)</x:v>
      </x:c>
      <x:c r="R102" s="37" t="str">
        <x:v>ET247 (dòng 1122)</x:v>
      </x:c>
      <x:c r="S102" s="11" t="str"/>
      <x:c r="T102" s="11" t="str">
        <x:v>Xác nhận — cùng biểu thức Anh</x:v>
      </x:c>
      <x:c r="U102" s="11" t="str">
        <x:v>N3 — Thể chế, tư tưởng</x:v>
      </x:c>
    </x:row>
    <x:row r="103" ht="100.5" customHeight="1">
      <x:c r="A103" s="14" t="n">
        <x:v>98</x:v>
      </x:c>
      <x:c r="B103" s="11" t="str">
        <x:v>T008</x:v>
      </x:c>
      <x:c r="C103" s="11" t="str">
        <x:v>quyền công dân</x:v>
      </x:c>
      <x:c r="D103" s="11" t="str">
        <x:v>Hán Việt</x:v>
      </x:c>
      <x:c r="E103" s="11" t="str">
        <x:v>A — Có chứng cứ thành tố</x:v>
      </x:c>
      <x:c r="F103" s="11" t="str">
        <x:v>시민권</x:v>
      </x:c>
      <x:c r="G103" s="11" t="str">
        <x:v>Hán Hàn</x:v>
      </x:c>
      <x:c r="H103" s="11" t="str">
        <x:v>B — Phân tích tạm</x:v>
      </x:c>
      <x:c r="I103" s="11" t="str">
        <x:f>IF(AND(LEFT(E103,1)="A",LEFT(H103,1)="A"),"A/A — Có chứng cứ hai phía",IF(OR(LEFT(E103,1)="C",LEFT(H103,1)="C"),"C — Còn điểm chưa chốt",IF(AND(OR(LEFT(E103,1)="A",LEFT(E103,1)="B"),OR(LEFT(H103,1)="A",LEFT(H103,1)="B")),"B — Cần bổ sung chứng cứ","Kiểm tra mức chứng cứ")))</x:f>
        <x:v>B — Cần bổ sung chứng cứ</x:v>
      </x:c>
      <x:c r="J103" s="11" t="str">
        <x:v>Có chứng cứ cho thành tố</x:v>
      </x:c>
      <x:c r="K103" s="11" t="str">
        <x:v>quyền [HV 權]
công dân [HV 公民]</x:v>
      </x:c>
      <x:c r="L103" s="11" t="str">
        <x:v>시민권 [HH 市民權 *]</x:v>
      </x:c>
      <x:c r="M103" s="11" t="str">
        <x:v>Có nguồn âm/chữ hoặc nguồn từ nguyên cho các thành tố dùng để quyết định nhãn; việc ghép thành thuật ngữ là phân tích của nghiên cứu.</x:v>
      </x:c>
      <x:c r="N103"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03" s="11" t="str">
        <x:v>Hán Hàn</x:v>
      </x:c>
      <x:c r="P103" s="11" t="str"/>
      <x:c r="Q103" s="37" t="str">
        <x:v>ET103 (dòng 978)
ET105 (dòng 980)</x:v>
      </x:c>
      <x:c r="R103" s="37" t="str">
        <x:v>Chưa có nguồn từ nguyên cụ thể trong lượt này</x:v>
      </x:c>
      <x:c r="S103" s="11" t="str"/>
      <x:c r="T103" s="11" t="str">
        <x:v>Có điều kiện — chưa chốt</x:v>
      </x:c>
      <x:c r="U103" s="11" t="str">
        <x:v>N3 — Thể chế, tư tưởng</x:v>
      </x:c>
    </x:row>
    <x:row r="104" ht="100.5" customHeight="1">
      <x:c r="A104" s="14" t="n">
        <x:v>99</x:v>
      </x:c>
      <x:c r="B104" s="11" t="str">
        <x:v>T013</x:v>
      </x:c>
      <x:c r="C104" s="11" t="str">
        <x:v>quyền tự quyết</x:v>
      </x:c>
      <x:c r="D104" s="11" t="str">
        <x:v>Hán Việt</x:v>
      </x:c>
      <x:c r="E104" s="11" t="str">
        <x:v>A — Có chứng cứ thành tố</x:v>
      </x:c>
      <x:c r="F104" s="11" t="str">
        <x:v>자결권</x:v>
      </x:c>
      <x:c r="G104" s="11" t="str">
        <x:v>Hán Hàn</x:v>
      </x:c>
      <x:c r="H104" s="11" t="str">
        <x:v>B — Phân tích tạm</x:v>
      </x:c>
      <x:c r="I104" s="11" t="str">
        <x:f>IF(AND(LEFT(E104,1)="A",LEFT(H104,1)="A"),"A/A — Có chứng cứ hai phía",IF(OR(LEFT(E104,1)="C",LEFT(H104,1)="C"),"C — Còn điểm chưa chốt",IF(AND(OR(LEFT(E104,1)="A",LEFT(E104,1)="B"),OR(LEFT(H104,1)="A",LEFT(H104,1)="B")),"B — Cần bổ sung chứng cứ","Kiểm tra mức chứng cứ")))</x:f>
        <x:v>B — Cần bổ sung chứng cứ</x:v>
      </x:c>
      <x:c r="J104" s="11" t="str">
        <x:v>Có chứng cứ cho thành tố</x:v>
      </x:c>
      <x:c r="K104" s="11" t="str">
        <x:v>quyền [HV 權]
tự quyết [HV 自決]</x:v>
      </x:c>
      <x:c r="L104" s="11" t="str">
        <x:v>자결권 [HH 自決權 *]</x:v>
      </x:c>
      <x:c r="M104" s="11" t="str">
        <x:v>Có nguồn âm/chữ hoặc nguồn từ nguyên cho các thành tố dùng để quyết định nhãn; việc ghép thành thuật ngữ là phân tích của nghiên cứu.</x:v>
      </x:c>
      <x:c r="N10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04" s="11" t="str">
        <x:v>Hán Hàn</x:v>
      </x:c>
      <x:c r="P104" s="11" t="str"/>
      <x:c r="Q104" s="37" t="str">
        <x:v>ET103 (dòng 978)
ET106 (dòng 981)</x:v>
      </x:c>
      <x:c r="R104" s="37" t="str">
        <x:v>Chưa có nguồn từ nguyên cụ thể trong lượt này</x:v>
      </x:c>
      <x:c r="S104" s="11" t="str"/>
      <x:c r="T104" s="11" t="str">
        <x:v>Ứng viên — còn thiếu chứng cứ</x:v>
      </x:c>
      <x:c r="U104" s="11" t="str">
        <x:v>N3 — Thể chế, tư tưởng</x:v>
      </x:c>
    </x:row>
    <x:row r="105" ht="100.5" customHeight="1">
      <x:c r="A105" s="14" t="n">
        <x:v>100</x:v>
      </x:c>
      <x:c r="B105" s="11" t="str">
        <x:v>T056</x:v>
      </x:c>
      <x:c r="C105" s="11" t="str">
        <x:v>toàn vẹn lãnh thổ</x:v>
      </x:c>
      <x:c r="D105" s="11" t="str">
        <x:v>Hán Việt + gốc Hán khác</x:v>
      </x:c>
      <x:c r="E105" s="11" t="str">
        <x:v>A — Có chứng cứ thành tố</x:v>
      </x:c>
      <x:c r="F105" s="11" t="str">
        <x:v>영토 보전</x:v>
      </x:c>
      <x:c r="G105" s="11" t="str">
        <x:v>Hán Hàn</x:v>
      </x:c>
      <x:c r="H105" s="11" t="str">
        <x:v>B — Phân tích tạm</x:v>
      </x:c>
      <x:c r="I105" s="11" t="str">
        <x:f>IF(AND(LEFT(E105,1)="A",LEFT(H105,1)="A"),"A/A — Có chứng cứ hai phía",IF(OR(LEFT(E105,1)="C",LEFT(H105,1)="C"),"C — Còn điểm chưa chốt",IF(AND(OR(LEFT(E105,1)="A",LEFT(E105,1)="B"),OR(LEFT(H105,1)="A",LEFT(H105,1)="B")),"B — Cần bổ sung chứng cứ","Kiểm tra mức chứng cứ")))</x:f>
        <x:v>B — Cần bổ sung chứng cứ</x:v>
      </x:c>
      <x:c r="J105" s="11" t="str">
        <x:v>Có chứng cứ cho thành tố</x:v>
      </x:c>
      <x:c r="K105" s="11" t="str">
        <x:v>toàn [HV 全]
vẹn [GH 完]
lãnh thổ [HV 領土]</x:v>
      </x:c>
      <x:c r="L105" s="11" t="str">
        <x:v>영토 [HH 領土 *]
보전 [HH 保全 *]</x:v>
      </x:c>
      <x:c r="M105" s="11" t="str">
        <x:v>Có nguồn âm/chữ hoặc nguồn từ nguyên cho các thành tố dùng để quyết định nhãn; việc ghép thành thuật ngữ là phân tích của nghiên cứu.
Vẹn 完 được nghiên cứu lịch sử liên hệ hoàn; không xếp vẹn là thuần Việt chỉ từ hình thức hiện nay.</x:v>
      </x:c>
      <x:c r="N105"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05" s="11" t="str">
        <x:v>Hán Hàn</x:v>
      </x:c>
      <x:c r="P105" s="11" t="str"/>
      <x:c r="Q105" s="37" t="str">
        <x:v>ET107 (dòng 982)
ET072 (dòng 947)
ET108 (dòng 983)</x:v>
      </x:c>
      <x:c r="R105" s="37" t="str">
        <x:v>Chưa có nguồn từ nguyên cụ thể trong lượt này</x:v>
      </x:c>
      <x:c r="S105" s="11" t="str"/>
      <x:c r="T105" s="11" t="str">
        <x:v>Ứng viên — còn thiếu chứng cứ</x:v>
      </x:c>
      <x:c r="U105" s="11" t="str">
        <x:v>Cần xem xét</x:v>
      </x:c>
    </x:row>
    <x:row r="106" ht="100.5" customHeight="1">
      <x:c r="A106" s="14" t="n">
        <x:v>101</x:v>
      </x:c>
      <x:c r="B106" s="11" t="str">
        <x:v>T147</x:v>
      </x:c>
      <x:c r="C106" s="11" t="str">
        <x:v>tự chủ chiến lược</x:v>
      </x:c>
      <x:c r="D106" s="11" t="str">
        <x:v>Hán Việt</x:v>
      </x:c>
      <x:c r="E106" s="11" t="str">
        <x:v>A — Có chứng cứ thành tố</x:v>
      </x:c>
      <x:c r="F106" s="11" t="str">
        <x:v>전략적 자율성</x:v>
      </x:c>
      <x:c r="G106" s="11" t="str">
        <x:v>Hán Hàn</x:v>
      </x:c>
      <x:c r="H106" s="11" t="str">
        <x:v>B — Phân tích tạm</x:v>
      </x:c>
      <x:c r="I106" s="11" t="str">
        <x:f>IF(AND(LEFT(E106,1)="A",LEFT(H106,1)="A"),"A/A — Có chứng cứ hai phía",IF(OR(LEFT(E106,1)="C",LEFT(H106,1)="C"),"C — Còn điểm chưa chốt",IF(AND(OR(LEFT(E106,1)="A",LEFT(E106,1)="B"),OR(LEFT(H106,1)="A",LEFT(H106,1)="B")),"B — Cần bổ sung chứng cứ","Kiểm tra mức chứng cứ")))</x:f>
        <x:v>B — Cần bổ sung chứng cứ</x:v>
      </x:c>
      <x:c r="J106" s="11" t="str">
        <x:v>Có chứng cứ cho thành tố</x:v>
      </x:c>
      <x:c r="K106" s="11" t="str">
        <x:v>tự chủ [HV 自主]
chiến lược [HV 戰略]</x:v>
      </x:c>
      <x:c r="L106" s="11" t="str">
        <x:v>전략적 [HH 戰略的 *]
자율성 [HH 自律性 *]</x:v>
      </x:c>
      <x:c r="M106" s="11" t="str">
        <x:v>Có nguồn âm/chữ hoặc nguồn từ nguyên cho các thành tố dùng để quyết định nhãn; việc ghép thành thuật ngữ là phân tích của nghiên cứu.</x:v>
      </x:c>
      <x:c r="N106"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06" s="11" t="str">
        <x:v>Hán Hàn</x:v>
      </x:c>
      <x:c r="P106" s="11" t="str"/>
      <x:c r="Q106" s="37" t="str">
        <x:v>ET095 (dòng 970)
ET109 (dòng 984)</x:v>
      </x:c>
      <x:c r="R106" s="37" t="str">
        <x:v>Chưa có nguồn từ nguyên cụ thể trong lượt này</x:v>
      </x:c>
      <x:c r="S106" s="11" t="str"/>
      <x:c r="T106" s="11" t="str">
        <x:v>Ứng viên — còn thiếu chứng cứ</x:v>
      </x:c>
      <x:c r="U106" s="11" t="str">
        <x:v>Cần xem xét</x:v>
      </x:c>
    </x:row>
    <x:row r="107" ht="85.5" customHeight="1">
      <x:c r="A107" s="14" t="n">
        <x:v>102</x:v>
      </x:c>
      <x:c r="B107" s="11" t="str">
        <x:v>T018</x:v>
      </x:c>
      <x:c r="C107" s="11" t="str">
        <x:v>tư pháp</x:v>
      </x:c>
      <x:c r="D107" s="11" t="str">
        <x:v>Hán Việt</x:v>
      </x:c>
      <x:c r="E107" s="11" t="str">
        <x:v>A — Có chứng cứ thành tố</x:v>
      </x:c>
      <x:c r="F107" s="11" t="str">
        <x:v>사법</x:v>
      </x:c>
      <x:c r="G107" s="11" t="str">
        <x:v>Hán Hàn</x:v>
      </x:c>
      <x:c r="H107" s="11" t="str">
        <x:v>A — Có chứng cứ thành tố</x:v>
      </x:c>
      <x:c r="I107" s="11" t="str">
        <x:f>IF(AND(LEFT(E107,1)="A",LEFT(H107,1)="A"),"A/A — Có chứng cứ hai phía",IF(OR(LEFT(E107,1)="C",LEFT(H107,1)="C"),"C — Còn điểm chưa chốt",IF(AND(OR(LEFT(E107,1)="A",LEFT(E107,1)="B"),OR(LEFT(H107,1)="A",LEFT(H107,1)="B")),"B — Cần bổ sung chứng cứ","Kiểm tra mức chứng cứ")))</x:f>
        <x:v>A/A — Có chứng cứ hai phía</x:v>
      </x:c>
      <x:c r="J107" s="11" t="str">
        <x:v>Có mục từ cả dạng biểu thức</x:v>
      </x:c>
      <x:c r="K107" s="11" t="str">
        <x:v>tư pháp [HV 司法]</x:v>
      </x:c>
      <x:c r="L107" s="11" t="str">
        <x:v>사법 [HH 司法]</x:v>
      </x:c>
      <x:c r="M107" s="11" t="str">
        <x:v>Có nguồn âm/chữ hoặc nguồn từ nguyên cho các thành tố dùng để quyết định nhãn; việc ghép thành thuật ngữ là phân tích của nghiên cứu.</x:v>
      </x:c>
      <x:c r="N107" s="11" t="str">
        <x:v>Đã tìm thấy nguồn mục từ/thành tố ghi nguyên dạng hoặc lớp từ cho toàn bộ thành tố quyết định kết luận.</x:v>
      </x:c>
      <x:c r="O107" s="11" t="str">
        <x:v>Hán Hàn</x:v>
      </x:c>
      <x:c r="P107" s="11" t="str"/>
      <x:c r="Q107" s="37" t="str">
        <x:v>ET110 (dòng 985)</x:v>
      </x:c>
      <x:c r="R107" s="37" t="str">
        <x:v>ET279 (dòng 1154)</x:v>
      </x:c>
      <x:c r="S107" s="11" t="str"/>
      <x:c r="T107" s="11" t="str">
        <x:v>Ứng viên — còn thiếu chứng cứ</x:v>
      </x:c>
      <x:c r="U107" s="11" t="str">
        <x:v>N4 — Quan hệ, hoạt động</x:v>
      </x:c>
    </x:row>
    <x:row r="108" ht="115.5" customHeight="1">
      <x:c r="A108" s="14" t="n">
        <x:v>103</x:v>
      </x:c>
      <x:c r="B108" s="11" t="str">
        <x:v>T050</x:v>
      </x:c>
      <x:c r="C108" s="11" t="str">
        <x:v>tư tưởng Hồ Chí Minh</x:v>
      </x:c>
      <x:c r="D108" s="11" t="str">
        <x:v>Hán Việt</x:v>
      </x:c>
      <x:c r="E108" s="11" t="str">
        <x:v>B — Phân tích tạm</x:v>
      </x:c>
      <x:c r="F108" s="11" t="str">
        <x:v>호찌민 사상</x:v>
      </x:c>
      <x:c r="G108" s="11" t="str">
        <x:v>Hán Hàn + ngoại lai khác</x:v>
      </x:c>
      <x:c r="H108" s="11" t="str">
        <x:v>B — Phân tích tạm</x:v>
      </x:c>
      <x:c r="I108" s="11" t="str">
        <x:f>IF(AND(LEFT(E108,1)="A",LEFT(H108,1)="A"),"A/A — Có chứng cứ hai phía",IF(OR(LEFT(E108,1)="C",LEFT(H108,1)="C"),"C — Còn điểm chưa chốt",IF(AND(OR(LEFT(E108,1)="A",LEFT(E108,1)="B"),OR(LEFT(H108,1)="A",LEFT(H108,1)="B")),"B — Cần bổ sung chứng cứ","Kiểm tra mức chứng cứ")))</x:f>
        <x:v>B — Cần bổ sung chứng cứ</x:v>
      </x:c>
      <x:c r="J108" s="11" t="str">
        <x:v>Có chứng cứ cho thành tố</x:v>
      </x:c>
      <x:c r="K108" s="11" t="str">
        <x:v>tư tưởng [HV 思想]
Hồ Chí Minh [HV 胡志明 *]</x:v>
      </x:c>
      <x:c r="L108" s="11" t="str">
        <x:v>호찌민 [NL]
사상 [HH 思想 *]</x:v>
      </x:c>
      <x:c r="M108" s="11" t="str">
        <x:v>Phân tích cấu tạo theo thành tố; còn phần chưa có chứng cứ từ nguyên trực tiếp, xem cột ghi chú.
Hồ Chí Minh là tên riêng cấu tạo theo cách đọc Hán Việt. Tư cách tên riêng được ghi riêng, không làm thay đổi nguồn gốc thành tố.</x:v>
      </x:c>
      <x:c r="N108"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 호찌민 là phiên âm tên Hồ Chí Minh, không phải âm đọc Hán Hàn của 胡志明.</x:v>
      </x:c>
      <x:c r="O108" s="11" t="str">
        <x:v>Hán Hàn + ngoại lai khác</x:v>
      </x:c>
      <x:c r="P108" s="11" t="str">
        <x:v>Việt: Hồ Chí Minh
Hàn: 호찌민</x:v>
      </x:c>
      <x:c r="Q108" s="37" t="str">
        <x:v>ET111 (dòng 986)</x:v>
      </x:c>
      <x:c r="R108" s="37" t="str">
        <x:v>Chưa có nguồn từ nguyên cụ thể trong lượt này</x:v>
      </x:c>
      <x:c r="S108" s="11" t="str"/>
      <x:c r="T108" s="11" t="str">
        <x:v>Ứng viên — còn thiếu chứng cứ</x:v>
      </x:c>
      <x:c r="U108" s="11" t="str">
        <x:v>N3 — Thể chế, tư tưởng</x:v>
      </x:c>
    </x:row>
    <x:row r="109" ht="100.5" customHeight="1">
      <x:c r="A109" s="14" t="n">
        <x:v>104</x:v>
      </x:c>
      <x:c r="B109" s="11" t="str">
        <x:v>M006</x:v>
      </x:c>
      <x:c r="C109" s="11" t="str">
        <x:v>vai trò trung tâm của ASEAN</x:v>
      </x:c>
      <x:c r="D109" s="11" t="str">
        <x:v>Chưa chốt</x:v>
      </x:c>
      <x:c r="E109" s="11" t="str">
        <x:v>C — Chưa chốt từ nguyên</x:v>
      </x:c>
      <x:c r="F109" s="11" t="str">
        <x:v>아세안 중심성</x:v>
      </x:c>
      <x:c r="G109" s="11" t="str">
        <x:v>Hán Hàn + ngoại lai khác</x:v>
      </x:c>
      <x:c r="H109" s="11" t="str">
        <x:v>B — Phân tích tạm</x:v>
      </x:c>
      <x:c r="I109" s="11" t="str">
        <x:f>IF(AND(LEFT(E109,1)="A",LEFT(H109,1)="A"),"A/A — Có chứng cứ hai phía",IF(OR(LEFT(E109,1)="C",LEFT(H109,1)="C"),"C — Còn điểm chưa chốt",IF(AND(OR(LEFT(E109,1)="A",LEFT(E109,1)="B"),OR(LEFT(H109,1)="A",LEFT(H109,1)="B")),"B — Cần bổ sung chứng cứ","Kiểm tra mức chứng cứ")))</x:f>
        <x:v>C — Còn điểm chưa chốt</x:v>
      </x:c>
      <x:c r="J109" s="11" t="str">
        <x:v>Có chứng cứ cho thành tố</x:v>
      </x:c>
      <x:c r="K109" s="11" t="str">
        <x:v>vai [TV]
trò [?]
trung tâm [HV 中心]
của [TV]
ASEAN [VT]</x:v>
      </x:c>
      <x:c r="L109" s="11" t="str">
        <x:v>아세안 [NL]
중심성 [HH 中心性 *]</x:v>
      </x:c>
      <x:c r="M109" s="11" t="str">
        <x:v>Có thành tố mà nguồn gốc/lớp vay mượn chưa đủ chắc; chưa dùng nhãn để chốt mẫu nghiên cứu.
Trò trong vai trò chưa có nguồn từ nguyên riêng; không lấy nguồn gốc tiếng Anh role làm nguồn gốc của từ Việt.</x:v>
      </x:c>
      <x:c r="N10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09" s="11" t="str">
        <x:v>Hán Hàn + ngoại lai khác</x:v>
      </x:c>
      <x:c r="P109" s="11" t="str">
        <x:v>Việt: ASEAN
Hàn: 아세안
Việt: ASEAN</x:v>
      </x:c>
      <x:c r="Q109" s="37" t="str">
        <x:v>ET112 (dòng 987)
ET113 (dòng 988)</x:v>
      </x:c>
      <x:c r="R109" s="37" t="str">
        <x:v>ET280 (dòng 1155)</x:v>
      </x:c>
      <x:c r="S109" s="11" t="str"/>
      <x:c r="T109" s="11" t="str">
        <x:v>Xác nhận — cùng biểu thức Anh</x:v>
      </x:c>
      <x:c r="U109" s="11" t="str">
        <x:v>N3 — Thể chế, tư tưởng</x:v>
      </x:c>
    </x:row>
    <x:row r="110" ht="85.5" customHeight="1">
      <x:c r="A110" s="14" t="n">
        <x:v>105</x:v>
      </x:c>
      <x:c r="B110" s="11" t="str">
        <x:v>M008</x:v>
      </x:c>
      <x:c r="C110" s="11" t="str">
        <x:v>ASEAN+3</x:v>
      </x:c>
      <x:c r="D110" s="11" t="str">
        <x:v>Ngoại lai khác</x:v>
      </x:c>
      <x:c r="E110" s="11" t="str">
        <x:v>B — Phân tích tạm</x:v>
      </x:c>
      <x:c r="F110" s="11" t="str">
        <x:v>아세안+3</x:v>
      </x:c>
      <x:c r="G110" s="11" t="str">
        <x:v>Ngoại lai khác</x:v>
      </x:c>
      <x:c r="H110" s="11" t="str">
        <x:v>A — Có chứng cứ thành tố</x:v>
      </x:c>
      <x:c r="I110" s="11" t="str">
        <x:f>IF(AND(LEFT(E110,1)="A",LEFT(H110,1)="A"),"A/A — Có chứng cứ hai phía",IF(OR(LEFT(E110,1)="C",LEFT(H110,1)="C"),"C — Còn điểm chưa chốt",IF(AND(OR(LEFT(E110,1)="A",LEFT(E110,1)="B"),OR(LEFT(H110,1)="A",LEFT(H110,1)="B")),"B — Cần bổ sung chứng cứ","Kiểm tra mức chứng cứ")))</x:f>
        <x:v>B — Cần bổ sung chứng cứ</x:v>
      </x:c>
      <x:c r="J110" s="11" t="str">
        <x:v>Chưa có chứng cứ HVDic trong lượt này</x:v>
      </x:c>
      <x:c r="K110" s="11" t="str">
        <x:v>ASEAN [VT]
3 [SỐ]</x:v>
      </x:c>
      <x:c r="L110" s="11" t="str">
        <x:v>아세안 [NL]
3 [SỐ]</x:v>
      </x:c>
      <x:c r="M110" s="11" t="str">
        <x:v>Phân tích cấu tạo theo thành tố; còn phần chưa có chứng cứ từ nguyên trực tiếp, xem cột ghi chú.
Đơn vị gồm chữ viết tắt ASEAN và số3; không phải từ Hán Việt hoặc từ thuần Việt.</x:v>
      </x:c>
      <x:c r="N110" s="11" t="str">
        <x:v>Đã tìm thấy nguồn mục từ/thành tố ghi nguyên dạng hoặc lớp từ cho toàn bộ thành tố quyết định kết luận.
아세안 là tên từ chữ viết tắt ASEAN; +3 là ký hiệu, không phải từ Hán Hàn.</x:v>
      </x:c>
      <x:c r="O110" s="11" t="str">
        <x:v>Ngoại lai khác</x:v>
      </x:c>
      <x:c r="P110" s="11" t="str">
        <x:v>Việt: ASEAN
Hàn: 아세안
Việt: ASEAN
Việt: 3
Hàn: 3</x:v>
      </x:c>
      <x:c r="Q110" s="37" t="str">
        <x:v>Chưa có nguồn từ nguyên cụ thể trong lượt này</x:v>
      </x:c>
      <x:c r="R110" s="37" t="str">
        <x:v>ET280 (dòng 1155)</x:v>
      </x:c>
      <x:c r="S110" s="11" t="str"/>
      <x:c r="T110" s="11" t="str">
        <x:v>Ứng viên — còn thiếu chứng cứ</x:v>
      </x:c>
      <x:c r="U110" s="11" t="str">
        <x:v>N3 — Thể chế, tư tưởng</x:v>
      </x:c>
    </x:row>
    <x:row r="111" ht="85.5" customHeight="1">
      <x:c r="A111" s="14" t="n">
        <x:v>106</x:v>
      </x:c>
      <x:c r="B111" s="11" t="str">
        <x:v>M010</x:v>
      </x:c>
      <x:c r="C111" s="11" t="str">
        <x:v>Diễn đàn khu vực ASEAN (ARF)</x:v>
      </x:c>
      <x:c r="D111" s="11" t="str">
        <x:v>Hán Việt + ngoại lai khác</x:v>
      </x:c>
      <x:c r="E111" s="11" t="str">
        <x:v>B — Phân tích tạm</x:v>
      </x:c>
      <x:c r="F111" s="11" t="str">
        <x:v>아세안지역포럼</x:v>
      </x:c>
      <x:c r="G111" s="11" t="str">
        <x:v>Hán Hàn + ngoại lai khác</x:v>
      </x:c>
      <x:c r="H111" s="11" t="str">
        <x:v>A — Có chứng cứ thành tố</x:v>
      </x:c>
      <x:c r="I111" s="11" t="str">
        <x:f>IF(AND(LEFT(E111,1)="A",LEFT(H111,1)="A"),"A/A — Có chứng cứ hai phía",IF(OR(LEFT(E111,1)="C",LEFT(H111,1)="C"),"C — Còn điểm chưa chốt",IF(AND(OR(LEFT(E111,1)="A",LEFT(E111,1)="B"),OR(LEFT(H111,1)="A",LEFT(H111,1)="B")),"B — Cần bổ sung chứng cứ","Kiểm tra mức chứng cứ")))</x:f>
        <x:v>B — Cần bổ sung chứng cứ</x:v>
      </x:c>
      <x:c r="J111" s="11" t="str">
        <x:v>Có chứng cứ cho thành tố</x:v>
      </x:c>
      <x:c r="K111" s="11" t="str">
        <x:v>Diễn đàn [HV 演壇]
khu vực [HV 區域]
ASEAN [VT]
ARF [VT; chú thích trong ngoặc]</x:v>
      </x:c>
      <x:c r="L111" s="11" t="str">
        <x:v>아세안 [NL]
지역 [HH 地域]
포럼 [NL]</x:v>
      </x:c>
      <x:c r="M111" s="11" t="str">
        <x:v>Phân tích cấu tạo theo thành tố; còn phần chưa có chứng cứ từ nguyên trực tiếp, xem cột ghi chú.
ASEAN nằm trong tên nên tính là yếu tố viết tắt quốc tế; ARF trong ngoặc chỉ là bí danh viết tắt.</x:v>
      </x:c>
      <x:c r="N111" s="11" t="str">
        <x:v>Đã tìm thấy nguồn mục từ/thành tố ghi nguyên dạng hoặc lớp từ cho toàn bộ thành tố quyết định kết luận.</x:v>
      </x:c>
      <x:c r="O111" s="11" t="str">
        <x:v>Hán Hàn + ngoại lai khác</x:v>
      </x:c>
      <x:c r="P111" s="11" t="str">
        <x:v>Việt: ASEAN
Việt: ARF
Hàn: 아세안
Việt: ASEAN
Việt: ARF (chú thích)</x:v>
      </x:c>
      <x:c r="Q111" s="37" t="str">
        <x:v>ET114 (dòng 989)
ET115 (dòng 990)</x:v>
      </x:c>
      <x:c r="R111" s="37" t="str">
        <x:v>ET280 (dòng 1155)
ET281 (dòng 1156)</x:v>
      </x:c>
      <x:c r="S111" s="11" t="str"/>
      <x:c r="T111" s="11" t="str">
        <x:v>Xác nhận — cùng biểu thức Anh</x:v>
      </x:c>
      <x:c r="U111" s="11" t="str">
        <x:v>N3 — Thể chế, tư tưởng</x:v>
      </x:c>
    </x:row>
    <x:row r="112" ht="100.5" customHeight="1">
      <x:c r="A112" s="14" t="n">
        <x:v>107</x:v>
      </x:c>
      <x:c r="B112" s="11" t="str">
        <x:v>T134</x:v>
      </x:c>
      <x:c r="C112" s="11" t="str">
        <x:v>đối tác chiến lược</x:v>
      </x:c>
      <x:c r="D112" s="11" t="str">
        <x:v>Hán Việt</x:v>
      </x:c>
      <x:c r="E112" s="11" t="str">
        <x:v>B — Phân tích tạm</x:v>
      </x:c>
      <x:c r="F112" s="11" t="str">
        <x:v>전략적 동반자 관계</x:v>
      </x:c>
      <x:c r="G112" s="11" t="str">
        <x:v>Hán Hàn</x:v>
      </x:c>
      <x:c r="H112" s="11" t="str">
        <x:v>B — Phân tích tạm</x:v>
      </x:c>
      <x:c r="I112" s="11" t="str">
        <x:f>IF(AND(LEFT(E112,1)="A",LEFT(H112,1)="A"),"A/A — Có chứng cứ hai phía",IF(OR(LEFT(E112,1)="C",LEFT(H112,1)="C"),"C — Còn điểm chưa chốt",IF(AND(OR(LEFT(E112,1)="A",LEFT(E112,1)="B"),OR(LEFT(H112,1)="A",LEFT(H112,1)="B")),"B — Cần bổ sung chứng cứ","Kiểm tra mức chứng cứ")))</x:f>
        <x:v>B — Cần bổ sung chứng cứ</x:v>
      </x:c>
      <x:c r="J112" s="11" t="str">
        <x:v>Có chứng cứ cho thành tố</x:v>
      </x:c>
      <x:c r="K112" s="11" t="str">
        <x:v>đối tác [HV 對作 *]
chiến lược [HV 戰略]</x:v>
      </x:c>
      <x:c r="L112" s="11" t="str">
        <x:v>전략적 [HH 戰略的 *]
동반자 [HH 同伴者 *]
관계 [HH 關係 *]</x:v>
      </x:c>
      <x:c r="M112" s="11" t="str">
        <x:v>Phân tích cấu tạo theo thành tố; còn phần chưa có chứng cứ từ nguyên trực tiếp, xem cột ghi chú.</x:v>
      </x:c>
      <x:c r="N11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12" s="11" t="str">
        <x:v>Hán Hàn</x:v>
      </x:c>
      <x:c r="P112" s="11" t="str"/>
      <x:c r="Q112" s="37" t="str">
        <x:v>ET109 (dòng 984)</x:v>
      </x:c>
      <x:c r="R112" s="37" t="str">
        <x:v>Chưa có nguồn từ nguyên cụ thể trong lượt này</x:v>
      </x:c>
      <x:c r="S112" s="11" t="str"/>
      <x:c r="T112" s="11" t="str">
        <x:v>Có điều kiện — chưa chốt</x:v>
      </x:c>
      <x:c r="U112" s="11" t="str">
        <x:v>N4 — Quan hệ, hoạt động</x:v>
      </x:c>
    </x:row>
    <x:row r="113" ht="100.5" customHeight="1">
      <x:c r="A113" s="14" t="n">
        <x:v>108</x:v>
      </x:c>
      <x:c r="B113" s="11" t="str">
        <x:v>T137</x:v>
      </x:c>
      <x:c r="C113" s="11" t="str">
        <x:v>đối tác chiến lược toàn diện</x:v>
      </x:c>
      <x:c r="D113" s="11" t="str">
        <x:v>Hán Việt</x:v>
      </x:c>
      <x:c r="E113" s="11" t="str">
        <x:v>B — Phân tích tạm</x:v>
      </x:c>
      <x:c r="F113" s="11" t="str">
        <x:v>포괄적 전략적 동반자 관계</x:v>
      </x:c>
      <x:c r="G113" s="11" t="str">
        <x:v>Hán Hàn</x:v>
      </x:c>
      <x:c r="H113" s="11" t="str">
        <x:v>B — Phân tích tạm</x:v>
      </x:c>
      <x:c r="I113" s="11" t="str">
        <x:f>IF(AND(LEFT(E113,1)="A",LEFT(H113,1)="A"),"A/A — Có chứng cứ hai phía",IF(OR(LEFT(E113,1)="C",LEFT(H113,1)="C"),"C — Còn điểm chưa chốt",IF(AND(OR(LEFT(E113,1)="A",LEFT(E113,1)="B"),OR(LEFT(H113,1)="A",LEFT(H113,1)="B")),"B — Cần bổ sung chứng cứ","Kiểm tra mức chứng cứ")))</x:f>
        <x:v>B — Cần bổ sung chứng cứ</x:v>
      </x:c>
      <x:c r="J113" s="11" t="str">
        <x:v>Có chứng cứ cho thành tố</x:v>
      </x:c>
      <x:c r="K113" s="11" t="str">
        <x:v>đối tác [HV 對作 *]
chiến lược [HV 戰略]
toàn diện [HV 全面]</x:v>
      </x:c>
      <x:c r="L113" s="11" t="str">
        <x:v>포괄적 [HH 包括的 *]
전략적 [HH 戰略的 *]
동반자 [HH 同伴者 *]
관계 [HH 關係 *]</x:v>
      </x:c>
      <x:c r="M113" s="11" t="str">
        <x:v>Phân tích cấu tạo theo thành tố; còn phần chưa có chứng cứ từ nguyên trực tiếp, xem cột ghi chú.</x:v>
      </x:c>
      <x:c r="N113"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13" s="11" t="str">
        <x:v>Hán Hàn</x:v>
      </x:c>
      <x:c r="P113" s="11" t="str"/>
      <x:c r="Q113" s="37" t="str">
        <x:v>ET109 (dòng 984)
ET116 (dòng 991)</x:v>
      </x:c>
      <x:c r="R113" s="37" t="str">
        <x:v>Chưa có nguồn từ nguyên cụ thể trong lượt này</x:v>
      </x:c>
      <x:c r="S113" s="11" t="str"/>
      <x:c r="T113" s="11" t="str">
        <x:v>Có điều kiện — chưa chốt</x:v>
      </x:c>
      <x:c r="U113" s="11" t="str">
        <x:v>N4 — Quan hệ, hoạt động</x:v>
      </x:c>
    </x:row>
    <x:row r="114" ht="100.5" customHeight="1">
      <x:c r="A114" s="14" t="n">
        <x:v>109</x:v>
      </x:c>
      <x:c r="B114" s="11" t="str">
        <x:v>T163</x:v>
      </x:c>
      <x:c r="C114" s="11" t="str">
        <x:v>đối tác hợp tác chiến lược toàn diện</x:v>
      </x:c>
      <x:c r="D114" s="11" t="str">
        <x:v>Hán Việt</x:v>
      </x:c>
      <x:c r="E114" s="11" t="str">
        <x:v>B — Phân tích tạm</x:v>
      </x:c>
      <x:c r="F114" s="11" t="str">
        <x:v>포괄적 전략적 협력 동반자 관계</x:v>
      </x:c>
      <x:c r="G114" s="11" t="str">
        <x:v>Hán Hàn</x:v>
      </x:c>
      <x:c r="H114" s="11" t="str">
        <x:v>B — Phân tích tạm</x:v>
      </x:c>
      <x:c r="I114" s="11" t="str">
        <x:f>IF(AND(LEFT(E114,1)="A",LEFT(H114,1)="A"),"A/A — Có chứng cứ hai phía",IF(OR(LEFT(E114,1)="C",LEFT(H114,1)="C"),"C — Còn điểm chưa chốt",IF(AND(OR(LEFT(E114,1)="A",LEFT(E114,1)="B"),OR(LEFT(H114,1)="A",LEFT(H114,1)="B")),"B — Cần bổ sung chứng cứ","Kiểm tra mức chứng cứ")))</x:f>
        <x:v>B — Cần bổ sung chứng cứ</x:v>
      </x:c>
      <x:c r="J114" s="11" t="str">
        <x:v>Có chứng cứ cho thành tố</x:v>
      </x:c>
      <x:c r="K114" s="11" t="str">
        <x:v>đối tác [HV 對作 *]
hợp tác [HV 合作]
chiến lược [HV 戰略]
toàn diện [HV 全面]</x:v>
      </x:c>
      <x:c r="L114" s="11" t="str">
        <x:v>포괄적 [HH 包括的 *]
전략적 [HH 戰略的 *]
협력 [HH 協力]
동반자 [HH 同伴者 *]
관계 [HH 關係 *]</x:v>
      </x:c>
      <x:c r="M114" s="11" t="str">
        <x:v>Phân tích cấu tạo theo thành tố; còn phần chưa có chứng cứ từ nguyên trực tiếp, xem cột ghi chú.</x:v>
      </x:c>
      <x:c r="N11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14" s="11" t="str">
        <x:v>Hán Hàn</x:v>
      </x:c>
      <x:c r="P114" s="11" t="str"/>
      <x:c r="Q114" s="37" t="str">
        <x:v>ET117 (dòng 992)
ET109 (dòng 984)
ET116 (dòng 991)</x:v>
      </x:c>
      <x:c r="R114" s="37" t="str">
        <x:v>ET282 (dòng 1157)</x:v>
      </x:c>
      <x:c r="S114" s="11" t="str"/>
      <x:c r="T114" s="11" t="str">
        <x:v>Ứng viên — còn thiếu chứng cứ</x:v>
      </x:c>
      <x:c r="U114" s="11" t="str">
        <x:v>N4 — Quan hệ, hoạt động</x:v>
      </x:c>
    </x:row>
    <x:row r="115" ht="100.5" customHeight="1">
      <x:c r="A115" s="14" t="n">
        <x:v>110</x:v>
      </x:c>
      <x:c r="B115" s="11" t="str">
        <x:v>T150</x:v>
      </x:c>
      <x:c r="C115" s="11" t="str">
        <x:v>đối tác toàn diện</x:v>
      </x:c>
      <x:c r="D115" s="11" t="str">
        <x:v>Hán Việt</x:v>
      </x:c>
      <x:c r="E115" s="11" t="str">
        <x:v>B — Phân tích tạm</x:v>
      </x:c>
      <x:c r="F115" s="11" t="str">
        <x:v>포괄적 동반자 관계</x:v>
      </x:c>
      <x:c r="G115" s="11" t="str">
        <x:v>Hán Hàn</x:v>
      </x:c>
      <x:c r="H115" s="11" t="str">
        <x:v>B — Phân tích tạm</x:v>
      </x:c>
      <x:c r="I115" s="11" t="str">
        <x:f>IF(AND(LEFT(E115,1)="A",LEFT(H115,1)="A"),"A/A — Có chứng cứ hai phía",IF(OR(LEFT(E115,1)="C",LEFT(H115,1)="C"),"C — Còn điểm chưa chốt",IF(AND(OR(LEFT(E115,1)="A",LEFT(E115,1)="B"),OR(LEFT(H115,1)="A",LEFT(H115,1)="B")),"B — Cần bổ sung chứng cứ","Kiểm tra mức chứng cứ")))</x:f>
        <x:v>B — Cần bổ sung chứng cứ</x:v>
      </x:c>
      <x:c r="J115" s="11" t="str">
        <x:v>Có chứng cứ cho thành tố</x:v>
      </x:c>
      <x:c r="K115" s="11" t="str">
        <x:v>đối tác [HV 對作 *]
toàn diện [HV 全面]</x:v>
      </x:c>
      <x:c r="L115" s="11" t="str">
        <x:v>포괄적 [HH 包括的 *]
동반자 [HH 同伴者 *]
관계 [HH 關係 *]</x:v>
      </x:c>
      <x:c r="M115" s="11" t="str">
        <x:v>Phân tích cấu tạo theo thành tố; còn phần chưa có chứng cứ từ nguyên trực tiếp, xem cột ghi chú.</x:v>
      </x:c>
      <x:c r="N115"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15" s="11" t="str">
        <x:v>Hán Hàn</x:v>
      </x:c>
      <x:c r="P115" s="11" t="str"/>
      <x:c r="Q115" s="37" t="str">
        <x:v>ET116 (dòng 991)</x:v>
      </x:c>
      <x:c r="R115" s="37" t="str">
        <x:v>Chưa có nguồn từ nguyên cụ thể trong lượt này</x:v>
      </x:c>
      <x:c r="S115" s="11" t="str"/>
      <x:c r="T115" s="11" t="str">
        <x:v>Ứng viên — còn thiếu chứng cứ</x:v>
      </x:c>
      <x:c r="U115" s="11" t="str">
        <x:v>N4 — Quan hệ, hoạt động</x:v>
      </x:c>
    </x:row>
    <x:row r="116" ht="100.5" customHeight="1">
      <x:c r="A116" s="14" t="n">
        <x:v>111</x:v>
      </x:c>
      <x:c r="B116" s="11" t="str">
        <x:v>T161</x:v>
      </x:c>
      <x:c r="C116" s="11" t="str">
        <x:v>đối thoại chiến lược</x:v>
      </x:c>
      <x:c r="D116" s="11" t="str">
        <x:v>Hán Việt</x:v>
      </x:c>
      <x:c r="E116" s="11" t="str">
        <x:v>A — Có chứng cứ thành tố</x:v>
      </x:c>
      <x:c r="F116" s="11" t="str">
        <x:v>전략대화</x:v>
      </x:c>
      <x:c r="G116" s="11" t="str">
        <x:v>Hán Hàn</x:v>
      </x:c>
      <x:c r="H116" s="11" t="str">
        <x:v>B — Phân tích tạm</x:v>
      </x:c>
      <x:c r="I116" s="11" t="str">
        <x:f>IF(AND(LEFT(E116,1)="A",LEFT(H116,1)="A"),"A/A — Có chứng cứ hai phía",IF(OR(LEFT(E116,1)="C",LEFT(H116,1)="C"),"C — Còn điểm chưa chốt",IF(AND(OR(LEFT(E116,1)="A",LEFT(E116,1)="B"),OR(LEFT(H116,1)="A",LEFT(H116,1)="B")),"B — Cần bổ sung chứng cứ","Kiểm tra mức chứng cứ")))</x:f>
        <x:v>B — Cần bổ sung chứng cứ</x:v>
      </x:c>
      <x:c r="J116" s="11" t="str">
        <x:v>Có chứng cứ cho thành tố</x:v>
      </x:c>
      <x:c r="K116" s="11" t="str">
        <x:v>đối thoại [HV 對話]
chiến lược [HV 戰略]</x:v>
      </x:c>
      <x:c r="L116" s="11" t="str">
        <x:v>전략대화 [HH 戰略對話 *]</x:v>
      </x:c>
      <x:c r="M116" s="11" t="str">
        <x:v>Có nguồn âm/chữ hoặc nguồn từ nguyên cho các thành tố dùng để quyết định nhãn; việc ghép thành thuật ngữ là phân tích của nghiên cứu.</x:v>
      </x:c>
      <x:c r="N11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16" s="11" t="str">
        <x:v>Hán Hàn</x:v>
      </x:c>
      <x:c r="P116" s="11" t="str"/>
      <x:c r="Q116" s="37" t="str">
        <x:v>ET118 (dòng 993)
ET109 (dòng 984)</x:v>
      </x:c>
      <x:c r="R116" s="37" t="str">
        <x:v>ET283 (dòng 1158)
ET275 (dòng 1150)</x:v>
      </x:c>
      <x:c r="S116" s="11" t="str"/>
      <x:c r="T116" s="11" t="str">
        <x:v>Ứng viên — còn thiếu chứng cứ</x:v>
      </x:c>
      <x:c r="U116" s="11" t="str">
        <x:v>N3 — Thể chế, tư tưởng</x:v>
      </x:c>
    </x:row>
    <x:row r="117" ht="100.5" customHeight="1">
      <x:c r="A117" s="14" t="n">
        <x:v>112</x:v>
      </x:c>
      <x:c r="B117" s="11" t="str">
        <x:v>M009</x:v>
      </x:c>
      <x:c r="C117" s="11" t="str">
        <x:v>Hội nghị cấp cao Đông Á (EAS)</x:v>
      </x:c>
      <x:c r="D117" s="11" t="str">
        <x:v>Hán Việt</x:v>
      </x:c>
      <x:c r="E117" s="11" t="str">
        <x:v>A — Có chứng cứ thành tố</x:v>
      </x:c>
      <x:c r="F117" s="11" t="str">
        <x:v>동아시아정상회의</x:v>
      </x:c>
      <x:c r="G117" s="11" t="str">
        <x:v>Hán Hàn + ngoại lai khác</x:v>
      </x:c>
      <x:c r="H117" s="11" t="str">
        <x:v>B — Phân tích tạm</x:v>
      </x:c>
      <x:c r="I117" s="11" t="str">
        <x:f>IF(AND(LEFT(E117,1)="A",LEFT(H117,1)="A"),"A/A — Có chứng cứ hai phía",IF(OR(LEFT(E117,1)="C",LEFT(H117,1)="C"),"C — Còn điểm chưa chốt",IF(AND(OR(LEFT(E117,1)="A",LEFT(E117,1)="B"),OR(LEFT(H117,1)="A",LEFT(H117,1)="B")),"B — Cần bổ sung chứng cứ","Kiểm tra mức chứng cứ")))</x:f>
        <x:v>B — Cần bổ sung chứng cứ</x:v>
      </x:c>
      <x:c r="J117" s="11" t="str">
        <x:v>Có chứng cứ cho thành tố</x:v>
      </x:c>
      <x:c r="K117" s="11" t="str">
        <x:v>Hội nghị [HV 會議]
cấp [HV 級]
cao [HV 高]
Đông [HV 東]
Á [HV 亞]
EAS [VT; chú thích trong ngoặc]</x:v>
      </x:c>
      <x:c r="L117" s="11" t="str">
        <x:v>동 [HH 東 *]
아시아 [NL]
정상회의 [HH 頂上會議 *]</x:v>
      </x:c>
      <x:c r="M117" s="11" t="str">
        <x:v>Có nguồn âm/chữ hoặc nguồn từ nguyên cho các thành tố dùng để quyết định nhãn; việc ghép thành thuật ngữ là phân tích của nghiên cứu.
EAS trong ngoặc là chữ viết tắt bổ sung; nhãn xét tên đầy đủ trước ngoặc. Cấp 級 và cao 高 đều là thành tố Hán Việt.</x:v>
      </x:c>
      <x:c r="N11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17" s="11" t="str">
        <x:v>Hán Hàn + ngoại lai khác</x:v>
      </x:c>
      <x:c r="P117" s="11" t="str">
        <x:v>Việt: Đông
Việt: Á
Việt: EAS
Hàn: 아시아
Việt: EAS (chú thích)</x:v>
      </x:c>
      <x:c r="Q117" s="37" t="str">
        <x:v>ET119 (dòng 994)
ET083 (dòng 958)
ET120 (dòng 995)
ET058 (dòng 933)
ET060 (dòng 935)</x:v>
      </x:c>
      <x:c r="R117" s="37" t="str">
        <x:v>ET249 (dòng 1124)</x:v>
      </x:c>
      <x:c r="S117" s="11" t="str"/>
      <x:c r="T117" s="11" t="str">
        <x:v>Ứng viên — còn thiếu chứng cứ</x:v>
      </x:c>
      <x:c r="U117" s="11" t="str">
        <x:v>N3 — Thể chế, tư tưởng</x:v>
      </x:c>
    </x:row>
    <x:row r="118" ht="100.5" customHeight="1">
      <x:c r="A118" s="14" t="n">
        <x:v>113</x:v>
      </x:c>
      <x:c r="B118" s="11" t="str">
        <x:v>T143</x:v>
      </x:c>
      <x:c r="C118" s="11" t="str">
        <x:v>quan hệ ngoại giao</x:v>
      </x:c>
      <x:c r="D118" s="11" t="str">
        <x:v>Hán Việt</x:v>
      </x:c>
      <x:c r="E118" s="11" t="str">
        <x:v>A — Có chứng cứ thành tố</x:v>
      </x:c>
      <x:c r="F118" s="11" t="str">
        <x:v>외교관계</x:v>
      </x:c>
      <x:c r="G118" s="11" t="str">
        <x:v>Hán Hàn</x:v>
      </x:c>
      <x:c r="H118" s="11" t="str">
        <x:v>B — Phân tích tạm</x:v>
      </x:c>
      <x:c r="I118" s="11" t="str">
        <x:f>IF(AND(LEFT(E118,1)="A",LEFT(H118,1)="A"),"A/A — Có chứng cứ hai phía",IF(OR(LEFT(E118,1)="C",LEFT(H118,1)="C"),"C — Còn điểm chưa chốt",IF(AND(OR(LEFT(E118,1)="A",LEFT(E118,1)="B"),OR(LEFT(H118,1)="A",LEFT(H118,1)="B")),"B — Cần bổ sung chứng cứ","Kiểm tra mức chứng cứ")))</x:f>
        <x:v>B — Cần bổ sung chứng cứ</x:v>
      </x:c>
      <x:c r="J118" s="11" t="str">
        <x:v>Có chứng cứ cho thành tố</x:v>
      </x:c>
      <x:c r="K118" s="11" t="str">
        <x:v>quan hệ [HV 關係]
ngoại giao [HV 外交]</x:v>
      </x:c>
      <x:c r="L118" s="11" t="str">
        <x:v>외교관계 [HH 外交關係 *]</x:v>
      </x:c>
      <x:c r="M118" s="11" t="str">
        <x:v>Có nguồn âm/chữ hoặc nguồn từ nguyên cho các thành tố dùng để quyết định nhãn; việc ghép thành thuật ngữ là phân tích của nghiên cứu.</x:v>
      </x:c>
      <x:c r="N11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18" s="11" t="str">
        <x:v>Hán Hàn</x:v>
      </x:c>
      <x:c r="P118" s="11" t="str"/>
      <x:c r="Q118" s="37" t="str">
        <x:v>ET121 (dòng 996)
ET007 (dòng 882)</x:v>
      </x:c>
      <x:c r="R118" s="37" t="str">
        <x:v>ET269 (dòng 1144)
ET268 (dòng 1143)</x:v>
      </x:c>
      <x:c r="S118" s="11" t="str"/>
      <x:c r="T118" s="11" t="str">
        <x:v>Ứng viên — còn thiếu chứng cứ</x:v>
      </x:c>
      <x:c r="U118" s="11" t="str">
        <x:v>N4 — Quan hệ, hoạt động</x:v>
      </x:c>
    </x:row>
    <x:row r="119" ht="100.5" customHeight="1">
      <x:c r="A119" s="14" t="n">
        <x:v>114</x:v>
      </x:c>
      <x:c r="B119" s="11" t="str">
        <x:v>T001</x:v>
      </x:c>
      <x:c r="C119" s="11" t="str">
        <x:v>bầu cử</x:v>
      </x:c>
      <x:c r="D119" s="11" t="str">
        <x:v>Chưa chốt</x:v>
      </x:c>
      <x:c r="E119" s="11" t="str">
        <x:v>C — Chưa chốt từ nguyên</x:v>
      </x:c>
      <x:c r="F119" s="11" t="str">
        <x:v>선거</x:v>
      </x:c>
      <x:c r="G119" s="11" t="str">
        <x:v>Hán Hàn</x:v>
      </x:c>
      <x:c r="H119" s="11" t="str">
        <x:v>A — Có chứng cứ thành tố</x:v>
      </x:c>
      <x:c r="I119" s="11" t="str">
        <x:f>IF(AND(LEFT(E119,1)="A",LEFT(H119,1)="A"),"A/A — Có chứng cứ hai phía",IF(OR(LEFT(E119,1)="C",LEFT(H119,1)="C"),"C — Còn điểm chưa chốt",IF(AND(OR(LEFT(E119,1)="A",LEFT(E119,1)="B"),OR(LEFT(H119,1)="A",LEFT(H119,1)="B")),"B — Cần bổ sung chứng cứ","Kiểm tra mức chứng cứ")))</x:f>
        <x:v>C — Còn điểm chưa chốt</x:v>
      </x:c>
      <x:c r="J119" s="11" t="str">
        <x:v>Có chứng cứ cho thành tố</x:v>
      </x:c>
      <x:c r="K119" s="11" t="str">
        <x:v>bầu [?]
cử [HV 舉]</x:v>
      </x:c>
      <x:c r="L119" s="11" t="str">
        <x:v>선거 [HH 選擧]</x:v>
      </x:c>
      <x:c r="M119" s="11" t="str">
        <x:v>Có thành tố mà nguồn gốc/lớp vay mượn chưa đủ chắc; chưa dùng nhãn để chốt mẫu nghiên cứu.
Không chốt bầu là thuần Việt chỉ vì là từ thông dụng. Có tư liệu chữ Nôm dùng 保 cho bầu, nhưng bản thân phép ghi Nôm chưa chứng minh lịch sử vay mượn; cần nguồn từ nguyên đúng nghĩa bầu chọn.</x:v>
      </x:c>
      <x:c r="N119" s="11" t="str">
        <x:v>Đã tìm thấy nguồn mục từ/thành tố ghi nguyên dạng hoặc lớp từ cho toàn bộ thành tố quyết định kết luận.</x:v>
      </x:c>
      <x:c r="O119" s="11" t="str">
        <x:v>Hán Hàn</x:v>
      </x:c>
      <x:c r="P119" s="11" t="str"/>
      <x:c r="Q119" s="37" t="str">
        <x:v>ET122 (dòng 997)</x:v>
      </x:c>
      <x:c r="R119" s="37" t="str">
        <x:v>ET284 (dòng 1159)</x:v>
      </x:c>
      <x:c r="S119" s="11" t="str"/>
      <x:c r="T119" s="11" t="str">
        <x:v>Xác nhận — cùng biểu thức Anh</x:v>
      </x:c>
      <x:c r="U119" s="11" t="str">
        <x:v>N4 — Quan hệ, hoạt động</x:v>
      </x:c>
    </x:row>
    <x:row r="120" ht="100.5" customHeight="1">
      <x:c r="A120" s="14" t="n">
        <x:v>115</x:v>
      </x:c>
      <x:c r="B120" s="11" t="str">
        <x:v>T004</x:v>
      </x:c>
      <x:c r="C120" s="11" t="str">
        <x:v>bầu cử đại biểu Quốc hội</x:v>
      </x:c>
      <x:c r="D120" s="11" t="str">
        <x:v>Chưa chốt</x:v>
      </x:c>
      <x:c r="E120" s="11" t="str">
        <x:v>C — Chưa chốt từ nguyên</x:v>
      </x:c>
      <x:c r="F120" s="11" t="str">
        <x:v>국회 의원 선거</x:v>
      </x:c>
      <x:c r="G120" s="11" t="str">
        <x:v>Hán Hàn</x:v>
      </x:c>
      <x:c r="H120" s="11" t="str">
        <x:v>B — Phân tích tạm</x:v>
      </x:c>
      <x:c r="I120" s="11" t="str">
        <x:f>IF(AND(LEFT(E120,1)="A",LEFT(H120,1)="A"),"A/A — Có chứng cứ hai phía",IF(OR(LEFT(E120,1)="C",LEFT(H120,1)="C"),"C — Còn điểm chưa chốt",IF(AND(OR(LEFT(E120,1)="A",LEFT(E120,1)="B"),OR(LEFT(H120,1)="A",LEFT(H120,1)="B")),"B — Cần bổ sung chứng cứ","Kiểm tra mức chứng cứ")))</x:f>
        <x:v>C — Còn điểm chưa chốt</x:v>
      </x:c>
      <x:c r="J120" s="11" t="str">
        <x:v>Có chứng cứ cho thành tố</x:v>
      </x:c>
      <x:c r="K120" s="11" t="str">
        <x:v>bầu [?]
cử [HV 舉]
đại biểu [HV 代表]
Quốc hội [HV 國會]</x:v>
      </x:c>
      <x:c r="L120" s="11" t="str">
        <x:v>국회 [HH 國會]
의원 [HH 議員 *]
선거 [HH 選擧]</x:v>
      </x:c>
      <x:c r="M120" s="11" t="str">
        <x:v>Có thành tố mà nguồn gốc/lớp vay mượn chưa đủ chắc; chưa dùng nhãn để chốt mẫu nghiên cứu.
Bầu cần kiểm chứng như T001; cử, đại biểu, Quốc hội là các thành tố Hán Việt.</x:v>
      </x:c>
      <x:c r="N12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20" s="11" t="str">
        <x:v>Hán Hàn</x:v>
      </x:c>
      <x:c r="P120" s="11" t="str"/>
      <x:c r="Q120" s="37" t="str">
        <x:v>ET122 (dòng 997)
ET015 (dòng 890)
ET011 (dòng 886)</x:v>
      </x:c>
      <x:c r="R120" s="37" t="str">
        <x:v>ET248 (dòng 1123)
ET284 (dòng 1159)</x:v>
      </x:c>
      <x:c r="S120" s="11" t="str"/>
      <x:c r="T120" s="11" t="str">
        <x:v>Ứng viên — còn thiếu chứng cứ</x:v>
      </x:c>
      <x:c r="U120" s="11" t="str">
        <x:v>N4 — Quan hệ, hoạt động</x:v>
      </x:c>
    </x:row>
    <x:row r="121" ht="100.5" customHeight="1">
      <x:c r="A121" s="14" t="n">
        <x:v>116</x:v>
      </x:c>
      <x:c r="B121" s="11" t="str">
        <x:v>T041</x:v>
      </x:c>
      <x:c r="C121" s="11" t="str">
        <x:v>cải cách hành chính</x:v>
      </x:c>
      <x:c r="D121" s="11" t="str">
        <x:v>Hán Việt</x:v>
      </x:c>
      <x:c r="E121" s="11" t="str">
        <x:v>A — Có chứng cứ thành tố</x:v>
      </x:c>
      <x:c r="F121" s="11" t="str">
        <x:v>행정 개혁</x:v>
      </x:c>
      <x:c r="G121" s="11" t="str">
        <x:v>Hán Hàn</x:v>
      </x:c>
      <x:c r="H121" s="11" t="str">
        <x:v>B — Phân tích tạm</x:v>
      </x:c>
      <x:c r="I121" s="11" t="str">
        <x:f>IF(AND(LEFT(E121,1)="A",LEFT(H121,1)="A"),"A/A — Có chứng cứ hai phía",IF(OR(LEFT(E121,1)="C",LEFT(H121,1)="C"),"C — Còn điểm chưa chốt",IF(AND(OR(LEFT(E121,1)="A",LEFT(E121,1)="B"),OR(LEFT(H121,1)="A",LEFT(H121,1)="B")),"B — Cần bổ sung chứng cứ","Kiểm tra mức chứng cứ")))</x:f>
        <x:v>B — Cần bổ sung chứng cứ</x:v>
      </x:c>
      <x:c r="J121" s="11" t="str">
        <x:v>Có chứng cứ cho thành tố</x:v>
      </x:c>
      <x:c r="K121" s="11" t="str">
        <x:v>cải cách [HV 改革]
hành chính [HV 行政]</x:v>
      </x:c>
      <x:c r="L121" s="11" t="str">
        <x:v>행정 [HH 行政 *]
개혁 [HH 改革 *]</x:v>
      </x:c>
      <x:c r="M121" s="11" t="str">
        <x:v>Có nguồn âm/chữ hoặc nguồn từ nguyên cho các thành tố dùng để quyết định nhãn; việc ghép thành thuật ngữ là phân tích của nghiên cứu.</x:v>
      </x:c>
      <x:c r="N12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21" s="11" t="str">
        <x:v>Hán Hàn</x:v>
      </x:c>
      <x:c r="P121" s="11" t="str"/>
      <x:c r="Q121" s="37" t="str">
        <x:v>ET123 (dòng 998)
ET124 (dòng 999)</x:v>
      </x:c>
      <x:c r="R121" s="37" t="str">
        <x:v>Chưa có nguồn từ nguyên cụ thể trong lượt này</x:v>
      </x:c>
      <x:c r="S121" s="11" t="str"/>
      <x:c r="T121" s="11" t="str">
        <x:v>Ứng viên — còn thiếu chứng cứ</x:v>
      </x:c>
      <x:c r="U121" s="11" t="str">
        <x:v>N4 — Quan hệ, hoạt động</x:v>
      </x:c>
    </x:row>
    <x:row r="122" ht="100.5" customHeight="1">
      <x:c r="A122" s="14" t="n">
        <x:v>117</x:v>
      </x:c>
      <x:c r="B122" s="11" t="str">
        <x:v>T060</x:v>
      </x:c>
      <x:c r="C122" s="11" t="str">
        <x:v>cải cách thể chế</x:v>
      </x:c>
      <x:c r="D122" s="11" t="str">
        <x:v>Hán Việt</x:v>
      </x:c>
      <x:c r="E122" s="11" t="str">
        <x:v>A — Có chứng cứ thành tố</x:v>
      </x:c>
      <x:c r="F122" s="11" t="str">
        <x:v>제도 개혁</x:v>
      </x:c>
      <x:c r="G122" s="11" t="str">
        <x:v>Hán Hàn</x:v>
      </x:c>
      <x:c r="H122" s="11" t="str">
        <x:v>B — Phân tích tạm</x:v>
      </x:c>
      <x:c r="I122" s="11" t="str">
        <x:f>IF(AND(LEFT(E122,1)="A",LEFT(H122,1)="A"),"A/A — Có chứng cứ hai phía",IF(OR(LEFT(E122,1)="C",LEFT(H122,1)="C"),"C — Còn điểm chưa chốt",IF(AND(OR(LEFT(E122,1)="A",LEFT(E122,1)="B"),OR(LEFT(H122,1)="A",LEFT(H122,1)="B")),"B — Cần bổ sung chứng cứ","Kiểm tra mức chứng cứ")))</x:f>
        <x:v>B — Cần bổ sung chứng cứ</x:v>
      </x:c>
      <x:c r="J122" s="11" t="str">
        <x:v>Có chứng cứ cho thành tố</x:v>
      </x:c>
      <x:c r="K122" s="11" t="str">
        <x:v>cải cách [HV 改革]
thể chế [HV 體制]</x:v>
      </x:c>
      <x:c r="L122" s="11" t="str">
        <x:v>제도 [HH 制度 *]
개혁 [HH 改革 *]</x:v>
      </x:c>
      <x:c r="M122" s="11" t="str">
        <x:v>Có nguồn âm/chữ hoặc nguồn từ nguyên cho các thành tố dùng để quyết định nhãn; việc ghép thành thuật ngữ là phân tích của nghiên cứu.</x:v>
      </x:c>
      <x:c r="N12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22" s="11" t="str">
        <x:v>Hán Hàn</x:v>
      </x:c>
      <x:c r="P122" s="11" t="str"/>
      <x:c r="Q122" s="37" t="str">
        <x:v>ET123 (dòng 998)
ET125 (dòng 1000)</x:v>
      </x:c>
      <x:c r="R122" s="37" t="str">
        <x:v>Chưa có nguồn từ nguyên cụ thể trong lượt này</x:v>
      </x:c>
      <x:c r="S122" s="11" t="str"/>
      <x:c r="T122" s="11" t="str">
        <x:v>Ứng viên — còn thiếu chứng cứ</x:v>
      </x:c>
      <x:c r="U122" s="11" t="str">
        <x:v>N4 — Quan hệ, hoạt động</x:v>
      </x:c>
    </x:row>
    <x:row r="123" ht="130.5" customHeight="1">
      <x:c r="A123" s="14" t="n">
        <x:v>118</x:v>
      </x:c>
      <x:c r="B123" s="11" t="str">
        <x:v>M047</x:v>
      </x:c>
      <x:c r="C123" s="11" t="str">
        <x:v>chào xã giao</x:v>
      </x:c>
      <x:c r="D123" s="11" t="str">
        <x:v>Chưa chốt</x:v>
      </x:c>
      <x:c r="E123" s="11" t="str">
        <x:v>C — Chưa chốt từ nguyên</x:v>
      </x:c>
      <x:c r="F123" s="11" t="str">
        <x:v>예방할</x:v>
      </x:c>
      <x:c r="G123" s="11" t="str">
        <x:v>Hán Hàn + ngữ pháp thuần Hàn</x:v>
      </x:c>
      <x:c r="H123" s="11" t="str">
        <x:v>B — Phân tích tạm</x:v>
      </x:c>
      <x:c r="I123" s="11" t="str">
        <x:f>IF(AND(LEFT(E123,1)="A",LEFT(H123,1)="A"),"A/A — Có chứng cứ hai phía",IF(OR(LEFT(E123,1)="C",LEFT(H123,1)="C"),"C — Còn điểm chưa chốt",IF(AND(OR(LEFT(E123,1)="A",LEFT(E123,1)="B"),OR(LEFT(H123,1)="A",LEFT(H123,1)="B")),"B — Cần bổ sung chứng cứ","Kiểm tra mức chứng cứ")))</x:f>
        <x:v>C — Còn điểm chưa chốt</x:v>
      </x:c>
      <x:c r="J123" s="11" t="str">
        <x:v>Có chứng cứ cho thành tố</x:v>
      </x:c>
      <x:c r="K123" s="11" t="str">
        <x:v>chào [?]
xã giao [HV 社交]</x:v>
      </x:c>
      <x:c r="L123" s="11" t="str">
        <x:v>예방 [HH 禮訪 *]
할 [NP]</x:v>
      </x:c>
      <x:c r="M123" s="11" t="str">
        <x:v>Có thành tố mà nguồn gốc/lớp vay mượn chưa đủ chắc; chưa dùng nhãn để chốt mẫu nghiên cứu.
Chào chưa được truy nguyên bằng nguồn chuyên biệt; không đồng nhất với một chữ Hán chỉ vì gần âm.</x:v>
      </x:c>
      <x:c r="N12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예방할 là dạng chia động từ 예방하다 = 禮訪 + 하- + -ㄹ; chọn nghĩa thăm xã giao, không nhầm 예방 預防 (phòng ngừa).</x:v>
      </x:c>
      <x:c r="O123" s="11" t="str">
        <x:v>Hán Hàn</x:v>
      </x:c>
      <x:c r="P123" s="11" t="str"/>
      <x:c r="Q123" s="37" t="str">
        <x:v>ET126 (dòng 1001)</x:v>
      </x:c>
      <x:c r="R123" s="37" t="str">
        <x:v>ET285 (dòng 1160)
ET286 (dòng 1161)</x:v>
      </x:c>
      <x:c r="S123" s="11" t="str"/>
      <x:c r="T123" s="11" t="str">
        <x:v>Ứng viên — còn thiếu chứng cứ</x:v>
      </x:c>
      <x:c r="U123" s="11" t="str">
        <x:v>N4 — Quan hệ, hoạt động</x:v>
      </x:c>
    </x:row>
    <x:row r="124" ht="100.5" customHeight="1">
      <x:c r="A124" s="14" t="n">
        <x:v>119</x:v>
      </x:c>
      <x:c r="B124" s="11" t="str">
        <x:v>T025</x:v>
      </x:c>
      <x:c r="C124" s="11" t="str">
        <x:v>Đại hội đại biểu toàn quốc</x:v>
      </x:c>
      <x:c r="D124" s="11" t="str">
        <x:v>Hán Việt</x:v>
      </x:c>
      <x:c r="E124" s="11" t="str">
        <x:v>A — Có chứng cứ thành tố</x:v>
      </x:c>
      <x:c r="F124" s="11" t="str">
        <x:v>전국대회</x:v>
      </x:c>
      <x:c r="G124" s="11" t="str">
        <x:v>Hán Hàn</x:v>
      </x:c>
      <x:c r="H124" s="11" t="str">
        <x:v>B — Phân tích tạm</x:v>
      </x:c>
      <x:c r="I124" s="11" t="str">
        <x:f>IF(AND(LEFT(E124,1)="A",LEFT(H124,1)="A"),"A/A — Có chứng cứ hai phía",IF(OR(LEFT(E124,1)="C",LEFT(H124,1)="C"),"C — Còn điểm chưa chốt",IF(AND(OR(LEFT(E124,1)="A",LEFT(E124,1)="B"),OR(LEFT(H124,1)="A",LEFT(H124,1)="B")),"B — Cần bổ sung chứng cứ","Kiểm tra mức chứng cứ")))</x:f>
        <x:v>B — Cần bổ sung chứng cứ</x:v>
      </x:c>
      <x:c r="J124" s="11" t="str">
        <x:v>Có chứng cứ cho thành tố</x:v>
      </x:c>
      <x:c r="K124" s="11" t="str">
        <x:v>Đại hội [HV 大會]
đại biểu [HV 代表]
toàn quốc [HV 全國]</x:v>
      </x:c>
      <x:c r="L124" s="11" t="str">
        <x:v>전국대회 [HH 全國大會 *]</x:v>
      </x:c>
      <x:c r="M124" s="11" t="str">
        <x:v>Có nguồn âm/chữ hoặc nguồn từ nguyên cho các thành tố dùng để quyết định nhãn; việc ghép thành thuật ngữ là phân tích của nghiên cứu.</x:v>
      </x:c>
      <x:c r="N12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24" s="11" t="str">
        <x:v>Hán Hàn</x:v>
      </x:c>
      <x:c r="P124" s="11" t="str"/>
      <x:c r="Q124" s="37" t="str">
        <x:v>ET048 (dòng 923)
ET015 (dòng 890)
ET127 (dòng 1002)</x:v>
      </x:c>
      <x:c r="R124" s="37" t="str">
        <x:v>Chưa có nguồn từ nguyên cụ thể trong lượt này</x:v>
      </x:c>
      <x:c r="S124" s="11" t="str"/>
      <x:c r="T124" s="11" t="str">
        <x:v>Ứng viên — còn thiếu chứng cứ</x:v>
      </x:c>
      <x:c r="U124" s="11" t="str">
        <x:v>N4 — Quan hệ, hoạt động</x:v>
      </x:c>
    </x:row>
    <x:row r="125" ht="115.5" customHeight="1">
      <x:c r="A125" s="14" t="n">
        <x:v>120</x:v>
      </x:c>
      <x:c r="B125" s="11" t="str">
        <x:v>T012</x:v>
      </x:c>
      <x:c r="C125" s="11" t="str">
        <x:v>đề cử</x:v>
      </x:c>
      <x:c r="D125" s="11" t="str">
        <x:v>Hán Việt</x:v>
      </x:c>
      <x:c r="E125" s="11" t="str">
        <x:v>A — Có chứng cứ thành tố</x:v>
      </x:c>
      <x:c r="F125" s="11" t="str">
        <x:v>지명한</x:v>
      </x:c>
      <x:c r="G125" s="11" t="str">
        <x:v>Hán Hàn + ngữ pháp thuần Hàn</x:v>
      </x:c>
      <x:c r="H125" s="11" t="str">
        <x:v>B — Phân tích tạm</x:v>
      </x:c>
      <x:c r="I125" s="11" t="str">
        <x:f>IF(AND(LEFT(E125,1)="A",LEFT(H125,1)="A"),"A/A — Có chứng cứ hai phía",IF(OR(LEFT(E125,1)="C",LEFT(H125,1)="C"),"C — Còn điểm chưa chốt",IF(AND(OR(LEFT(E125,1)="A",LEFT(E125,1)="B"),OR(LEFT(H125,1)="A",LEFT(H125,1)="B")),"B — Cần bổ sung chứng cứ","Kiểm tra mức chứng cứ")))</x:f>
        <x:v>B — Cần bổ sung chứng cứ</x:v>
      </x:c>
      <x:c r="J125" s="11" t="str">
        <x:v>Có mục từ cả dạng biểu thức</x:v>
      </x:c>
      <x:c r="K125" s="11" t="str">
        <x:v>đề cử [HV 提舉]</x:v>
      </x:c>
      <x:c r="L125" s="11" t="str">
        <x:v>지명 [HH 指名 *]
한 [NP]</x:v>
      </x:c>
      <x:c r="M125" s="11" t="str">
        <x:v>Có nguồn âm/chữ hoặc nguồn từ nguyên cho các thành tố dùng để quyết định nhãn; việc ghép thành thuật ngữ là phân tích của nghiên cứu.</x:v>
      </x:c>
      <x:c r="N12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지명한 là dạng chia của 지명하다: 指名 + 하- + -ㄴ. Không đổi thành 지명 mà không ghi rõ.</x:v>
      </x:c>
      <x:c r="O125" s="11" t="str">
        <x:v>Hán Hàn</x:v>
      </x:c>
      <x:c r="P125" s="11" t="str">
        <x:v>Hàn: 한</x:v>
      </x:c>
      <x:c r="Q125" s="37" t="str">
        <x:v>ET128 (dòng 1003)</x:v>
      </x:c>
      <x:c r="R125" s="37" t="str">
        <x:v>ET285 (dòng 1160)
ET286 (dòng 1161)</x:v>
      </x:c>
      <x:c r="S125" s="11" t="str"/>
      <x:c r="T125" s="11" t="str">
        <x:v>Có điều kiện — chưa chốt</x:v>
      </x:c>
      <x:c r="U125" s="11" t="str">
        <x:v>N4 — Quan hệ, hoạt động</x:v>
      </x:c>
    </x:row>
    <x:row r="126" ht="100.5" customHeight="1">
      <x:c r="A126" s="14" t="n">
        <x:v>121</x:v>
      </x:c>
      <x:c r="B126" s="11" t="str">
        <x:v>T153</x:v>
      </x:c>
      <x:c r="C126" s="11" t="str">
        <x:v>điện đàm</x:v>
      </x:c>
      <x:c r="D126" s="11" t="str">
        <x:v>Hán Việt</x:v>
      </x:c>
      <x:c r="E126" s="11" t="str">
        <x:v>B — Phân tích tạm</x:v>
      </x:c>
      <x:c r="F126" s="11" t="str">
        <x:v>전화 회담</x:v>
      </x:c>
      <x:c r="G126" s="11" t="str">
        <x:v>Hán Hàn</x:v>
      </x:c>
      <x:c r="H126" s="11" t="str">
        <x:v>B — Phân tích tạm</x:v>
      </x:c>
      <x:c r="I126" s="11" t="str">
        <x:f>IF(AND(LEFT(E126,1)="A",LEFT(H126,1)="A"),"A/A — Có chứng cứ hai phía",IF(OR(LEFT(E126,1)="C",LEFT(H126,1)="C"),"C — Còn điểm chưa chốt",IF(AND(OR(LEFT(E126,1)="A",LEFT(E126,1)="B"),OR(LEFT(H126,1)="A",LEFT(H126,1)="B")),"B — Cần bổ sung chứng cứ","Kiểm tra mức chứng cứ")))</x:f>
        <x:v>B — Cần bổ sung chứng cứ</x:v>
      </x:c>
      <x:c r="J126" s="11" t="str">
        <x:v>Chưa có chứng cứ HVDic trong lượt này</x:v>
      </x:c>
      <x:c r="K126" s="11" t="str">
        <x:v>điện đàm [HV 電談 *]</x:v>
      </x:c>
      <x:c r="L126" s="11" t="str">
        <x:v>전화 [HH 電話 *]
회담 [HH 會談 *]</x:v>
      </x:c>
      <x:c r="M126" s="11" t="str">
        <x:v>Phân tích cấu tạo theo thành tố; còn phần chưa có chứng cứ từ nguyên trực tiếp, xem cột ghi chú.</x:v>
      </x:c>
      <x:c r="N126"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26" s="11" t="str">
        <x:v>Hán Hàn</x:v>
      </x:c>
      <x:c r="P126" s="11" t="str"/>
      <x:c r="Q126" s="37" t="str">
        <x:v>Chưa có nguồn từ nguyên cụ thể trong lượt này</x:v>
      </x:c>
      <x:c r="R126" s="37" t="str">
        <x:v>Chưa có nguồn từ nguyên cụ thể trong lượt này</x:v>
      </x:c>
      <x:c r="S126" s="11" t="str"/>
      <x:c r="T126" s="11" t="str">
        <x:v>Ứng viên — còn thiếu chứng cứ</x:v>
      </x:c>
      <x:c r="U126" s="11" t="str">
        <x:v>N4 — Quan hệ, hoạt động</x:v>
      </x:c>
    </x:row>
    <x:row r="127" ht="160.5" customHeight="1">
      <x:c r="A127" s="14" t="n">
        <x:v>122</x:v>
      </x:c>
      <x:c r="B127" s="11" t="str">
        <x:v>T016</x:v>
      </x:c>
      <x:c r="C127" s="11" t="str">
        <x:v>Đổi mới</x:v>
      </x:c>
      <x:c r="D127" s="11" t="str">
        <x:v>Thuần Việt</x:v>
      </x:c>
      <x:c r="E127" s="11" t="str">
        <x:v>A — Có chứng cứ thành tố</x:v>
      </x:c>
      <x:c r="F127" s="11" t="str">
        <x:v>도이머이(혁신)</x:v>
      </x:c>
      <x:c r="G127" s="11" t="str">
        <x:v>Dạng song song: ngoại lai / Hán Hàn</x:v>
      </x:c>
      <x:c r="H127" s="11" t="str">
        <x:v>B — Phân tích tạm</x:v>
      </x:c>
      <x:c r="I127" s="11" t="str">
        <x:f>IF(AND(LEFT(E127,1)="A",LEFT(H127,1)="A"),"A/A — Có chứng cứ hai phía",IF(OR(LEFT(E127,1)="C",LEFT(H127,1)="C"),"C — Còn điểm chưa chốt",IF(AND(OR(LEFT(E127,1)="A",LEFT(E127,1)="B"),OR(LEFT(H127,1)="A",LEFT(H127,1)="B")),"B — Cần bổ sung chứng cứ","Kiểm tra mức chứng cứ")))</x:f>
        <x:v>B — Cần bổ sung chứng cứ</x:v>
      </x:c>
      <x:c r="J127" s="11" t="str">
        <x:v>Chưa có chứng cứ HVDic trong lượt này</x:v>
      </x:c>
      <x:c r="K127" s="11" t="str">
        <x:v>Đổi [TV]
mới [TV]</x:v>
      </x:c>
      <x:c r="L127" s="11" t="str">
        <x:v>도이머이 [NL]
혁신 [HH 革新 *]</x:v>
      </x:c>
      <x:c r="M127" s="11" t="str">
        <x:v>Có nguồn âm/chữ hoặc nguồn từ nguyên cho các thành tố dùng để quyết định nhãn; việc ghép thành thuật ngữ là phân tích của nghiên cứu.
Đổi và mới có bằng chứng từ vựng so sánh Nam Á/Vietic trong WOLD; tên chính sách không quyết định nguồn gốc hình thức.</x:v>
      </x:c>
      <x:c r="N127"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 도이머이 là từ Việt được phiên âm sang Hàn; 혁신 革新 là phần giải thích Hán Hàn trong ngoặc. Lõi tên riêng 도이머이 không phải Hán Hàn. Đây là tên phiên âm kèm lời giải thích trong ngoặc; không xem như một từ ghép hỗn hợp duy nhất.</x:v>
      </x:c>
      <x:c r="O127" s="11" t="str">
        <x:v>Ngoại lai khác</x:v>
      </x:c>
      <x:c r="P127" s="11" t="str"/>
      <x:c r="Q127" s="37" t="str">
        <x:v>ET129 (dòng 1004)
ET130 (dòng 1005)</x:v>
      </x:c>
      <x:c r="R127" s="37" t="str">
        <x:v>Chưa có nguồn từ nguyên cụ thể trong lượt này</x:v>
      </x:c>
      <x:c r="S127" s="11" t="str"/>
      <x:c r="T127" s="11" t="str">
        <x:v>Ứng viên — còn thiếu chứng cứ</x:v>
      </x:c>
      <x:c r="U127" s="11" t="str">
        <x:v>N4 — Quan hệ, hoạt động</x:v>
      </x:c>
    </x:row>
    <x:row r="128" ht="85.5" customHeight="1">
      <x:c r="A128" s="14" t="n">
        <x:v>123</x:v>
      </x:c>
      <x:c r="B128" s="11" t="str">
        <x:v>T160</x:v>
      </x:c>
      <x:c r="C128" s="11" t="str">
        <x:v>đối ngoại quốc phòng</x:v>
      </x:c>
      <x:c r="D128" s="11" t="str">
        <x:v>Hán Việt</x:v>
      </x:c>
      <x:c r="E128" s="11" t="str">
        <x:v>A — Có chứng cứ thành tố</x:v>
      </x:c>
      <x:c r="F128" s="11" t="str">
        <x:v>국방 외교</x:v>
      </x:c>
      <x:c r="G128" s="11" t="str">
        <x:v>Hán Hàn</x:v>
      </x:c>
      <x:c r="H128" s="11" t="str">
        <x:v>A — Có chứng cứ thành tố</x:v>
      </x:c>
      <x:c r="I128" s="11" t="str">
        <x:f>IF(AND(LEFT(E128,1)="A",LEFT(H128,1)="A"),"A/A — Có chứng cứ hai phía",IF(OR(LEFT(E128,1)="C",LEFT(H128,1)="C"),"C — Còn điểm chưa chốt",IF(AND(OR(LEFT(E128,1)="A",LEFT(E128,1)="B"),OR(LEFT(H128,1)="A",LEFT(H128,1)="B")),"B — Cần bổ sung chứng cứ","Kiểm tra mức chứng cứ")))</x:f>
        <x:v>A/A — Có chứng cứ hai phía</x:v>
      </x:c>
      <x:c r="J128" s="11" t="str">
        <x:v>Có chứng cứ cho thành tố</x:v>
      </x:c>
      <x:c r="K128" s="11" t="str">
        <x:v>đối ngoại [HV 對外]
quốc phòng [HV 國防]</x:v>
      </x:c>
      <x:c r="L128" s="11" t="str">
        <x:v>국방 [HH 國防]
외교 [HH 外交]</x:v>
      </x:c>
      <x:c r="M128" s="11" t="str">
        <x:v>Có nguồn âm/chữ hoặc nguồn từ nguyên cho các thành tố dùng để quyết định nhãn; việc ghép thành thuật ngữ là phân tích của nghiên cứu.</x:v>
      </x:c>
      <x:c r="N128" s="11" t="str">
        <x:v>Đã tìm thấy nguồn mục từ/thành tố ghi nguyên dạng hoặc lớp từ cho toàn bộ thành tố quyết định kết luận.</x:v>
      </x:c>
      <x:c r="O128" s="11" t="str">
        <x:v>Hán Hàn</x:v>
      </x:c>
      <x:c r="P128" s="11" t="str"/>
      <x:c r="Q128" s="37" t="str">
        <x:v>ET085 (dòng 960)
ET008 (dòng 883)</x:v>
      </x:c>
      <x:c r="R128" s="37" t="str">
        <x:v>ET245 (dòng 1120)
ET269 (dòng 1144)
ET268 (dòng 1143)</x:v>
      </x:c>
      <x:c r="S128" s="11" t="str"/>
      <x:c r="T128" s="11" t="str">
        <x:v>Ứng viên — còn thiếu chứng cứ</x:v>
      </x:c>
      <x:c r="U128" s="11" t="str">
        <x:v>N4 — Quan hệ, hoạt động</x:v>
      </x:c>
    </x:row>
    <x:row r="129" ht="85.5" customHeight="1">
      <x:c r="A129" s="14" t="n">
        <x:v>124</x:v>
      </x:c>
      <x:c r="B129" s="11" t="str">
        <x:v>T165</x:v>
      </x:c>
      <x:c r="C129" s="11" t="str">
        <x:v>đối thoại chính sách</x:v>
      </x:c>
      <x:c r="D129" s="11" t="str">
        <x:v>Hán Việt</x:v>
      </x:c>
      <x:c r="E129" s="11" t="str">
        <x:v>A — Có chứng cứ thành tố</x:v>
      </x:c>
      <x:c r="F129" s="11" t="str">
        <x:v>정책 대화</x:v>
      </x:c>
      <x:c r="G129" s="11" t="str">
        <x:v>Hán Hàn</x:v>
      </x:c>
      <x:c r="H129" s="11" t="str">
        <x:v>A — Có chứng cứ thành tố</x:v>
      </x:c>
      <x:c r="I129" s="11" t="str">
        <x:f>IF(AND(LEFT(E129,1)="A",LEFT(H129,1)="A"),"A/A — Có chứng cứ hai phía",IF(OR(LEFT(E129,1)="C",LEFT(H129,1)="C"),"C — Còn điểm chưa chốt",IF(AND(OR(LEFT(E129,1)="A",LEFT(E129,1)="B"),OR(LEFT(H129,1)="A",LEFT(H129,1)="B")),"B — Cần bổ sung chứng cứ","Kiểm tra mức chứng cứ")))</x:f>
        <x:v>A/A — Có chứng cứ hai phía</x:v>
      </x:c>
      <x:c r="J129" s="11" t="str">
        <x:v>Có chứng cứ cho thành tố</x:v>
      </x:c>
      <x:c r="K129" s="11" t="str">
        <x:v>đối thoại [HV 對話]
chính sách [HV 政策]</x:v>
      </x:c>
      <x:c r="L129" s="11" t="str">
        <x:v>정책 [HH 政策]
대화 [HH 對話]</x:v>
      </x:c>
      <x:c r="M129" s="11" t="str">
        <x:v>Có nguồn âm/chữ hoặc nguồn từ nguyên cho các thành tố dùng để quyết định nhãn; việc ghép thành thuật ngữ là phân tích của nghiên cứu.</x:v>
      </x:c>
      <x:c r="N129" s="11" t="str">
        <x:v>Đã tìm thấy nguồn mục từ/thành tố ghi nguyên dạng hoặc lớp từ cho toàn bộ thành tố quyết định kết luận.</x:v>
      </x:c>
      <x:c r="O129" s="11" t="str">
        <x:v>Hán Hàn</x:v>
      </x:c>
      <x:c r="P129" s="11" t="str"/>
      <x:c r="Q129" s="37" t="str">
        <x:v>ET118 (dòng 993)
ET084 (dòng 959)</x:v>
      </x:c>
      <x:c r="R129" s="37" t="str">
        <x:v>ET270 (dòng 1145)
ET283 (dòng 1158)</x:v>
      </x:c>
      <x:c r="S129" s="11" t="str"/>
      <x:c r="T129" s="11" t="str">
        <x:v>Ứng viên — còn thiếu chứng cứ</x:v>
      </x:c>
      <x:c r="U129" s="11" t="str">
        <x:v>N4 — Quan hệ, hoạt động</x:v>
      </x:c>
    </x:row>
    <x:row r="130" ht="100.5" customHeight="1">
      <x:c r="A130" s="14" t="n">
        <x:v>125</x:v>
      </x:c>
      <x:c r="B130" s="11" t="str">
        <x:v>T040</x:v>
      </x:c>
      <x:c r="C130" s="11" t="str">
        <x:v>giải phóng dân tộc</x:v>
      </x:c>
      <x:c r="D130" s="11" t="str">
        <x:v>Hán Việt</x:v>
      </x:c>
      <x:c r="E130" s="11" t="str">
        <x:v>A — Có chứng cứ thành tố</x:v>
      </x:c>
      <x:c r="F130" s="11" t="str">
        <x:v>민족 해방</x:v>
      </x:c>
      <x:c r="G130" s="11" t="str">
        <x:v>Hán Hàn</x:v>
      </x:c>
      <x:c r="H130" s="11" t="str">
        <x:v>B — Phân tích tạm</x:v>
      </x:c>
      <x:c r="I130" s="11" t="str">
        <x:f>IF(AND(LEFT(E130,1)="A",LEFT(H130,1)="A"),"A/A — Có chứng cứ hai phía",IF(OR(LEFT(E130,1)="C",LEFT(H130,1)="C"),"C — Còn điểm chưa chốt",IF(AND(OR(LEFT(E130,1)="A",LEFT(E130,1)="B"),OR(LEFT(H130,1)="A",LEFT(H130,1)="B")),"B — Cần bổ sung chứng cứ","Kiểm tra mức chứng cứ")))</x:f>
        <x:v>B — Cần bổ sung chứng cứ</x:v>
      </x:c>
      <x:c r="J130" s="11" t="str">
        <x:v>Có chứng cứ cho thành tố</x:v>
      </x:c>
      <x:c r="K130" s="11" t="str">
        <x:v>giải phóng [HV 解放]
dân tộc [HV 民族]</x:v>
      </x:c>
      <x:c r="L130" s="11" t="str">
        <x:v>민족 [HH 民族 *]
해방 [HH 解放 *]</x:v>
      </x:c>
      <x:c r="M130" s="11" t="str">
        <x:v>Có nguồn âm/chữ hoặc nguồn từ nguyên cho các thành tố dùng để quyết định nhãn; việc ghép thành thuật ngữ là phân tích của nghiên cứu.</x:v>
      </x:c>
      <x:c r="N130"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0" s="11" t="str">
        <x:v>Hán Hàn</x:v>
      </x:c>
      <x:c r="P130" s="11" t="str"/>
      <x:c r="Q130" s="37" t="str">
        <x:v>ET131 (dòng 1006)
ET094 (dòng 969)</x:v>
      </x:c>
      <x:c r="R130" s="37" t="str">
        <x:v>Chưa có nguồn từ nguyên cụ thể trong lượt này</x:v>
      </x:c>
      <x:c r="S130" s="11" t="str"/>
      <x:c r="T130" s="11" t="str">
        <x:v>Ứng viên — còn thiếu chứng cứ</x:v>
      </x:c>
      <x:c r="U130" s="11" t="str">
        <x:v>N4 — Quan hệ, hoạt động</x:v>
      </x:c>
    </x:row>
    <x:row r="131" ht="100.5" customHeight="1">
      <x:c r="A131" s="14" t="n">
        <x:v>126</x:v>
      </x:c>
      <x:c r="B131" s="11" t="str">
        <x:v>T010</x:v>
      </x:c>
      <x:c r="C131" s="11" t="str">
        <x:v>giám sát tối cao</x:v>
      </x:c>
      <x:c r="D131" s="11" t="str">
        <x:v>Hán Việt</x:v>
      </x:c>
      <x:c r="E131" s="11" t="str">
        <x:v>A — Có chứng cứ thành tố</x:v>
      </x:c>
      <x:c r="F131" s="11" t="str">
        <x:v>최고 감독</x:v>
      </x:c>
      <x:c r="G131" s="11" t="str">
        <x:v>Hán Hàn</x:v>
      </x:c>
      <x:c r="H131" s="11" t="str">
        <x:v>B — Phân tích tạm</x:v>
      </x:c>
      <x:c r="I131" s="11" t="str">
        <x:f>IF(AND(LEFT(E131,1)="A",LEFT(H131,1)="A"),"A/A — Có chứng cứ hai phía",IF(OR(LEFT(E131,1)="C",LEFT(H131,1)="C"),"C — Còn điểm chưa chốt",IF(AND(OR(LEFT(E131,1)="A",LEFT(E131,1)="B"),OR(LEFT(H131,1)="A",LEFT(H131,1)="B")),"B — Cần bổ sung chứng cứ","Kiểm tra mức chứng cứ")))</x:f>
        <x:v>B — Cần bổ sung chứng cứ</x:v>
      </x:c>
      <x:c r="J131" s="11" t="str">
        <x:v>Có chứng cứ cho thành tố</x:v>
      </x:c>
      <x:c r="K131" s="11" t="str">
        <x:v>giám sát [HV 監察]
tối cao [HV 最高]</x:v>
      </x:c>
      <x:c r="L131" s="11" t="str">
        <x:v>최고 [HH 最高 *]
감독 [HH 監督 *]</x:v>
      </x:c>
      <x:c r="M131" s="11" t="str">
        <x:v>Có nguồn âm/chữ hoặc nguồn từ nguyên cho các thành tố dùng để quyết định nhãn; việc ghép thành thuật ngữ là phân tích của nghiên cứu.</x:v>
      </x:c>
      <x:c r="N13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1" s="11" t="str">
        <x:v>Hán Hàn</x:v>
      </x:c>
      <x:c r="P131" s="11" t="str"/>
      <x:c r="Q131" s="37" t="str">
        <x:v>ET132 (dòng 1007)
ET074 (dòng 949)</x:v>
      </x:c>
      <x:c r="R131" s="37" t="str">
        <x:v>Chưa có nguồn từ nguyên cụ thể trong lượt này</x:v>
      </x:c>
      <x:c r="S131" s="11" t="str"/>
      <x:c r="T131" s="11" t="str">
        <x:v>Ứng viên — còn thiếu chứng cứ</x:v>
      </x:c>
      <x:c r="U131" s="11" t="str">
        <x:v>N4 — Quan hệ, hoạt động</x:v>
      </x:c>
    </x:row>
    <x:row r="132" ht="100.5" customHeight="1">
      <x:c r="A132" s="14" t="n">
        <x:v>127</x:v>
      </x:c>
      <x:c r="B132" s="11" t="str">
        <x:v>T141</x:v>
      </x:c>
      <x:c r="C132" s="11" t="str">
        <x:v>hội đàm</x:v>
      </x:c>
      <x:c r="D132" s="11" t="str">
        <x:v>Hán Việt</x:v>
      </x:c>
      <x:c r="E132" s="11" t="str">
        <x:v>A — Có chứng cứ thành tố</x:v>
      </x:c>
      <x:c r="F132" s="11" t="str">
        <x:v>회담</x:v>
      </x:c>
      <x:c r="G132" s="11" t="str">
        <x:v>Hán Hàn</x:v>
      </x:c>
      <x:c r="H132" s="11" t="str">
        <x:v>B — Phân tích tạm</x:v>
      </x:c>
      <x:c r="I132" s="11" t="str">
        <x:f>IF(AND(LEFT(E132,1)="A",LEFT(H132,1)="A"),"A/A — Có chứng cứ hai phía",IF(OR(LEFT(E132,1)="C",LEFT(H132,1)="C"),"C — Còn điểm chưa chốt",IF(AND(OR(LEFT(E132,1)="A",LEFT(E132,1)="B"),OR(LEFT(H132,1)="A",LEFT(H132,1)="B")),"B — Cần bổ sung chứng cứ","Kiểm tra mức chứng cứ")))</x:f>
        <x:v>B — Cần bổ sung chứng cứ</x:v>
      </x:c>
      <x:c r="J132" s="11" t="str">
        <x:v>Có mục từ cả dạng biểu thức</x:v>
      </x:c>
      <x:c r="K132" s="11" t="str">
        <x:v>hội đàm [HV 會談]</x:v>
      </x:c>
      <x:c r="L132" s="11" t="str">
        <x:v>회담 [HH 會談 *]</x:v>
      </x:c>
      <x:c r="M132" s="11" t="str">
        <x:v>Có nguồn âm/chữ hoặc nguồn từ nguyên cho các thành tố dùng để quyết định nhãn; việc ghép thành thuật ngữ là phân tích của nghiên cứu.</x:v>
      </x:c>
      <x:c r="N13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2" s="11" t="str">
        <x:v>Hán Hàn</x:v>
      </x:c>
      <x:c r="P132" s="11" t="str"/>
      <x:c r="Q132" s="37" t="str">
        <x:v>ET133 (dòng 1008)</x:v>
      </x:c>
      <x:c r="R132" s="37" t="str">
        <x:v>Chưa có nguồn từ nguyên cụ thể trong lượt này</x:v>
      </x:c>
      <x:c r="S132" s="11" t="str"/>
      <x:c r="T132" s="11" t="str">
        <x:v>Xác nhận — cùng biểu thức Anh</x:v>
      </x:c>
      <x:c r="U132" s="11" t="str">
        <x:v>N4 — Quan hệ, hoạt động</x:v>
      </x:c>
    </x:row>
    <x:row r="133" ht="100.5" customHeight="1">
      <x:c r="A133" s="14" t="n">
        <x:v>128</x:v>
      </x:c>
      <x:c r="B133" s="11" t="str">
        <x:v>T148</x:v>
      </x:c>
      <x:c r="C133" s="11" t="str">
        <x:v>hội nghị cấp cao</x:v>
      </x:c>
      <x:c r="D133" s="11" t="str">
        <x:v>Hán Việt</x:v>
      </x:c>
      <x:c r="E133" s="11" t="str">
        <x:v>A — Có chứng cứ thành tố</x:v>
      </x:c>
      <x:c r="F133" s="11" t="str">
        <x:v>정상회의</x:v>
      </x:c>
      <x:c r="G133" s="11" t="str">
        <x:v>Hán Hàn</x:v>
      </x:c>
      <x:c r="H133" s="11" t="str">
        <x:v>B — Phân tích tạm</x:v>
      </x:c>
      <x:c r="I133" s="11" t="str">
        <x:f>IF(AND(LEFT(E133,1)="A",LEFT(H133,1)="A"),"A/A — Có chứng cứ hai phía",IF(OR(LEFT(E133,1)="C",LEFT(H133,1)="C"),"C — Còn điểm chưa chốt",IF(AND(OR(LEFT(E133,1)="A",LEFT(E133,1)="B"),OR(LEFT(H133,1)="A",LEFT(H133,1)="B")),"B — Cần bổ sung chứng cứ","Kiểm tra mức chứng cứ")))</x:f>
        <x:v>B — Cần bổ sung chứng cứ</x:v>
      </x:c>
      <x:c r="J133" s="11" t="str">
        <x:v>Có chứng cứ cho thành tố</x:v>
      </x:c>
      <x:c r="K133" s="11" t="str">
        <x:v>hội nghị [HV 會議]
cấp [HV 級]
cao [HV 高]</x:v>
      </x:c>
      <x:c r="L133" s="11" t="str">
        <x:v>정상회의 [HH 頂上會議 *]</x:v>
      </x:c>
      <x:c r="M133" s="11" t="str">
        <x:v>Có nguồn âm/chữ hoặc nguồn từ nguyên cho các thành tố dùng để quyết định nhãn; việc ghép thành thuật ngữ là phân tích của nghiên cứu.</x:v>
      </x:c>
      <x:c r="N133"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3" s="11" t="str">
        <x:v>Hán Hàn</x:v>
      </x:c>
      <x:c r="P133" s="11" t="str"/>
      <x:c r="Q133" s="37" t="str">
        <x:v>ET119 (dòng 994)
ET083 (dòng 958)
ET120 (dòng 995)</x:v>
      </x:c>
      <x:c r="R133" s="37" t="str">
        <x:v>Chưa có nguồn từ nguyên cụ thể trong lượt này</x:v>
      </x:c>
      <x:c r="S133" s="11" t="str"/>
      <x:c r="T133" s="11" t="str">
        <x:v>Ứng viên — còn thiếu chứng cứ</x:v>
      </x:c>
      <x:c r="U133" s="11" t="str">
        <x:v>N4 — Quan hệ, hoạt động</x:v>
      </x:c>
    </x:row>
    <x:row r="134" ht="100.5" customHeight="1">
      <x:c r="A134" s="14" t="n">
        <x:v>129</x:v>
      </x:c>
      <x:c r="B134" s="11" t="str">
        <x:v>M004</x:v>
      </x:c>
      <x:c r="C134" s="11" t="str">
        <x:v>Hội nghị cấp cao APEC</x:v>
      </x:c>
      <x:c r="D134" s="11" t="str">
        <x:v>Hán Việt + ngoại lai khác</x:v>
      </x:c>
      <x:c r="E134" s="11" t="str">
        <x:v>B — Phân tích tạm</x:v>
      </x:c>
      <x:c r="F134" s="11" t="str">
        <x:v>APEC 정상회의</x:v>
      </x:c>
      <x:c r="G134" s="11" t="str">
        <x:v>Hán Hàn + ngoại lai khác</x:v>
      </x:c>
      <x:c r="H134" s="11" t="str">
        <x:v>B — Phân tích tạm</x:v>
      </x:c>
      <x:c r="I134" s="11" t="str">
        <x:f>IF(AND(LEFT(E134,1)="A",LEFT(H134,1)="A"),"A/A — Có chứng cứ hai phía",IF(OR(LEFT(E134,1)="C",LEFT(H134,1)="C"),"C — Còn điểm chưa chốt",IF(AND(OR(LEFT(E134,1)="A",LEFT(E134,1)="B"),OR(LEFT(H134,1)="A",LEFT(H134,1)="B")),"B — Cần bổ sung chứng cứ","Kiểm tra mức chứng cứ")))</x:f>
        <x:v>B — Cần bổ sung chứng cứ</x:v>
      </x:c>
      <x:c r="J134" s="11" t="str">
        <x:v>Có chứng cứ cho thành tố</x:v>
      </x:c>
      <x:c r="K134" s="11" t="str">
        <x:v>Hội nghị [HV 會議]
cấp [HV 級]
cao [HV 高]
APEC [VT]</x:v>
      </x:c>
      <x:c r="L134" s="11" t="str">
        <x:v>APEC [VT]
정상회의 [HH 頂上會議 *]</x:v>
      </x:c>
      <x:c r="M134" s="11" t="str">
        <x:v>Phân tích cấu tạo theo thành tố; còn phần chưa có chứng cứ từ nguyên trực tiếp, xem cột ghi chú.</x:v>
      </x:c>
      <x:c r="N13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4" s="11" t="str">
        <x:v>Hán Hàn + ngoại lai khác</x:v>
      </x:c>
      <x:c r="P134" s="11" t="str">
        <x:v>Việt: APEC
Hàn: APEC
Việt: APEC
Hàn: APEC</x:v>
      </x:c>
      <x:c r="Q134" s="37" t="str">
        <x:v>ET119 (dòng 994)
ET083 (dòng 958)
ET120 (dòng 995)</x:v>
      </x:c>
      <x:c r="R134" s="37" t="str">
        <x:v>Chưa có nguồn từ nguyên cụ thể trong lượt này</x:v>
      </x:c>
      <x:c r="S134" s="11" t="str"/>
      <x:c r="T134" s="11" t="str">
        <x:v>Ứng viên — còn thiếu chứng cứ</x:v>
      </x:c>
      <x:c r="U134" s="11" t="str">
        <x:v>N4 — Quan hệ, hoạt động</x:v>
      </x:c>
    </x:row>
    <x:row r="135" ht="100.5" customHeight="1">
      <x:c r="A135" s="14" t="n">
        <x:v>130</x:v>
      </x:c>
      <x:c r="B135" s="11" t="str">
        <x:v>M019</x:v>
      </x:c>
      <x:c r="C135" s="11" t="str">
        <x:v>Hội nghị cấp cao Mekong–Hàn Quốc</x:v>
      </x:c>
      <x:c r="D135" s="11" t="str">
        <x:v>Hán Việt + ngoại lai khác</x:v>
      </x:c>
      <x:c r="E135" s="11" t="str">
        <x:v>B — Phân tích tạm</x:v>
      </x:c>
      <x:c r="F135" s="11" t="str">
        <x:v>메콩-한 정상회의</x:v>
      </x:c>
      <x:c r="G135" s="11" t="str">
        <x:v>Hán Hàn + ngoại lai khác</x:v>
      </x:c>
      <x:c r="H135" s="11" t="str">
        <x:v>B — Phân tích tạm</x:v>
      </x:c>
      <x:c r="I135" s="11" t="str">
        <x:f>IF(AND(LEFT(E135,1)="A",LEFT(H135,1)="A"),"A/A — Có chứng cứ hai phía",IF(OR(LEFT(E135,1)="C",LEFT(H135,1)="C"),"C — Còn điểm chưa chốt",IF(AND(OR(LEFT(E135,1)="A",LEFT(E135,1)="B"),OR(LEFT(H135,1)="A",LEFT(H135,1)="B")),"B — Cần bổ sung chứng cứ","Kiểm tra mức chứng cứ")))</x:f>
        <x:v>B — Cần bổ sung chứng cứ</x:v>
      </x:c>
      <x:c r="J135" s="11" t="str">
        <x:v>Có chứng cứ cho thành tố</x:v>
      </x:c>
      <x:c r="K135" s="11" t="str">
        <x:v>Hội nghị [HV 會議]
cấp [HV 級]
cao [HV 高]
Mekong [NL]
Hàn Quốc [HV 韓國]</x:v>
      </x:c>
      <x:c r="L135" s="11" t="str">
        <x:v>메콩 [NL]
한 [HH 韓 *]
정상회의 [HH 頂上會議 *]</x:v>
      </x:c>
      <x:c r="M135" s="11" t="str">
        <x:v>Phân tích cấu tạo theo thành tố; còn phần chưa có chứng cứ từ nguyên trực tiếp, xem cột ghi chú.
Mekong giữ hình thức tên quốc tế; Hàn Quốc là tên ở cách đọc Hán Việt 韓國.</x:v>
      </x:c>
      <x:c r="N135"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35" s="11" t="str">
        <x:v>Hán Hàn + ngoại lai khác</x:v>
      </x:c>
      <x:c r="P135" s="11" t="str">
        <x:v>Việt: Mekong
Việt: Hàn Quốc
Hàn: 메콩
Hàn: 한</x:v>
      </x:c>
      <x:c r="Q135" s="37" t="str">
        <x:v>ET119 (dòng 994)
ET083 (dòng 958)
ET120 (dòng 995)
ET029 (dòng 904)</x:v>
      </x:c>
      <x:c r="R135" s="37" t="str">
        <x:v>Chưa có nguồn từ nguyên cụ thể trong lượt này</x:v>
      </x:c>
      <x:c r="S135" s="11" t="str"/>
      <x:c r="T135" s="11" t="str">
        <x:v>Ứng viên — còn thiếu chứng cứ</x:v>
      </x:c>
      <x:c r="U135" s="11" t="str">
        <x:v>N4 — Quan hệ, hoạt động</x:v>
      </x:c>
    </x:row>
    <x:row r="136" ht="100.5" customHeight="1">
      <x:c r="A136" s="14" t="n">
        <x:v>131</x:v>
      </x:c>
      <x:c r="B136" s="11" t="str">
        <x:v>T138</x:v>
      </x:c>
      <x:c r="C136" s="11" t="str">
        <x:v>hội nhập quốc tế</x:v>
      </x:c>
      <x:c r="D136" s="11" t="str">
        <x:v>Hán Việt</x:v>
      </x:c>
      <x:c r="E136" s="11" t="str">
        <x:v>B — Phân tích tạm</x:v>
      </x:c>
      <x:c r="F136" s="11" t="str">
        <x:v>국제 통합</x:v>
      </x:c>
      <x:c r="G136" s="11" t="str">
        <x:v>Hán Hàn</x:v>
      </x:c>
      <x:c r="H136" s="11" t="str">
        <x:v>B — Phân tích tạm</x:v>
      </x:c>
      <x:c r="I136" s="11" t="str">
        <x:f>IF(AND(LEFT(E136,1)="A",LEFT(H136,1)="A"),"A/A — Có chứng cứ hai phía",IF(OR(LEFT(E136,1)="C",LEFT(H136,1)="C"),"C — Còn điểm chưa chốt",IF(AND(OR(LEFT(E136,1)="A",LEFT(E136,1)="B"),OR(LEFT(H136,1)="A",LEFT(H136,1)="B")),"B — Cần bổ sung chứng cứ","Kiểm tra mức chứng cứ")))</x:f>
        <x:v>B — Cần bổ sung chứng cứ</x:v>
      </x:c>
      <x:c r="J136" s="11" t="str">
        <x:v>Có chứng cứ cho thành tố</x:v>
      </x:c>
      <x:c r="K136" s="11" t="str">
        <x:v>hội nhập [HV 會入 *]
quốc tế [HV 國際]</x:v>
      </x:c>
      <x:c r="L136" s="11" t="str">
        <x:v>국제 [HH 國際]
통합 [HH 統合 *]</x:v>
      </x:c>
      <x:c r="M136" s="11" t="str">
        <x:v>Phân tích cấu tạo theo thành tố; còn phần chưa có chứng cứ từ nguyên trực tiếp, xem cột ghi chú.</x:v>
      </x:c>
      <x:c r="N13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36" s="11" t="str">
        <x:v>Hán Hàn</x:v>
      </x:c>
      <x:c r="P136" s="11" t="str"/>
      <x:c r="Q136" s="37" t="str">
        <x:v>ET089 (dòng 964)</x:v>
      </x:c>
      <x:c r="R136" s="37" t="str">
        <x:v>ET268 (dòng 1143)</x:v>
      </x:c>
      <x:c r="S136" s="11" t="str"/>
      <x:c r="T136" s="11" t="str">
        <x:v>Ứng viên — còn thiếu chứng cứ</x:v>
      </x:c>
      <x:c r="U136" s="11" t="str">
        <x:v>N4 — Quan hệ, hoạt động</x:v>
      </x:c>
    </x:row>
    <x:row r="137" ht="85.5" customHeight="1">
      <x:c r="A137" s="14" t="n">
        <x:v>132</x:v>
      </x:c>
      <x:c r="B137" s="11" t="str">
        <x:v>M003</x:v>
      </x:c>
      <x:c r="C137" s="11" t="str">
        <x:v>hợp tác đa phương</x:v>
      </x:c>
      <x:c r="D137" s="11" t="str">
        <x:v>Hán Việt</x:v>
      </x:c>
      <x:c r="E137" s="11" t="str">
        <x:v>A — Có chứng cứ thành tố</x:v>
      </x:c>
      <x:c r="F137" s="11" t="str">
        <x:v>다자 협력</x:v>
      </x:c>
      <x:c r="G137" s="11" t="str">
        <x:v>Hán Hàn</x:v>
      </x:c>
      <x:c r="H137" s="11" t="str">
        <x:v>A — Có chứng cứ thành tố</x:v>
      </x:c>
      <x:c r="I137" s="11" t="str">
        <x:f>IF(AND(LEFT(E137,1)="A",LEFT(H137,1)="A"),"A/A — Có chứng cứ hai phía",IF(OR(LEFT(E137,1)="C",LEFT(H137,1)="C"),"C — Còn điểm chưa chốt",IF(AND(OR(LEFT(E137,1)="A",LEFT(E137,1)="B"),OR(LEFT(H137,1)="A",LEFT(H137,1)="B")),"B — Cần bổ sung chứng cứ","Kiểm tra mức chứng cứ")))</x:f>
        <x:v>A/A — Có chứng cứ hai phía</x:v>
      </x:c>
      <x:c r="J137" s="11" t="str">
        <x:v>Có chứng cứ cho thành tố</x:v>
      </x:c>
      <x:c r="K137" s="11" t="str">
        <x:v>hợp tác [HV 合作]
đa phương [HV 多方]</x:v>
      </x:c>
      <x:c r="L137" s="11" t="str">
        <x:v>다자 [HH 多者]
협력 [HH 協力]</x:v>
      </x:c>
      <x:c r="M137" s="11" t="str">
        <x:v>Có nguồn âm/chữ hoặc nguồn từ nguyên cho các thành tố dùng để quyết định nhãn; việc ghép thành thuật ngữ là phân tích của nghiên cứu.</x:v>
      </x:c>
      <x:c r="N137" s="11" t="str">
        <x:v>Đã tìm thấy nguồn mục từ/thành tố ghi nguyên dạng hoặc lớp từ cho toàn bộ thành tố quyết định kết luận.</x:v>
      </x:c>
      <x:c r="O137" s="11" t="str">
        <x:v>Hán Hàn</x:v>
      </x:c>
      <x:c r="P137" s="11" t="str"/>
      <x:c r="Q137" s="37" t="str">
        <x:v>ET117 (dòng 992)
ET088 (dòng 963)</x:v>
      </x:c>
      <x:c r="R137" s="37" t="str">
        <x:v>ET272 (dòng 1147)
ET282 (dòng 1157)</x:v>
      </x:c>
      <x:c r="S137" s="11" t="str"/>
      <x:c r="T137" s="11" t="str">
        <x:v>Ứng viên — còn thiếu chứng cứ</x:v>
      </x:c>
      <x:c r="U137" s="11" t="str">
        <x:v>N4 — Quan hệ, hoạt động</x:v>
      </x:c>
    </x:row>
    <x:row r="138" ht="85.5" customHeight="1">
      <x:c r="A138" s="14" t="n">
        <x:v>133</x:v>
      </x:c>
      <x:c r="B138" s="11" t="str">
        <x:v>M035</x:v>
      </x:c>
      <x:c r="C138" s="11" t="str">
        <x:v>hợp tác nghị viện</x:v>
      </x:c>
      <x:c r="D138" s="11" t="str">
        <x:v>Hán Việt</x:v>
      </x:c>
      <x:c r="E138" s="11" t="str">
        <x:v>A — Có chứng cứ thành tố</x:v>
      </x:c>
      <x:c r="F138" s="11" t="str">
        <x:v>의회 협력</x:v>
      </x:c>
      <x:c r="G138" s="11" t="str">
        <x:v>Hán Hàn</x:v>
      </x:c>
      <x:c r="H138" s="11" t="str">
        <x:v>A — Có chứng cứ thành tố</x:v>
      </x:c>
      <x:c r="I138" s="11" t="str">
        <x:f>IF(AND(LEFT(E138,1)="A",LEFT(H138,1)="A"),"A/A — Có chứng cứ hai phía",IF(OR(LEFT(E138,1)="C",LEFT(H138,1)="C"),"C — Còn điểm chưa chốt",IF(AND(OR(LEFT(E138,1)="A",LEFT(E138,1)="B"),OR(LEFT(H138,1)="A",LEFT(H138,1)="B")),"B — Cần bổ sung chứng cứ","Kiểm tra mức chứng cứ")))</x:f>
        <x:v>A/A — Có chứng cứ hai phía</x:v>
      </x:c>
      <x:c r="J138" s="11" t="str">
        <x:v>Có chứng cứ cho thành tố</x:v>
      </x:c>
      <x:c r="K138" s="11" t="str">
        <x:v>hợp tác [HV 合作]
nghị viện [HV 議院]</x:v>
      </x:c>
      <x:c r="L138" s="11" t="str">
        <x:v>의회 [HH 議會]
협력 [HH 協力]</x:v>
      </x:c>
      <x:c r="M138" s="11" t="str">
        <x:v>Có nguồn âm/chữ hoặc nguồn từ nguyên cho các thành tố dùng để quyết định nhãn; việc ghép thành thuật ngữ là phân tích của nghiên cứu.</x:v>
      </x:c>
      <x:c r="N138" s="11" t="str">
        <x:v>Đã tìm thấy nguồn mục từ/thành tố ghi nguyên dạng hoặc lớp từ cho toàn bộ thành tố quyết định kết luận.</x:v>
      </x:c>
      <x:c r="O138" s="11" t="str">
        <x:v>Hán Hàn</x:v>
      </x:c>
      <x:c r="P138" s="11" t="str"/>
      <x:c r="Q138" s="37" t="str">
        <x:v>ET117 (dòng 992)
ET065 (dòng 940)</x:v>
      </x:c>
      <x:c r="R138" s="37" t="str">
        <x:v>ET250 (dòng 1125)
ET282 (dòng 1157)</x:v>
      </x:c>
      <x:c r="S138" s="11" t="str"/>
      <x:c r="T138" s="11" t="str">
        <x:v>Ứng viên — còn thiếu chứng cứ</x:v>
      </x:c>
      <x:c r="U138" s="11" t="str">
        <x:v>N4 — Quan hệ, hoạt động</x:v>
      </x:c>
    </x:row>
    <x:row r="139" ht="85.5" customHeight="1">
      <x:c r="A139" s="14" t="n">
        <x:v>134</x:v>
      </x:c>
      <x:c r="B139" s="11" t="str">
        <x:v>T178</x:v>
      </x:c>
      <x:c r="C139" s="11" t="str">
        <x:v>hợp tác quốc phòng</x:v>
      </x:c>
      <x:c r="D139" s="11" t="str">
        <x:v>Hán Việt</x:v>
      </x:c>
      <x:c r="E139" s="11" t="str">
        <x:v>A — Có chứng cứ thành tố</x:v>
      </x:c>
      <x:c r="F139" s="11" t="str">
        <x:v>국방 협력</x:v>
      </x:c>
      <x:c r="G139" s="11" t="str">
        <x:v>Hán Hàn</x:v>
      </x:c>
      <x:c r="H139" s="11" t="str">
        <x:v>A — Có chứng cứ thành tố</x:v>
      </x:c>
      <x:c r="I139" s="11" t="str">
        <x:f>IF(AND(LEFT(E139,1)="A",LEFT(H139,1)="A"),"A/A — Có chứng cứ hai phía",IF(OR(LEFT(E139,1)="C",LEFT(H139,1)="C"),"C — Còn điểm chưa chốt",IF(AND(OR(LEFT(E139,1)="A",LEFT(E139,1)="B"),OR(LEFT(H139,1)="A",LEFT(H139,1)="B")),"B — Cần bổ sung chứng cứ","Kiểm tra mức chứng cứ")))</x:f>
        <x:v>A/A — Có chứng cứ hai phía</x:v>
      </x:c>
      <x:c r="J139" s="11" t="str">
        <x:v>Có chứng cứ cho thành tố</x:v>
      </x:c>
      <x:c r="K139" s="11" t="str">
        <x:v>hợp tác [HV 合作]
quốc phòng [HV 國防]</x:v>
      </x:c>
      <x:c r="L139" s="11" t="str">
        <x:v>국방 [HH 國防]
협력 [HH 協力]</x:v>
      </x:c>
      <x:c r="M139" s="11" t="str">
        <x:v>Đã đối chiếu nguồn cho các thành tố Hán Việt cấu thành; nhãn toàn cụm là tổng hợp phân tích.</x:v>
      </x:c>
      <x:c r="N139" s="11" t="str">
        <x:v>Đã tìm thấy nguồn mục từ/thành tố ghi nguyên dạng hoặc lớp từ cho toàn bộ thành tố quyết định kết luận.</x:v>
      </x:c>
      <x:c r="O139" s="11" t="str">
        <x:v>Hán Hàn</x:v>
      </x:c>
      <x:c r="P139" s="11" t="str"/>
      <x:c r="Q139" s="37" t="str">
        <x:v>ET117 (dòng 992)
ET008 (dòng 883)</x:v>
      </x:c>
      <x:c r="R139" s="37" t="str">
        <x:v>ET245 (dòng 1120)
ET282 (dòng 1157)</x:v>
      </x:c>
      <x:c r="S139" s="11" t="str"/>
      <x:c r="T139" s="11" t="str">
        <x:v>Ứng viên — còn thiếu chứng cứ</x:v>
      </x:c>
      <x:c r="U139" s="11" t="str">
        <x:v>N4 — Quan hệ, hoạt động</x:v>
      </x:c>
    </x:row>
    <x:row r="140" ht="85.5" customHeight="1">
      <x:c r="A140" s="14" t="n">
        <x:v>135</x:v>
      </x:c>
      <x:c r="B140" s="11" t="str">
        <x:v>T030</x:v>
      </x:c>
      <x:c r="C140" s="11" t="str">
        <x:v>lập pháp</x:v>
      </x:c>
      <x:c r="D140" s="11" t="str">
        <x:v>Hán Việt</x:v>
      </x:c>
      <x:c r="E140" s="11" t="str">
        <x:v>A — Có chứng cứ thành tố</x:v>
      </x:c>
      <x:c r="F140" s="11" t="str">
        <x:v>입법</x:v>
      </x:c>
      <x:c r="G140" s="11" t="str">
        <x:v>Hán Hàn</x:v>
      </x:c>
      <x:c r="H140" s="11" t="str">
        <x:v>A — Có chứng cứ thành tố</x:v>
      </x:c>
      <x:c r="I140" s="11" t="str">
        <x:f>IF(AND(LEFT(E140,1)="A",LEFT(H140,1)="A"),"A/A — Có chứng cứ hai phía",IF(OR(LEFT(E140,1)="C",LEFT(H140,1)="C"),"C — Còn điểm chưa chốt",IF(AND(OR(LEFT(E140,1)="A",LEFT(E140,1)="B"),OR(LEFT(H140,1)="A",LEFT(H140,1)="B")),"B — Cần bổ sung chứng cứ","Kiểm tra mức chứng cứ")))</x:f>
        <x:v>A/A — Có chứng cứ hai phía</x:v>
      </x:c>
      <x:c r="J140" s="11" t="str">
        <x:v>Có chứng cứ cho thành tố</x:v>
      </x:c>
      <x:c r="K140" s="11" t="str">
        <x:v>lập pháp [HV 立法]</x:v>
      </x:c>
      <x:c r="L140" s="11" t="str">
        <x:v>입법 [HH 立法]</x:v>
      </x:c>
      <x:c r="M140" s="11" t="str">
        <x:v>Đã đối chiếu nguồn cho các thành tố Hán Việt cấu thành; nhãn toàn cụm là tổng hợp phân tích.</x:v>
      </x:c>
      <x:c r="N140" s="11" t="str">
        <x:v>Đã tìm thấy nguồn mục từ/thành tố ghi nguyên dạng hoặc lớp từ cho toàn bộ thành tố quyết định kết luận.</x:v>
      </x:c>
      <x:c r="O140" s="11" t="str">
        <x:v>Hán Hàn</x:v>
      </x:c>
      <x:c r="P140" s="11" t="str"/>
      <x:c r="Q140" s="37" t="str">
        <x:v>ET134 (dòng 1009)</x:v>
      </x:c>
      <x:c r="R140" s="37" t="str">
        <x:v>ET287 (dòng 1162)</x:v>
      </x:c>
      <x:c r="S140" s="11" t="str"/>
      <x:c r="T140" s="11" t="str">
        <x:v>Có điều kiện — chưa chốt</x:v>
      </x:c>
      <x:c r="U140" s="11" t="str">
        <x:v>N4 — Quan hệ, hoạt động</x:v>
      </x:c>
    </x:row>
    <x:row r="141" ht="100.5" customHeight="1">
      <x:c r="A141" s="14" t="n">
        <x:v>136</x:v>
      </x:c>
      <x:c r="B141" s="11" t="str">
        <x:v>M012</x:v>
      </x:c>
      <x:c r="C141" s="11" t="str">
        <x:v>lễ đón chính thức</x:v>
      </x:c>
      <x:c r="D141" s="11" t="str">
        <x:v>Hán Việt + thuần Việt</x:v>
      </x:c>
      <x:c r="E141" s="11" t="str">
        <x:v>B — Phân tích tạm</x:v>
      </x:c>
      <x:c r="F141" s="11" t="str">
        <x:v>공식 환영식</x:v>
      </x:c>
      <x:c r="G141" s="11" t="str">
        <x:v>Hán Hàn</x:v>
      </x:c>
      <x:c r="H141" s="11" t="str">
        <x:v>B — Phân tích tạm</x:v>
      </x:c>
      <x:c r="I141" s="11" t="str">
        <x:f>IF(AND(LEFT(E141,1)="A",LEFT(H141,1)="A"),"A/A — Có chứng cứ hai phía",IF(OR(LEFT(E141,1)="C",LEFT(H141,1)="C"),"C — Còn điểm chưa chốt",IF(AND(OR(LEFT(E141,1)="A",LEFT(E141,1)="B"),OR(LEFT(H141,1)="A",LEFT(H141,1)="B")),"B — Cần bổ sung chứng cứ","Kiểm tra mức chứng cứ")))</x:f>
        <x:v>B — Cần bổ sung chứng cứ</x:v>
      </x:c>
      <x:c r="J141" s="11" t="str">
        <x:v>Có chứng cứ cho thành tố</x:v>
      </x:c>
      <x:c r="K141" s="11" t="str">
        <x:v>lễ [HV 禮]
đón [TV]
chính thức [HV 正式]</x:v>
      </x:c>
      <x:c r="L141" s="11" t="str">
        <x:v>공식 [HH 公式]
환영식 [HH 歡迎式 *]</x:v>
      </x:c>
      <x:c r="M141" s="11" t="str">
        <x:v>Phân tích cấu tạo của người rà soát; nguồn đã kiểm tra chỉ xác nhận các thành tố được gắn mã nguồn, không phải mọi thành tố.</x:v>
      </x:c>
      <x:c r="N14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41" s="11" t="str">
        <x:v>Hán Hàn</x:v>
      </x:c>
      <x:c r="P141" s="11" t="str"/>
      <x:c r="Q141" s="37" t="str">
        <x:v>ET135 (dòng 1010)
ET136 (dòng 1011)</x:v>
      </x:c>
      <x:c r="R141" s="37" t="str">
        <x:v>ET265 (dòng 1140)</x:v>
      </x:c>
      <x:c r="S141" s="11" t="str"/>
      <x:c r="T141" s="11" t="str">
        <x:v>Ứng viên — còn thiếu chứng cứ</x:v>
      </x:c>
      <x:c r="U141" s="11" t="str">
        <x:v>N4 — Quan hệ, hoạt động</x:v>
      </x:c>
    </x:row>
    <x:row r="142" ht="145.5" customHeight="1">
      <x:c r="A142" s="14" t="n">
        <x:v>137</x:v>
      </x:c>
      <x:c r="B142" s="11" t="str">
        <x:v>T146</x:v>
      </x:c>
      <x:c r="C142" s="11" t="str">
        <x:v>nâng cấp quan hệ</x:v>
      </x:c>
      <x:c r="D142" s="11" t="str">
        <x:v>Hán Việt + thuần Việt</x:v>
      </x:c>
      <x:c r="E142" s="11" t="str">
        <x:v>B — Phân tích tạm</x:v>
      </x:c>
      <x:c r="F142" s="11" t="str">
        <x:v>관계가 포괄적 전략적 동반자 관계로 격상된</x:v>
      </x:c>
      <x:c r="G142" s="11" t="str">
        <x:v>Hán Hàn + ngữ pháp thuần Hàn</x:v>
      </x:c>
      <x:c r="H142" s="11" t="str">
        <x:v>B — Phân tích tạm</x:v>
      </x:c>
      <x:c r="I142" s="11" t="str">
        <x:f>IF(AND(LEFT(E142,1)="A",LEFT(H142,1)="A"),"A/A — Có chứng cứ hai phía",IF(OR(LEFT(E142,1)="C",LEFT(H142,1)="C"),"C — Còn điểm chưa chốt",IF(AND(OR(LEFT(E142,1)="A",LEFT(E142,1)="B"),OR(LEFT(H142,1)="A",LEFT(H142,1)="B")),"B — Cần bổ sung chứng cứ","Kiểm tra mức chứng cứ")))</x:f>
        <x:v>B — Cần bổ sung chứng cứ</x:v>
      </x:c>
      <x:c r="J142" s="11" t="str">
        <x:v>Có chứng cứ cho thành tố</x:v>
      </x:c>
      <x:c r="K142" s="11" t="str">
        <x:v>nâng [TV]
cấp [HV 級]
quan hệ [HV 關係]</x:v>
      </x:c>
      <x:c r="L142" s="11" t="str">
        <x:v>관계 [HH 關係 *]
가 [NP]
포괄적 [HH 包括的 *]
전략적 [HH 戰略的 *]
동반자 [HH 同伴者 *]
관계 [HH 關係 *]
로 [NP]
격상 [HH 格上 *]
된 [NP]</x:v>
      </x:c>
      <x:c r="M142" s="11" t="str">
        <x:v>Phân tích cấu tạo của người rà soát; nguồn đã kiểm tra chỉ xác nhận các thành tố được gắn mã nguồn, không phải mọi thành tố.</x:v>
      </x:c>
      <x:c r="N14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Nguyên mục là mảnh câu có 가, 로 và 격상된, không phải một danh ngữ đơn thuần. Giữ toàn bộ chuỗi để phân tích; không âm thầm đổi thành 관계 격상.</x:v>
      </x:c>
      <x:c r="O142" s="11" t="str">
        <x:v>Hán Hàn</x:v>
      </x:c>
      <x:c r="P142" s="11" t="str"/>
      <x:c r="Q142" s="37" t="str">
        <x:v>ET137 (dòng 1012)
ET083 (dòng 958)
ET121 (dòng 996)</x:v>
      </x:c>
      <x:c r="R142" s="37" t="str">
        <x:v>ET286 (dòng 1161)</x:v>
      </x:c>
      <x:c r="S142" s="11" t="str"/>
      <x:c r="T142" s="11" t="str">
        <x:v>Ứng viên — còn thiếu chứng cứ</x:v>
      </x:c>
      <x:c r="U142" s="11" t="str">
        <x:v>N4 — Quan hệ, hoạt động</x:v>
      </x:c>
    </x:row>
    <x:row r="143" ht="85.5" customHeight="1">
      <x:c r="A143" s="14" t="n">
        <x:v>138</x:v>
      </x:c>
      <x:c r="B143" s="11" t="str">
        <x:v>T131</x:v>
      </x:c>
      <x:c r="C143" s="11" t="str">
        <x:v>ngoại giao</x:v>
      </x:c>
      <x:c r="D143" s="11" t="str">
        <x:v>Hán Việt</x:v>
      </x:c>
      <x:c r="E143" s="11" t="str">
        <x:v>A — Có chứng cứ thành tố</x:v>
      </x:c>
      <x:c r="F143" s="11" t="str">
        <x:v>외교</x:v>
      </x:c>
      <x:c r="G143" s="11" t="str">
        <x:v>Hán Hàn</x:v>
      </x:c>
      <x:c r="H143" s="11" t="str">
        <x:v>A — Có chứng cứ thành tố</x:v>
      </x:c>
      <x:c r="I143" s="11" t="str">
        <x:f>IF(AND(LEFT(E143,1)="A",LEFT(H143,1)="A"),"A/A — Có chứng cứ hai phía",IF(OR(LEFT(E143,1)="C",LEFT(H143,1)="C"),"C — Còn điểm chưa chốt",IF(AND(OR(LEFT(E143,1)="A",LEFT(E143,1)="B"),OR(LEFT(H143,1)="A",LEFT(H143,1)="B")),"B — Cần bổ sung chứng cứ","Kiểm tra mức chứng cứ")))</x:f>
        <x:v>A/A — Có chứng cứ hai phía</x:v>
      </x:c>
      <x:c r="J143" s="11" t="str">
        <x:v>Có chứng cứ cho thành tố</x:v>
      </x:c>
      <x:c r="K143" s="11" t="str">
        <x:v>ngoại giao [HV 外交]</x:v>
      </x:c>
      <x:c r="L143" s="11" t="str">
        <x:v>외교 [HH 外交]</x:v>
      </x:c>
      <x:c r="M143" s="11" t="str">
        <x:v>Đã đối chiếu nguồn cho các thành tố Hán Việt cấu thành; nhãn toàn cụm là tổng hợp phân tích.</x:v>
      </x:c>
      <x:c r="N143" s="11" t="str">
        <x:v>Đã tìm thấy nguồn mục từ/thành tố ghi nguyên dạng hoặc lớp từ cho toàn bộ thành tố quyết định kết luận.</x:v>
      </x:c>
      <x:c r="O143" s="11" t="str">
        <x:v>Hán Hàn</x:v>
      </x:c>
      <x:c r="P143" s="11" t="str"/>
      <x:c r="Q143" s="37" t="str">
        <x:v>ET007 (dòng 882)</x:v>
      </x:c>
      <x:c r="R143" s="37" t="str">
        <x:v>ET269 (dòng 1144)
ET268 (dòng 1143)</x:v>
      </x:c>
      <x:c r="S143" s="11" t="str"/>
      <x:c r="T143" s="11" t="str">
        <x:v>Xác nhận — cùng biểu thức Anh</x:v>
      </x:c>
      <x:c r="U143" s="11" t="str">
        <x:v>N4 — Quan hệ, hoạt động</x:v>
      </x:c>
    </x:row>
    <x:row r="144" ht="100.5" customHeight="1">
      <x:c r="A144" s="14" t="n">
        <x:v>139</x:v>
      </x:c>
      <x:c r="B144" s="11" t="str">
        <x:v>T172</x:v>
      </x:c>
      <x:c r="C144" s="11" t="str">
        <x:v>ngoại giao đa phương</x:v>
      </x:c>
      <x:c r="D144" s="11" t="str">
        <x:v>Hán Việt</x:v>
      </x:c>
      <x:c r="E144" s="11" t="str">
        <x:v>A — Có chứng cứ thành tố</x:v>
      </x:c>
      <x:c r="F144" s="11" t="str">
        <x:v>다자외교</x:v>
      </x:c>
      <x:c r="G144" s="11" t="str">
        <x:v>Hán Hàn</x:v>
      </x:c>
      <x:c r="H144" s="11" t="str">
        <x:v>B — Phân tích tạm</x:v>
      </x:c>
      <x:c r="I144" s="11" t="str">
        <x:f>IF(AND(LEFT(E144,1)="A",LEFT(H144,1)="A"),"A/A — Có chứng cứ hai phía",IF(OR(LEFT(E144,1)="C",LEFT(H144,1)="C"),"C — Còn điểm chưa chốt",IF(AND(OR(LEFT(E144,1)="A",LEFT(E144,1)="B"),OR(LEFT(H144,1)="A",LEFT(H144,1)="B")),"B — Cần bổ sung chứng cứ","Kiểm tra mức chứng cứ")))</x:f>
        <x:v>B — Cần bổ sung chứng cứ</x:v>
      </x:c>
      <x:c r="J144" s="11" t="str">
        <x:v>Có chứng cứ cho thành tố</x:v>
      </x:c>
      <x:c r="K144" s="11" t="str">
        <x:v>ngoại giao [HV 外交]
đa phương [HV 多方]</x:v>
      </x:c>
      <x:c r="L144" s="11" t="str">
        <x:v>다자외교 [HH 多者外交 *]</x:v>
      </x:c>
      <x:c r="M144" s="11" t="str">
        <x:v>Đã đối chiếu nguồn cho các thành tố Hán Việt cấu thành; nhãn toàn cụm là tổng hợp phân tích.</x:v>
      </x:c>
      <x:c r="N14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44" s="11" t="str">
        <x:v>Hán Hàn</x:v>
      </x:c>
      <x:c r="P144" s="11" t="str"/>
      <x:c r="Q144" s="37" t="str">
        <x:v>ET007 (dòng 882)
ET088 (dòng 963)</x:v>
      </x:c>
      <x:c r="R144" s="37" t="str">
        <x:v>ET269 (dòng 1144)
ET268 (dòng 1143)
ET272 (dòng 1147)</x:v>
      </x:c>
      <x:c r="S144" s="11" t="str"/>
      <x:c r="T144" s="11" t="str">
        <x:v>Xác nhận — cùng biểu thức Anh</x:v>
      </x:c>
      <x:c r="U144" s="11" t="str">
        <x:v>N4 — Quan hệ, hoạt động</x:v>
      </x:c>
    </x:row>
    <x:row r="145" ht="100.5" customHeight="1">
      <x:c r="A145" s="14" t="n">
        <x:v>140</x:v>
      </x:c>
      <x:c r="B145" s="11" t="str">
        <x:v>T156</x:v>
      </x:c>
      <x:c r="C145" s="11" t="str">
        <x:v>ngoại giao kinh tế</x:v>
      </x:c>
      <x:c r="D145" s="11" t="str">
        <x:v>Hán Việt</x:v>
      </x:c>
      <x:c r="E145" s="11" t="str">
        <x:v>A — Có chứng cứ thành tố</x:v>
      </x:c>
      <x:c r="F145" s="11" t="str">
        <x:v>경제외교</x:v>
      </x:c>
      <x:c r="G145" s="11" t="str">
        <x:v>Hán Hàn</x:v>
      </x:c>
      <x:c r="H145" s="11" t="str">
        <x:v>B — Phân tích tạm</x:v>
      </x:c>
      <x:c r="I145" s="11" t="str">
        <x:f>IF(AND(LEFT(E145,1)="A",LEFT(H145,1)="A"),"A/A — Có chứng cứ hai phía",IF(OR(LEFT(E145,1)="C",LEFT(H145,1)="C"),"C — Còn điểm chưa chốt",IF(AND(OR(LEFT(E145,1)="A",LEFT(E145,1)="B"),OR(LEFT(H145,1)="A",LEFT(H145,1)="B")),"B — Cần bổ sung chứng cứ","Kiểm tra mức chứng cứ")))</x:f>
        <x:v>B — Cần bổ sung chứng cứ</x:v>
      </x:c>
      <x:c r="J145" s="11" t="str">
        <x:v>Có chứng cứ cho thành tố</x:v>
      </x:c>
      <x:c r="K145" s="11" t="str">
        <x:v>ngoại giao [HV 外交]
kinh tế [HV 經濟]</x:v>
      </x:c>
      <x:c r="L145" s="11" t="str">
        <x:v>경제외교 [HH 經濟外交 *]</x:v>
      </x:c>
      <x:c r="M145" s="11" t="str">
        <x:v>Đã đối chiếu nguồn cho các thành tố Hán Việt cấu thành; nhãn toàn cụm là tổng hợp phân tích.</x:v>
      </x:c>
      <x:c r="N14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45" s="11" t="str">
        <x:v>Hán Hàn</x:v>
      </x:c>
      <x:c r="P145" s="11" t="str"/>
      <x:c r="Q145" s="37" t="str">
        <x:v>ET007 (dòng 882)
ET138 (dòng 1013)</x:v>
      </x:c>
      <x:c r="R145" s="37" t="str">
        <x:v>ET269 (dòng 1144)
ET268 (dòng 1143)</x:v>
      </x:c>
      <x:c r="S145" s="11" t="str"/>
      <x:c r="T145" s="11" t="str">
        <x:v>Xác nhận — cùng biểu thức Anh</x:v>
      </x:c>
      <x:c r="U145" s="11" t="str">
        <x:v>N4 — Quan hệ, hoạt động</x:v>
      </x:c>
    </x:row>
    <x:row r="146" ht="85.5" customHeight="1">
      <x:c r="A146" s="14" t="n">
        <x:v>141</x:v>
      </x:c>
      <x:c r="B146" s="11" t="str">
        <x:v>T167</x:v>
      </x:c>
      <x:c r="C146" s="11" t="str">
        <x:v>ngoại giao nghị viện</x:v>
      </x:c>
      <x:c r="D146" s="11" t="str">
        <x:v>Hán Việt</x:v>
      </x:c>
      <x:c r="E146" s="11" t="str">
        <x:v>A — Có chứng cứ thành tố</x:v>
      </x:c>
      <x:c r="F146" s="11" t="str">
        <x:v>의회 외교</x:v>
      </x:c>
      <x:c r="G146" s="11" t="str">
        <x:v>Hán Hàn</x:v>
      </x:c>
      <x:c r="H146" s="11" t="str">
        <x:v>A — Có chứng cứ thành tố</x:v>
      </x:c>
      <x:c r="I146" s="11" t="str">
        <x:f>IF(AND(LEFT(E146,1)="A",LEFT(H146,1)="A"),"A/A — Có chứng cứ hai phía",IF(OR(LEFT(E146,1)="C",LEFT(H146,1)="C"),"C — Còn điểm chưa chốt",IF(AND(OR(LEFT(E146,1)="A",LEFT(E146,1)="B"),OR(LEFT(H146,1)="A",LEFT(H146,1)="B")),"B — Cần bổ sung chứng cứ","Kiểm tra mức chứng cứ")))</x:f>
        <x:v>A/A — Có chứng cứ hai phía</x:v>
      </x:c>
      <x:c r="J146" s="11" t="str">
        <x:v>Có chứng cứ cho thành tố</x:v>
      </x:c>
      <x:c r="K146" s="11" t="str">
        <x:v>ngoại giao [HV 外交]
nghị viện [HV 議院]</x:v>
      </x:c>
      <x:c r="L146" s="11" t="str">
        <x:v>의회 [HH 議會]
외교 [HH 外交]</x:v>
      </x:c>
      <x:c r="M146" s="11" t="str">
        <x:v>Đã đối chiếu nguồn cho các thành tố Hán Việt cấu thành; nhãn toàn cụm là tổng hợp phân tích.</x:v>
      </x:c>
      <x:c r="N146" s="11" t="str">
        <x:v>Đã tìm thấy nguồn mục từ/thành tố ghi nguyên dạng hoặc lớp từ cho toàn bộ thành tố quyết định kết luận.</x:v>
      </x:c>
      <x:c r="O146" s="11" t="str">
        <x:v>Hán Hàn</x:v>
      </x:c>
      <x:c r="P146" s="11" t="str"/>
      <x:c r="Q146" s="37" t="str">
        <x:v>ET007 (dòng 882)
ET065 (dòng 940)</x:v>
      </x:c>
      <x:c r="R146" s="37" t="str">
        <x:v>ET250 (dòng 1125)
ET269 (dòng 1144)
ET268 (dòng 1143)</x:v>
      </x:c>
      <x:c r="S146" s="11" t="str"/>
      <x:c r="T146" s="11" t="str">
        <x:v>Ứng viên — còn thiếu chứng cứ</x:v>
      </x:c>
      <x:c r="U146" s="11" t="str">
        <x:v>N4 — Quan hệ, hoạt động</x:v>
      </x:c>
    </x:row>
    <x:row r="147" ht="100.5" customHeight="1">
      <x:c r="A147" s="14" t="n">
        <x:v>142</x:v>
      </x:c>
      <x:c r="B147" s="11" t="str">
        <x:v>T168</x:v>
      </x:c>
      <x:c r="C147" s="11" t="str">
        <x:v>ngoại giao nhân dân</x:v>
      </x:c>
      <x:c r="D147" s="11" t="str">
        <x:v>Hán Việt</x:v>
      </x:c>
      <x:c r="E147" s="11" t="str">
        <x:v>A — Có chứng cứ thành tố</x:v>
      </x:c>
      <x:c r="F147" s="11" t="str">
        <x:v>인민외교</x:v>
      </x:c>
      <x:c r="G147" s="11" t="str">
        <x:v>Hán Hàn</x:v>
      </x:c>
      <x:c r="H147" s="11" t="str">
        <x:v>B — Phân tích tạm</x:v>
      </x:c>
      <x:c r="I147" s="11" t="str">
        <x:f>IF(AND(LEFT(E147,1)="A",LEFT(H147,1)="A"),"A/A — Có chứng cứ hai phía",IF(OR(LEFT(E147,1)="C",LEFT(H147,1)="C"),"C — Còn điểm chưa chốt",IF(AND(OR(LEFT(E147,1)="A",LEFT(E147,1)="B"),OR(LEFT(H147,1)="A",LEFT(H147,1)="B")),"B — Cần bổ sung chứng cứ","Kiểm tra mức chứng cứ")))</x:f>
        <x:v>B — Cần bổ sung chứng cứ</x:v>
      </x:c>
      <x:c r="J147" s="11" t="str">
        <x:v>Có chứng cứ cho thành tố</x:v>
      </x:c>
      <x:c r="K147" s="11" t="str">
        <x:v>ngoại giao [HV 外交]
nhân dân [HV 人民]</x:v>
      </x:c>
      <x:c r="L147" s="11" t="str">
        <x:v>인민외교 [HH 人民外交 *]</x:v>
      </x:c>
      <x:c r="M147" s="11" t="str">
        <x:v>Đã đối chiếu nguồn cho các thành tố Hán Việt cấu thành; nhãn toàn cụm là tổng hợp phân tích.</x:v>
      </x:c>
      <x:c r="N14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47" s="11" t="str">
        <x:v>Hán Hàn</x:v>
      </x:c>
      <x:c r="P147" s="11" t="str"/>
      <x:c r="Q147" s="37" t="str">
        <x:v>ET007 (dòng 882)
ET139 (dòng 1014)</x:v>
      </x:c>
      <x:c r="R147" s="37" t="str">
        <x:v>ET269 (dòng 1144)
ET268 (dòng 1143)
ET249 (dòng 1124)</x:v>
      </x:c>
      <x:c r="S147" s="11" t="str"/>
      <x:c r="T147" s="11" t="str">
        <x:v>Ứng viên — còn thiếu chứng cứ</x:v>
      </x:c>
      <x:c r="U147" s="11" t="str">
        <x:v>N4 — Quan hệ, hoạt động</x:v>
      </x:c>
    </x:row>
    <x:row r="148" ht="85.5" customHeight="1">
      <x:c r="A148" s="14" t="n">
        <x:v>143</x:v>
      </x:c>
      <x:c r="B148" s="11" t="str">
        <x:v>T162</x:v>
      </x:c>
      <x:c r="C148" s="11" t="str">
        <x:v>ngoại giao văn hóa</x:v>
      </x:c>
      <x:c r="D148" s="11" t="str">
        <x:v>Hán Việt</x:v>
      </x:c>
      <x:c r="E148" s="11" t="str">
        <x:v>A — Có chứng cứ thành tố</x:v>
      </x:c>
      <x:c r="F148" s="11" t="str">
        <x:v>문화 외교</x:v>
      </x:c>
      <x:c r="G148" s="11" t="str">
        <x:v>Hán Hàn</x:v>
      </x:c>
      <x:c r="H148" s="11" t="str">
        <x:v>A — Có chứng cứ thành tố</x:v>
      </x:c>
      <x:c r="I148" s="11" t="str">
        <x:f>IF(AND(LEFT(E148,1)="A",LEFT(H148,1)="A"),"A/A — Có chứng cứ hai phía",IF(OR(LEFT(E148,1)="C",LEFT(H148,1)="C"),"C — Còn điểm chưa chốt",IF(AND(OR(LEFT(E148,1)="A",LEFT(E148,1)="B"),OR(LEFT(H148,1)="A",LEFT(H148,1)="B")),"B — Cần bổ sung chứng cứ","Kiểm tra mức chứng cứ")))</x:f>
        <x:v>A/A — Có chứng cứ hai phía</x:v>
      </x:c>
      <x:c r="J148" s="11" t="str">
        <x:v>Có chứng cứ cho thành tố</x:v>
      </x:c>
      <x:c r="K148" s="11" t="str">
        <x:v>ngoại giao [HV 外交]
văn hóa [HV 文化]</x:v>
      </x:c>
      <x:c r="L148" s="11" t="str">
        <x:v>문화 [HH 文化]
외교 [HH 外交]</x:v>
      </x:c>
      <x:c r="M148" s="11" t="str">
        <x:v>Đã đối chiếu nguồn cho các thành tố Hán Việt cấu thành; nhãn toàn cụm là tổng hợp phân tích.</x:v>
      </x:c>
      <x:c r="N148" s="11" t="str">
        <x:v>Đã tìm thấy nguồn mục từ/thành tố ghi nguyên dạng hoặc lớp từ cho toàn bộ thành tố quyết định kết luận.</x:v>
      </x:c>
      <x:c r="O148" s="11" t="str">
        <x:v>Hán Hàn</x:v>
      </x:c>
      <x:c r="P148" s="11" t="str"/>
      <x:c r="Q148" s="37" t="str">
        <x:v>ET007 (dòng 882)
ET076 (dòng 951)</x:v>
      </x:c>
      <x:c r="R148" s="37" t="str">
        <x:v>ET243 (dòng 1118)
ET269 (dòng 1144)
ET268 (dòng 1143)</x:v>
      </x:c>
      <x:c r="S148" s="11" t="str"/>
      <x:c r="T148" s="11" t="str">
        <x:v>Ứng viên — còn thiếu chứng cứ</x:v>
      </x:c>
      <x:c r="U148" s="11" t="str">
        <x:v>N4 — Quan hệ, hoạt động</x:v>
      </x:c>
    </x:row>
    <x:row r="149" ht="130.5" customHeight="1">
      <x:c r="A149" s="14" t="n">
        <x:v>144</x:v>
      </x:c>
      <x:c r="B149" s="11" t="str">
        <x:v>T032</x:v>
      </x:c>
      <x:c r="C149" s="11" t="str">
        <x:v>phòng, chống tham nhũng</x:v>
      </x:c>
      <x:c r="D149" s="11" t="str">
        <x:v>Hán Việt + thuần Việt</x:v>
      </x:c>
      <x:c r="E149" s="11" t="str">
        <x:v>B — Phân tích tạm</x:v>
      </x:c>
      <x:c r="F149" s="11" t="str">
        <x:v>부패 방지 및 통제</x:v>
      </x:c>
      <x:c r="G149" s="11" t="str">
        <x:v>Hán Hàn + thuần Hàn</x:v>
      </x:c>
      <x:c r="H149" s="11" t="str">
        <x:v>B — Phân tích tạm</x:v>
      </x:c>
      <x:c r="I149" s="11" t="str">
        <x:f>IF(AND(LEFT(E149,1)="A",LEFT(H149,1)="A"),"A/A — Có chứng cứ hai phía",IF(OR(LEFT(E149,1)="C",LEFT(H149,1)="C"),"C — Còn điểm chưa chốt",IF(AND(OR(LEFT(E149,1)="A",LEFT(E149,1)="B"),OR(LEFT(H149,1)="A",LEFT(H149,1)="B")),"B — Cần bổ sung chứng cứ","Kiểm tra mức chứng cứ")))</x:f>
        <x:v>B — Cần bổ sung chứng cứ</x:v>
      </x:c>
      <x:c r="J149" s="11" t="str">
        <x:v>Có chứng cứ cho thành tố</x:v>
      </x:c>
      <x:c r="K149" s="11" t="str">
        <x:v>phòng [HV 防 *]
chống [TV]
tham nhũng [HV 貪冗]</x:v>
      </x:c>
      <x:c r="L149" s="11" t="str">
        <x:v>부패 [HH 腐敗]
방지 [HH 防止 *]
및 [TH]
통제 [HH 統制 *]</x:v>
      </x:c>
      <x:c r="M149" s="11" t="str">
        <x:v>Phân tích cấu tạo của người rà soát; nguồn đã kiểm tra chỉ xác nhận các thành tố được gắn mã nguồn, không phải mọi thành tố.</x:v>
      </x:c>
      <x:c r="N14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및 là từ nối thuần Hàn đã được NIKL xác nhận. Có thể tách khỏi lõi thuật ngữ khi cần, nhưng bảng phân tích toàn biểu thức vẫn ghi nhận.</x:v>
      </x:c>
      <x:c r="O149" s="11" t="str">
        <x:v>Hán Hàn + thuần Hàn</x:v>
      </x:c>
      <x:c r="P149" s="11" t="str"/>
      <x:c r="Q149" s="37" t="str">
        <x:v>ET140 (dòng 1015)</x:v>
      </x:c>
      <x:c r="R149" s="37" t="str">
        <x:v>ET288 (dòng 1163)
ET289 (dòng 1164)</x:v>
      </x:c>
      <x:c r="S149" s="11" t="str"/>
      <x:c r="T149" s="11" t="str">
        <x:v>Ứng viên — còn thiếu chứng cứ</x:v>
      </x:c>
      <x:c r="U149" s="11" t="str">
        <x:v>N4 — Quan hệ, hoạt động</x:v>
      </x:c>
    </x:row>
    <x:row r="150" ht="100.5" customHeight="1">
      <x:c r="A150" s="14" t="n">
        <x:v>145</x:v>
      </x:c>
      <x:c r="B150" s="11" t="str">
        <x:v>T033</x:v>
      </x:c>
      <x:c r="C150" s="11" t="str">
        <x:v>quản lý nhà nước</x:v>
      </x:c>
      <x:c r="D150" s="11" t="str">
        <x:v>Hán Việt + thuần Việt</x:v>
      </x:c>
      <x:c r="E150" s="11" t="str">
        <x:v>B — Phân tích tạm</x:v>
      </x:c>
      <x:c r="F150" s="11" t="str">
        <x:v>국가 운영</x:v>
      </x:c>
      <x:c r="G150" s="11" t="str">
        <x:v>Hán Hàn</x:v>
      </x:c>
      <x:c r="H150" s="11" t="str">
        <x:v>B — Phân tích tạm</x:v>
      </x:c>
      <x:c r="I150" s="11" t="str">
        <x:f>IF(AND(LEFT(E150,1)="A",LEFT(H150,1)="A"),"A/A — Có chứng cứ hai phía",IF(OR(LEFT(E150,1)="C",LEFT(H150,1)="C"),"C — Còn điểm chưa chốt",IF(AND(OR(LEFT(E150,1)="A",LEFT(E150,1)="B"),OR(LEFT(H150,1)="A",LEFT(H150,1)="B")),"B — Cần bổ sung chứng cứ","Kiểm tra mức chứng cứ")))</x:f>
        <x:v>B — Cần bổ sung chứng cứ</x:v>
      </x:c>
      <x:c r="J150" s="11" t="str">
        <x:v>Có chứng cứ cho thành tố</x:v>
      </x:c>
      <x:c r="K150" s="11" t="str">
        <x:v>quản lý [HV 管理]
nhà nước [TV]</x:v>
      </x:c>
      <x:c r="L150" s="11" t="str">
        <x:v>국가 [HH 國家]
운영 [HH 運營 *]</x:v>
      </x:c>
      <x:c r="M150" s="11" t="str">
        <x:v>Phân tích cấu tạo của người rà soát; nguồn đã kiểm tra chỉ xác nhận các thành tố được gắn mã nguồn, không phải mọi thành tố.</x:v>
      </x:c>
      <x:c r="N15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50" s="11" t="str">
        <x:v>Hán Hàn</x:v>
      </x:c>
      <x:c r="P150" s="11" t="str"/>
      <x:c r="Q150" s="37" t="str">
        <x:v>ET141 (dòng 1016)
ET040 (dòng 915)</x:v>
      </x:c>
      <x:c r="R150" s="37" t="str">
        <x:v>ET246 (dòng 1121)
ET247 (dòng 1122)</x:v>
      </x:c>
      <x:c r="S150" s="11" t="str"/>
      <x:c r="T150" s="11" t="str">
        <x:v>Lệch nghĩa / phạm vi</x:v>
      </x:c>
      <x:c r="U150" s="11" t="str">
        <x:v>N4 — Quan hệ, hoạt động</x:v>
      </x:c>
    </x:row>
    <x:row r="151" ht="85.5" customHeight="1">
      <x:c r="A151" s="14" t="n">
        <x:v>146</x:v>
      </x:c>
      <x:c r="B151" s="11" t="str">
        <x:v>T045</x:v>
      </x:c>
      <x:c r="C151" s="11" t="str">
        <x:v>quản trị quốc gia</x:v>
      </x:c>
      <x:c r="D151" s="11" t="str">
        <x:v>Hán Việt</x:v>
      </x:c>
      <x:c r="E151" s="11" t="str">
        <x:v>A — Có chứng cứ thành tố</x:v>
      </x:c>
      <x:c r="F151" s="11" t="str">
        <x:v>국가 거버넌스</x:v>
      </x:c>
      <x:c r="G151" s="11" t="str">
        <x:v>Hán Hàn + ngoại lai khác</x:v>
      </x:c>
      <x:c r="H151" s="11" t="str">
        <x:v>A — Có chứng cứ thành tố</x:v>
      </x:c>
      <x:c r="I151" s="11" t="str">
        <x:f>IF(AND(LEFT(E151,1)="A",LEFT(H151,1)="A"),"A/A — Có chứng cứ hai phía",IF(OR(LEFT(E151,1)="C",LEFT(H151,1)="C"),"C — Còn điểm chưa chốt",IF(AND(OR(LEFT(E151,1)="A",LEFT(E151,1)="B"),OR(LEFT(H151,1)="A",LEFT(H151,1)="B")),"B — Cần bổ sung chứng cứ","Kiểm tra mức chứng cứ")))</x:f>
        <x:v>A/A — Có chứng cứ hai phía</x:v>
      </x:c>
      <x:c r="J151" s="11" t="str">
        <x:v>Có chứng cứ cho thành tố</x:v>
      </x:c>
      <x:c r="K151" s="11" t="str">
        <x:v>quản trị [HV 管治]
quốc gia [HV 國家]</x:v>
      </x:c>
      <x:c r="L151" s="11" t="str">
        <x:v>국가 [HH 國家]
거버넌스 [NL]</x:v>
      </x:c>
      <x:c r="M151" s="11" t="str">
        <x:v>Đã đối chiếu nguồn cho các thành tố Hán Việt cấu thành; nhãn toàn cụm là tổng hợp phân tích.</x:v>
      </x:c>
      <x:c r="N151" s="11" t="str">
        <x:v>Đã tìm thấy nguồn mục từ/thành tố ghi nguyên dạng hoặc lớp từ cho toàn bộ thành tố quyết định kết luận.</x:v>
      </x:c>
      <x:c r="O151" s="11" t="str">
        <x:v>Hán Hàn + ngoại lai khác</x:v>
      </x:c>
      <x:c r="P151" s="11" t="str"/>
      <x:c r="Q151" s="37" t="str">
        <x:v>ET142 (dòng 1017)
ET019 (dòng 894)</x:v>
      </x:c>
      <x:c r="R151" s="37" t="str">
        <x:v>ET246 (dòng 1121)
ET247 (dòng 1122)
ET290 (dòng 1165)</x:v>
      </x:c>
      <x:c r="S151" s="11" t="str"/>
      <x:c r="T151" s="11" t="str">
        <x:v>Ứng viên — còn thiếu chứng cứ</x:v>
      </x:c>
      <x:c r="U151" s="11" t="str">
        <x:v>N4 — Quan hệ, hoạt động</x:v>
      </x:c>
    </x:row>
    <x:row r="152" ht="100.5" customHeight="1">
      <x:c r="A152" s="14" t="n">
        <x:v>147</x:v>
      </x:c>
      <x:c r="B152" s="11" t="str">
        <x:v>CGI004</x:v>
      </x:c>
      <x:c r="C152" s="11" t="str">
        <x:v>tái đắc cử</x:v>
      </x:c>
      <x:c r="D152" s="11" t="str">
        <x:v>Hán Việt</x:v>
      </x:c>
      <x:c r="E152" s="11" t="str">
        <x:v>A — Có chứng cứ thành tố</x:v>
      </x:c>
      <x:c r="F152" s="11" t="str">
        <x:v>재선</x:v>
      </x:c>
      <x:c r="G152" s="11" t="str">
        <x:v>Hán Hàn</x:v>
      </x:c>
      <x:c r="H152" s="11" t="str">
        <x:v>B — Phân tích tạm</x:v>
      </x:c>
      <x:c r="I152" s="11" t="str">
        <x:f>IF(AND(LEFT(E152,1)="A",LEFT(H152,1)="A"),"A/A — Có chứng cứ hai phía",IF(OR(LEFT(E152,1)="C",LEFT(H152,1)="C"),"C — Còn điểm chưa chốt",IF(AND(OR(LEFT(E152,1)="A",LEFT(E152,1)="B"),OR(LEFT(H152,1)="A",LEFT(H152,1)="B")),"B — Cần bổ sung chứng cứ","Kiểm tra mức chứng cứ")))</x:f>
        <x:v>B — Cần bổ sung chứng cứ</x:v>
      </x:c>
      <x:c r="J152" s="11" t="str">
        <x:v>Có chứng cứ cho thành tố</x:v>
      </x:c>
      <x:c r="K152" s="11" t="str">
        <x:v>tái [HV 再]
đắc [HV 得]
cử [HV 舉]</x:v>
      </x:c>
      <x:c r="L152" s="11" t="str">
        <x:v>재선 [HH 再選 *]</x:v>
      </x:c>
      <x:c r="M152" s="11" t="str">
        <x:v>Đã đối chiếu nguồn cho các thành tố Hán Việt cấu thành; nhãn toàn cụm là tổng hợp phân tích.</x:v>
      </x:c>
      <x:c r="N15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52" s="11" t="str">
        <x:v>Hán Hàn</x:v>
      </x:c>
      <x:c r="P152" s="11" t="str"/>
      <x:c r="Q152" s="37" t="str">
        <x:v>ET143 (dòng 1018)
ET144 (dòng 1019)
ET122 (dòng 997)</x:v>
      </x:c>
      <x:c r="R152" s="37" t="str">
        <x:v>Chưa có nguồn từ nguyên cụ thể trong lượt này</x:v>
      </x:c>
      <x:c r="S152" s="11" t="str"/>
      <x:c r="T152" s="11" t="str">
        <x:v>Ứng viên — còn thiếu chứng cứ</x:v>
      </x:c>
      <x:c r="U152" s="11" t="str">
        <x:v>N4 — Quan hệ, hoạt động</x:v>
      </x:c>
    </x:row>
    <x:row r="153" ht="100.5" customHeight="1">
      <x:c r="A153" s="14" t="n">
        <x:v>148</x:v>
      </x:c>
      <x:c r="B153" s="11" t="str">
        <x:v>T136</x:v>
      </x:c>
      <x:c r="C153" s="11" t="str">
        <x:v>thăm cấp Nhà nước</x:v>
      </x:c>
      <x:c r="D153" s="11" t="str">
        <x:v>Hán Việt + thuần Việt + gốc Hán khác</x:v>
      </x:c>
      <x:c r="E153" s="11" t="str">
        <x:v>B — Phân tích tạm</x:v>
      </x:c>
      <x:c r="F153" s="11" t="str">
        <x:v>국빈 방문</x:v>
      </x:c>
      <x:c r="G153" s="11" t="str">
        <x:v>Hán Hàn</x:v>
      </x:c>
      <x:c r="H153" s="11" t="str">
        <x:v>B — Phân tích tạm</x:v>
      </x:c>
      <x:c r="I153" s="11" t="str">
        <x:f>IF(AND(LEFT(E153,1)="A",LEFT(H153,1)="A"),"A/A — Có chứng cứ hai phía",IF(OR(LEFT(E153,1)="C",LEFT(H153,1)="C"),"C — Còn điểm chưa chốt",IF(AND(OR(LEFT(E153,1)="A",LEFT(E153,1)="B"),OR(LEFT(H153,1)="A",LEFT(H153,1)="B")),"B — Cần bổ sung chứng cứ","Kiểm tra mức chứng cứ")))</x:f>
        <x:v>B — Cần bổ sung chứng cứ</x:v>
      </x:c>
      <x:c r="J153" s="11" t="str">
        <x:v>Có chứng cứ cho thành tố</x:v>
      </x:c>
      <x:c r="K153" s="11" t="str">
        <x:v>thăm [GH 探]
cấp [HV 級]
Nhà nước [TV]</x:v>
      </x:c>
      <x:c r="L153" s="11" t="str">
        <x:v>국빈 [HH 國賓 *]
방문 [HH 訪問 *]</x:v>
      </x:c>
      <x:c r="M153" s="11" t="str">
        <x:v>Phân tích cấu tạo của người rà soát; nguồn đã kiểm tra chỉ xác nhận các thành tố được gắn mã nguồn, không phải mọi thành tố.
Thăm là dạng gốc Hán ngoài âm Hán Việt chuẩn; Nhà nước là từ Việt. Không gộp cả cụm vào Hán Việt.</x:v>
      </x:c>
      <x:c r="N153"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53" s="11" t="str">
        <x:v>Hán Hàn</x:v>
      </x:c>
      <x:c r="P153" s="11" t="str"/>
      <x:c r="Q153" s="37" t="str">
        <x:v>ET145 (dòng 1020)
ET083 (dòng 958)
ET040 (dòng 915)</x:v>
      </x:c>
      <x:c r="R153" s="37" t="str">
        <x:v>Chưa có nguồn từ nguyên cụ thể trong lượt này</x:v>
      </x:c>
      <x:c r="S153" s="11" t="str"/>
      <x:c r="T153" s="11" t="str">
        <x:v>Xác nhận — cùng biểu thức Anh</x:v>
      </x:c>
      <x:c r="U153" s="11" t="str">
        <x:v>N4 — Quan hệ, hoạt động</x:v>
      </x:c>
    </x:row>
    <x:row r="154" ht="100.5" customHeight="1">
      <x:c r="A154" s="14" t="n">
        <x:v>149</x:v>
      </x:c>
      <x:c r="B154" s="11" t="str">
        <x:v>T139</x:v>
      </x:c>
      <x:c r="C154" s="11" t="str">
        <x:v>thăm chính thức</x:v>
      </x:c>
      <x:c r="D154" s="11" t="str">
        <x:v>Hán Việt + gốc Hán khác</x:v>
      </x:c>
      <x:c r="E154" s="11" t="str">
        <x:v>B — Phân tích tạm</x:v>
      </x:c>
      <x:c r="F154" s="11" t="str">
        <x:v>공식 방문</x:v>
      </x:c>
      <x:c r="G154" s="11" t="str">
        <x:v>Hán Hàn</x:v>
      </x:c>
      <x:c r="H154" s="11" t="str">
        <x:v>B — Phân tích tạm</x:v>
      </x:c>
      <x:c r="I154" s="11" t="str">
        <x:f>IF(AND(LEFT(E154,1)="A",LEFT(H154,1)="A"),"A/A — Có chứng cứ hai phía",IF(OR(LEFT(E154,1)="C",LEFT(H154,1)="C"),"C — Còn điểm chưa chốt",IF(AND(OR(LEFT(E154,1)="A",LEFT(E154,1)="B"),OR(LEFT(H154,1)="A",LEFT(H154,1)="B")),"B — Cần bổ sung chứng cứ","Kiểm tra mức chứng cứ")))</x:f>
        <x:v>B — Cần bổ sung chứng cứ</x:v>
      </x:c>
      <x:c r="J154" s="11" t="str">
        <x:v>Có chứng cứ cho thành tố</x:v>
      </x:c>
      <x:c r="K154" s="11" t="str">
        <x:v>thăm [GH 探]
chính thức [HV 正式]</x:v>
      </x:c>
      <x:c r="L154" s="11" t="str">
        <x:v>공식 [HH 公式]
방문 [HH 訪問 *]</x:v>
      </x:c>
      <x:c r="M154" s="11" t="str">
        <x:v>Phân tích cấu tạo của người rà soát; nguồn đã kiểm tra chỉ xác nhận các thành tố được gắn mã nguồn, không phải mọi thành tố.
Thăm được đối chiếu với thám 探 trong từ điển lịch sử; không xếp mặc nhiên là thuần Việt.</x:v>
      </x:c>
      <x:c r="N15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54" s="11" t="str">
        <x:v>Hán Hàn</x:v>
      </x:c>
      <x:c r="P154" s="11" t="str"/>
      <x:c r="Q154" s="37" t="str">
        <x:v>ET145 (dòng 1020)
ET136 (dòng 1011)</x:v>
      </x:c>
      <x:c r="R154" s="37" t="str">
        <x:v>ET265 (dòng 1140)</x:v>
      </x:c>
      <x:c r="S154" s="11" t="str"/>
      <x:c r="T154" s="11" t="str">
        <x:v>Ứng viên — còn thiếu chứng cứ</x:v>
      </x:c>
      <x:c r="U154" s="11" t="str">
        <x:v>N4 — Quan hệ, hoạt động</x:v>
      </x:c>
    </x:row>
    <x:row r="155" ht="85.5" customHeight="1">
      <x:c r="A155" s="14" t="n">
        <x:v>150</x:v>
      </x:c>
      <x:c r="B155" s="11" t="str">
        <x:v>T144</x:v>
      </x:c>
      <x:c r="C155" s="11" t="str">
        <x:v>thiết lập quan hệ ngoại giao</x:v>
      </x:c>
      <x:c r="D155" s="11" t="str">
        <x:v>Hán Việt</x:v>
      </x:c>
      <x:c r="E155" s="11" t="str">
        <x:v>A — Có chứng cứ thành tố</x:v>
      </x:c>
      <x:c r="F155" s="11" t="str">
        <x:v>수교</x:v>
      </x:c>
      <x:c r="G155" s="11" t="str">
        <x:v>Hán Hàn</x:v>
      </x:c>
      <x:c r="H155" s="11" t="str">
        <x:v>A — Có chứng cứ thành tố</x:v>
      </x:c>
      <x:c r="I155" s="11" t="str">
        <x:f>IF(AND(LEFT(E155,1)="A",LEFT(H155,1)="A"),"A/A — Có chứng cứ hai phía",IF(OR(LEFT(E155,1)="C",LEFT(H155,1)="C"),"C — Còn điểm chưa chốt",IF(AND(OR(LEFT(E155,1)="A",LEFT(E155,1)="B"),OR(LEFT(H155,1)="A",LEFT(H155,1)="B")),"B — Cần bổ sung chứng cứ","Kiểm tra mức chứng cứ")))</x:f>
        <x:v>A/A — Có chứng cứ hai phía</x:v>
      </x:c>
      <x:c r="J155" s="11" t="str">
        <x:v>Có chứng cứ cho thành tố</x:v>
      </x:c>
      <x:c r="K155" s="11" t="str">
        <x:v>thiết lập [HV 設立]
quan hệ [HV 關係]
ngoại giao [HV 外交]</x:v>
      </x:c>
      <x:c r="L155" s="11" t="str">
        <x:v>수교 [HH 修交]</x:v>
      </x:c>
      <x:c r="M155" s="11" t="str">
        <x:v>Đã đối chiếu nguồn cho các thành tố Hán Việt cấu thành; nhãn toàn cụm là tổng hợp phân tích.</x:v>
      </x:c>
      <x:c r="N155" s="11" t="str">
        <x:v>Đã tìm thấy nguồn mục từ/thành tố ghi nguyên dạng hoặc lớp từ cho toàn bộ thành tố quyết định kết luận.</x:v>
      </x:c>
      <x:c r="O155" s="11" t="str">
        <x:v>Hán Hàn</x:v>
      </x:c>
      <x:c r="P155" s="11" t="str"/>
      <x:c r="Q155" s="37" t="str">
        <x:v>ET146 (dòng 1021)
ET121 (dòng 996)
ET007 (dòng 882)</x:v>
      </x:c>
      <x:c r="R155" s="37" t="str">
        <x:v>ET291 (dòng 1166)</x:v>
      </x:c>
      <x:c r="S155" s="11" t="str"/>
      <x:c r="T155" s="11" t="str">
        <x:v>Tương ứng — biến thể Anh</x:v>
      </x:c>
      <x:c r="U155" s="11" t="str">
        <x:v>N4 — Quan hệ, hoạt động</x:v>
      </x:c>
    </x:row>
    <x:row r="156" ht="100.5" customHeight="1">
      <x:c r="A156" s="14" t="n">
        <x:v>151</x:v>
      </x:c>
      <x:c r="B156" s="11" t="str">
        <x:v>T180</x:v>
      </x:c>
      <x:c r="C156" s="11" t="str">
        <x:v>thông tin đối ngoại</x:v>
      </x:c>
      <x:c r="D156" s="11" t="str">
        <x:v>Chưa chốt</x:v>
      </x:c>
      <x:c r="E156" s="11" t="str">
        <x:v>C — Chưa chốt từ nguyên</x:v>
      </x:c>
      <x:c r="F156" s="11" t="str">
        <x:v>대외 정보</x:v>
      </x:c>
      <x:c r="G156" s="11" t="str">
        <x:v>Hán Hàn</x:v>
      </x:c>
      <x:c r="H156" s="11" t="str">
        <x:v>B — Phân tích tạm</x:v>
      </x:c>
      <x:c r="I156" s="11" t="str">
        <x:f>IF(AND(LEFT(E156,1)="A",LEFT(H156,1)="A"),"A/A — Có chứng cứ hai phía",IF(OR(LEFT(E156,1)="C",LEFT(H156,1)="C"),"C — Còn điểm chưa chốt",IF(AND(OR(LEFT(E156,1)="A",LEFT(E156,1)="B"),OR(LEFT(H156,1)="A",LEFT(H156,1)="B")),"B — Cần bổ sung chứng cứ","Kiểm tra mức chứng cứ")))</x:f>
        <x:v>C — Còn điểm chưa chốt</x:v>
      </x:c>
      <x:c r="J156" s="11" t="str">
        <x:v>Có chứng cứ cho thành tố</x:v>
      </x:c>
      <x:c r="K156" s="11" t="str">
        <x:v>thông [HV 通 *]
tin [?]
đối ngoại [HV 對外]</x:v>
      </x:c>
      <x:c r="L156" s="11" t="str">
        <x:v>대외 [HH 對外 *]
정보 [HH 情報 *]</x:v>
      </x:c>
      <x:c r="M156" s="11" t="str">
        <x:v>Đã tách thành tố nhưng còn điểm từ nguyên/nghĩa chưa đủ bằng chứng; chưa đưa vào danh sách đã chốt.
Chưa chốt nguồn gốc tin ở nghĩa thông tin; WOLD xác nhận tin nghĩa tin tưởng ở mức có khả năng vay mượn, không tự động suy sang nghĩa tin tức.</x:v>
      </x:c>
      <x:c r="N15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56" s="11" t="str">
        <x:v>Hán Hàn</x:v>
      </x:c>
      <x:c r="P156" s="11" t="str"/>
      <x:c r="Q156" s="37" t="str">
        <x:v>ET147 (dòng 1022)
ET148 (dòng 1023)</x:v>
      </x:c>
      <x:c r="R156" s="37" t="str">
        <x:v>ET275 (dòng 1150)</x:v>
      </x:c>
      <x:c r="S156" s="11" t="str"/>
      <x:c r="T156" s="11" t="str">
        <x:v>Ứng viên — còn thiếu chứng cứ</x:v>
      </x:c>
      <x:c r="U156" s="11" t="str">
        <x:v>N4 — Quan hệ, hoạt động</x:v>
      </x:c>
    </x:row>
    <x:row r="157" ht="100.5" customHeight="1">
      <x:c r="A157" s="14" t="n">
        <x:v>152</x:v>
      </x:c>
      <x:c r="B157" s="11" t="str">
        <x:v>M045</x:v>
      </x:c>
      <x:c r="C157" s="11" t="str">
        <x:v>thực thi pháp luật trên biển</x:v>
      </x:c>
      <x:c r="D157" s="11" t="str">
        <x:v>Hán Việt + thuần Việt</x:v>
      </x:c>
      <x:c r="E157" s="11" t="str">
        <x:v>B — Phân tích tạm</x:v>
      </x:c>
      <x:c r="F157" s="11" t="str">
        <x:v>해양 법 집행</x:v>
      </x:c>
      <x:c r="G157" s="11" t="str">
        <x:v>Hán Hàn</x:v>
      </x:c>
      <x:c r="H157" s="11" t="str">
        <x:v>B — Phân tích tạm</x:v>
      </x:c>
      <x:c r="I157" s="11" t="str">
        <x:f>IF(AND(LEFT(E157,1)="A",LEFT(H157,1)="A"),"A/A — Có chứng cứ hai phía",IF(OR(LEFT(E157,1)="C",LEFT(H157,1)="C"),"C — Còn điểm chưa chốt",IF(AND(OR(LEFT(E157,1)="A",LEFT(E157,1)="B"),OR(LEFT(H157,1)="A",LEFT(H157,1)="B")),"B — Cần bổ sung chứng cứ","Kiểm tra mức chứng cứ")))</x:f>
        <x:v>B — Cần bổ sung chứng cứ</x:v>
      </x:c>
      <x:c r="J157" s="11" t="str">
        <x:v>Có chứng cứ cho thành tố</x:v>
      </x:c>
      <x:c r="K157" s="11" t="str">
        <x:v>thực thi [HV 實施 *]
pháp luật [HV 法律]
trên [TV]
biển [TV]</x:v>
      </x:c>
      <x:c r="L157" s="11" t="str">
        <x:v>해양 [HH 海洋]
법 [HH 法 *]
집행 [HH 執行 *]</x:v>
      </x:c>
      <x:c r="M157" s="11" t="str">
        <x:v>Phân tích cấu tạo của người rà soát; nguồn đã kiểm tra chỉ xác nhận các thành tố được gắn mã nguồn, không phải mọi thành tố.</x:v>
      </x:c>
      <x:c r="N15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57" s="11" t="str">
        <x:v>Hán Hàn</x:v>
      </x:c>
      <x:c r="P157" s="11" t="str"/>
      <x:c r="Q157" s="37" t="str">
        <x:v>ET149 (dòng 1024)
ET150 (dòng 1025)
ET043 (dòng 918)</x:v>
      </x:c>
      <x:c r="R157" s="37" t="str">
        <x:v>ET292 (dòng 1167)</x:v>
      </x:c>
      <x:c r="S157" s="11" t="str"/>
      <x:c r="T157" s="11" t="str">
        <x:v>Ứng viên — còn thiếu chứng cứ</x:v>
      </x:c>
      <x:c r="U157" s="11" t="str">
        <x:v>N4 — Quan hệ, hoạt động</x:v>
      </x:c>
    </x:row>
    <x:row r="158" ht="100.5" customHeight="1">
      <x:c r="A158" s="14" t="n">
        <x:v>153</x:v>
      </x:c>
      <x:c r="B158" s="11" t="str">
        <x:v>T069</x:v>
      </x:c>
      <x:c r="C158" s="11" t="str">
        <x:v>tinh giản biên chế</x:v>
      </x:c>
      <x:c r="D158" s="11" t="str">
        <x:v>Hán Việt</x:v>
      </x:c>
      <x:c r="E158" s="11" t="str">
        <x:v>B — Phân tích tạm</x:v>
      </x:c>
      <x:c r="F158" s="11" t="str">
        <x:v>인력 감축</x:v>
      </x:c>
      <x:c r="G158" s="11" t="str">
        <x:v>Hán Hàn</x:v>
      </x:c>
      <x:c r="H158" s="11" t="str">
        <x:v>B — Phân tích tạm</x:v>
      </x:c>
      <x:c r="I158" s="11" t="str">
        <x:f>IF(AND(LEFT(E158,1)="A",LEFT(H158,1)="A"),"A/A — Có chứng cứ hai phía",IF(OR(LEFT(E158,1)="C",LEFT(H158,1)="C"),"C — Còn điểm chưa chốt",IF(AND(OR(LEFT(E158,1)="A",LEFT(E158,1)="B"),OR(LEFT(H158,1)="A",LEFT(H158,1)="B")),"B — Cần bổ sung chứng cứ","Kiểm tra mức chứng cứ")))</x:f>
        <x:v>B — Cần bổ sung chứng cứ</x:v>
      </x:c>
      <x:c r="J158" s="11" t="str">
        <x:v>Có chứng cứ cho thành tố</x:v>
      </x:c>
      <x:c r="K158" s="11" t="str">
        <x:v>tinh giản [HV 精簡 *]
biên chế [HV 編制]</x:v>
      </x:c>
      <x:c r="L158" s="11" t="str">
        <x:v>인력 [HH 人力 *]
감축 [HH 減縮 *]</x:v>
      </x:c>
      <x:c r="M158" s="11" t="str">
        <x:v>Phân tích cấu tạo của người rà soát; nguồn đã kiểm tra chỉ xác nhận các thành tố được gắn mã nguồn, không phải mọi thành tố.</x:v>
      </x:c>
      <x:c r="N158"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58" s="11" t="str">
        <x:v>Hán Hàn</x:v>
      </x:c>
      <x:c r="P158" s="11" t="str"/>
      <x:c r="Q158" s="37" t="str">
        <x:v>ET151 (dòng 1026)</x:v>
      </x:c>
      <x:c r="R158" s="37" t="str">
        <x:v>Chưa có nguồn từ nguyên cụ thể trong lượt này</x:v>
      </x:c>
      <x:c r="S158" s="11" t="str"/>
      <x:c r="T158" s="11" t="str">
        <x:v>Lệch nghĩa / phạm vi</x:v>
      </x:c>
      <x:c r="U158" s="11" t="str">
        <x:v>N4 — Quan hệ, hoạt động</x:v>
      </x:c>
    </x:row>
    <x:row r="159" ht="100.5" customHeight="1">
      <x:c r="A159" s="14" t="n">
        <x:v>154</x:v>
      </x:c>
      <x:c r="B159" s="11" t="str">
        <x:v>T014</x:v>
      </x:c>
      <x:c r="C159" s="11" t="str">
        <x:v>tổng tuyển cử</x:v>
      </x:c>
      <x:c r="D159" s="11" t="str">
        <x:v>Hán Việt</x:v>
      </x:c>
      <x:c r="E159" s="11" t="str">
        <x:v>B — Phân tích tạm</x:v>
      </x:c>
      <x:c r="F159" s="11" t="str">
        <x:v>총선</x:v>
      </x:c>
      <x:c r="G159" s="11" t="str">
        <x:v>Hán Hàn</x:v>
      </x:c>
      <x:c r="H159" s="11" t="str">
        <x:v>B — Phân tích tạm</x:v>
      </x:c>
      <x:c r="I159" s="11" t="str">
        <x:f>IF(AND(LEFT(E159,1)="A",LEFT(H159,1)="A"),"A/A — Có chứng cứ hai phía",IF(OR(LEFT(E159,1)="C",LEFT(H159,1)="C"),"C — Còn điểm chưa chốt",IF(AND(OR(LEFT(E159,1)="A",LEFT(E159,1)="B"),OR(LEFT(H159,1)="A",LEFT(H159,1)="B")),"B — Cần bổ sung chứng cứ","Kiểm tra mức chứng cứ")))</x:f>
        <x:v>B — Cần bổ sung chứng cứ</x:v>
      </x:c>
      <x:c r="J159" s="11" t="str">
        <x:v>Có chứng cứ cho thành tố</x:v>
      </x:c>
      <x:c r="K159" s="11" t="str">
        <x:v>tổng [HV 總]
tuyển cử [HV 選舉 *]</x:v>
      </x:c>
      <x:c r="L159" s="11" t="str">
        <x:v>총선 [HH 總選 *]</x:v>
      </x:c>
      <x:c r="M159" s="11" t="str">
        <x:v>Phân tích cấu tạo của người rà soát; nguồn đã kiểm tra chỉ xác nhận các thành tố được gắn mã nguồn, không phải mọi thành tố.</x:v>
      </x:c>
      <x:c r="N159"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59" s="11" t="str">
        <x:v>Hán Hàn</x:v>
      </x:c>
      <x:c r="P159" s="11" t="str"/>
      <x:c r="Q159" s="37" t="str">
        <x:v>ET031 (dòng 906)
ET122 (dòng 997)</x:v>
      </x:c>
      <x:c r="R159" s="37" t="str">
        <x:v>Chưa có nguồn từ nguyên cụ thể trong lượt này</x:v>
      </x:c>
      <x:c r="S159" s="11" t="str"/>
      <x:c r="T159" s="11" t="str">
        <x:v>Xác nhận — cùng biểu thức Anh</x:v>
      </x:c>
      <x:c r="U159" s="11" t="str">
        <x:v>N4 — Quan hệ, hoạt động</x:v>
      </x:c>
    </x:row>
    <x:row r="160" ht="100.5" customHeight="1">
      <x:c r="A160" s="14" t="n">
        <x:v>155</x:v>
      </x:c>
      <x:c r="B160" s="11" t="str">
        <x:v>T176</x:v>
      </x:c>
      <x:c r="C160" s="11" t="str">
        <x:v>trao đổi đoàn cấp cao</x:v>
      </x:c>
      <x:c r="D160" s="11" t="str">
        <x:v>Hán Việt + thuần Việt</x:v>
      </x:c>
      <x:c r="E160" s="11" t="str">
        <x:v>B — Phân tích tạm</x:v>
      </x:c>
      <x:c r="F160" s="11" t="str">
        <x:v>고위급 대표단 교류</x:v>
      </x:c>
      <x:c r="G160" s="11" t="str">
        <x:v>Hán Hàn</x:v>
      </x:c>
      <x:c r="H160" s="11" t="str">
        <x:v>B — Phân tích tạm</x:v>
      </x:c>
      <x:c r="I160" s="11" t="str">
        <x:f>IF(AND(LEFT(E160,1)="A",LEFT(H160,1)="A"),"A/A — Có chứng cứ hai phía",IF(OR(LEFT(E160,1)="C",LEFT(H160,1)="C"),"C — Còn điểm chưa chốt",IF(AND(OR(LEFT(E160,1)="A",LEFT(E160,1)="B"),OR(LEFT(H160,1)="A",LEFT(H160,1)="B")),"B — Cần bổ sung chứng cứ","Kiểm tra mức chứng cứ")))</x:f>
        <x:v>B — Cần bổ sung chứng cứ</x:v>
      </x:c>
      <x:c r="J160" s="11" t="str">
        <x:v>Có chứng cứ cho thành tố</x:v>
      </x:c>
      <x:c r="K160" s="11" t="str">
        <x:v>trao [TV]
đổi [TV]
đoàn [HV 團]
cấp [HV 級]
cao [HV 高]</x:v>
      </x:c>
      <x:c r="L160" s="11" t="str">
        <x:v>고위급 [HH 高位級 *]
대표단 [HH 代表團]
교류 [HH 交流 *]</x:v>
      </x:c>
      <x:c r="M160" s="11" t="str">
        <x:v>Phân tích cấu tạo của người rà soát; nguồn đã kiểm tra chỉ xác nhận các thành tố được gắn mã nguồn, không phải mọi thành tố.</x:v>
      </x:c>
      <x:c r="N16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0" s="11" t="str">
        <x:v>Hán Hàn</x:v>
      </x:c>
      <x:c r="P160" s="11" t="str"/>
      <x:c r="Q160" s="37" t="str">
        <x:v>ET129 (dòng 1004)
ET152 (dòng 1027)
ET083 (dòng 958)
ET120 (dòng 995)</x:v>
      </x:c>
      <x:c r="R160" s="37" t="str">
        <x:v>ET293 (dòng 1168)</x:v>
      </x:c>
      <x:c r="S160" s="11" t="str"/>
      <x:c r="T160" s="11" t="str">
        <x:v>Ứng viên — còn thiếu chứng cứ</x:v>
      </x:c>
      <x:c r="U160" s="11" t="str">
        <x:v>N4 — Quan hệ, hoạt động</x:v>
      </x:c>
    </x:row>
    <x:row r="161" ht="100.5" customHeight="1">
      <x:c r="A161" s="14" t="n">
        <x:v>156</x:v>
      </x:c>
      <x:c r="B161" s="11" t="str">
        <x:v>T026</x:v>
      </x:c>
      <x:c r="C161" s="11" t="str">
        <x:v>xây dựng Đảng</x:v>
      </x:c>
      <x:c r="D161" s="11" t="str">
        <x:v>Hán Việt + thuần Việt</x:v>
      </x:c>
      <x:c r="E161" s="11" t="str">
        <x:v>B — Phân tích tạm</x:v>
      </x:c>
      <x:c r="F161" s="11" t="str">
        <x:v>당 건설</x:v>
      </x:c>
      <x:c r="G161" s="11" t="str">
        <x:v>Hán Hàn</x:v>
      </x:c>
      <x:c r="H161" s="11" t="str">
        <x:v>B — Phân tích tạm</x:v>
      </x:c>
      <x:c r="I161" s="11" t="str">
        <x:f>IF(AND(LEFT(E161,1)="A",LEFT(H161,1)="A"),"A/A — Có chứng cứ hai phía",IF(OR(LEFT(E161,1)="C",LEFT(H161,1)="C"),"C — Còn điểm chưa chốt",IF(AND(OR(LEFT(E161,1)="A",LEFT(E161,1)="B"),OR(LEFT(H161,1)="A",LEFT(H161,1)="B")),"B — Cần bổ sung chứng cứ","Kiểm tra mức chứng cứ")))</x:f>
        <x:v>B — Cần bổ sung chứng cứ</x:v>
      </x:c>
      <x:c r="J161" s="11" t="str">
        <x:v>Có chứng cứ cho thành tố</x:v>
      </x:c>
      <x:c r="K161" s="11" t="str">
        <x:v>xây dựng [TV]
Đảng [HV 黨]</x:v>
      </x:c>
      <x:c r="L161" s="11" t="str">
        <x:v>당 [HH 黨]
건설 [HH 建設 *]</x:v>
      </x:c>
      <x:c r="M161" s="11" t="str">
        <x:v>Phân tích cấu tạo của người rà soát; nguồn đã kiểm tra chỉ xác nhận các thành tố được gắn mã nguồn, không phải mọi thành tố.</x:v>
      </x:c>
      <x:c r="N16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1" s="11" t="str">
        <x:v>Hán Hàn</x:v>
      </x:c>
      <x:c r="P161" s="11" t="str"/>
      <x:c r="Q161" s="37" t="str">
        <x:v>ET153 (dòng 1028)
ET003 (dòng 878)</x:v>
      </x:c>
      <x:c r="R161" s="37" t="str">
        <x:v>ET238 (dòng 1113)
ET239 (dòng 1114)</x:v>
      </x:c>
      <x:c r="S161" s="11" t="str"/>
      <x:c r="T161" s="11" t="str">
        <x:v>Ứng viên — còn thiếu chứng cứ</x:v>
      </x:c>
      <x:c r="U161" s="11" t="str">
        <x:v>N4 — Quan hệ, hoạt động</x:v>
      </x:c>
    </x:row>
    <x:row r="162" ht="85.5" customHeight="1">
      <x:c r="A162" s="14" t="n">
        <x:v>157</x:v>
      </x:c>
      <x:c r="B162" s="11" t="str">
        <x:v>M020</x:v>
      </x:c>
      <x:c r="C162" s="11" t="str">
        <x:v>bản ghi nhớ</x:v>
      </x:c>
      <x:c r="D162" s="11" t="str">
        <x:v>Hán Việt + thuần Việt + gốc Hán khác</x:v>
      </x:c>
      <x:c r="E162" s="11" t="str">
        <x:v>B — Phân tích tạm</x:v>
      </x:c>
      <x:c r="F162" s="11" t="str">
        <x:v>양해각서</x:v>
      </x:c>
      <x:c r="G162" s="11" t="str">
        <x:v>Hán Hàn</x:v>
      </x:c>
      <x:c r="H162" s="11" t="str">
        <x:v>A — Có chứng cứ thành tố</x:v>
      </x:c>
      <x:c r="I162" s="11" t="str">
        <x:f>IF(AND(LEFT(E162,1)="A",LEFT(H162,1)="A"),"A/A — Có chứng cứ hai phía",IF(OR(LEFT(E162,1)="C",LEFT(H162,1)="C"),"C — Còn điểm chưa chốt",IF(AND(OR(LEFT(E162,1)="A",LEFT(E162,1)="B"),OR(LEFT(H162,1)="A",LEFT(H162,1)="B")),"B — Cần bổ sung chứng cứ","Kiểm tra mức chứng cứ")))</x:f>
        <x:v>B — Cần bổ sung chứng cứ</x:v>
      </x:c>
      <x:c r="J162" s="11" t="str">
        <x:v>Có chứng cứ cho thành tố</x:v>
      </x:c>
      <x:c r="K162" s="11" t="str">
        <x:v>bản [HV 本]
ghi [GH 記]
nhớ [TV]</x:v>
      </x:c>
      <x:c r="L162" s="11" t="str">
        <x:v>양해각서 [HH 諒解覺書]</x:v>
      </x:c>
      <x:c r="M162" s="11" t="str">
        <x:v>Phân tích cấu tạo của người rà soát; nguồn đã kiểm tra chỉ xác nhận các thành tố được gắn mã nguồn, không phải mọi thành tố.
Bản là Hán Việt; ghi được nghiên cứu lịch sử đối chiếu với ký 記; nhớ là yếu tố Việt. Cấu tạo phức hợp ba lớp.</x:v>
      </x:c>
      <x:c r="N162" s="11" t="str">
        <x:v>Đã tìm thấy nguồn mục từ/thành tố ghi nguyên dạng hoặc lớp từ cho toàn bộ thành tố quyết định kết luận.</x:v>
      </x:c>
      <x:c r="O162" s="11" t="str">
        <x:v>Hán Hàn</x:v>
      </x:c>
      <x:c r="P162" s="11" t="str"/>
      <x:c r="Q162" s="37" t="str">
        <x:v>ET154 (dòng 1029)
ET072 (dòng 947)
ET155 (dòng 1030)</x:v>
      </x:c>
      <x:c r="R162" s="37" t="str">
        <x:v>ET294 (dòng 1169)</x:v>
      </x:c>
      <x:c r="S162" s="11" t="str"/>
      <x:c r="T162" s="11" t="str">
        <x:v>Xác nhận — cùng biểu thức Anh</x:v>
      </x:c>
      <x:c r="U162" s="11" t="str">
        <x:v>N5 — Văn bản</x:v>
      </x:c>
    </x:row>
    <x:row r="163" ht="100.5" customHeight="1">
      <x:c r="A163" s="14" t="n">
        <x:v>158</x:v>
      </x:c>
      <x:c r="B163" s="11" t="str">
        <x:v>CGI001</x:v>
      </x:c>
      <x:c r="C163" s="11" t="str">
        <x:v>báo cáo chính trị</x:v>
      </x:c>
      <x:c r="D163" s="11" t="str">
        <x:v>Hán Việt</x:v>
      </x:c>
      <x:c r="E163" s="11" t="str">
        <x:v>A — Có chứng cứ thành tố</x:v>
      </x:c>
      <x:c r="F163" s="11" t="str">
        <x:v>정치 보고서</x:v>
      </x:c>
      <x:c r="G163" s="11" t="str">
        <x:v>Hán Hàn</x:v>
      </x:c>
      <x:c r="H163" s="11" t="str">
        <x:v>B — Phân tích tạm</x:v>
      </x:c>
      <x:c r="I163" s="11" t="str">
        <x:f>IF(AND(LEFT(E163,1)="A",LEFT(H163,1)="A"),"A/A — Có chứng cứ hai phía",IF(OR(LEFT(E163,1)="C",LEFT(H163,1)="C"),"C — Còn điểm chưa chốt",IF(AND(OR(LEFT(E163,1)="A",LEFT(E163,1)="B"),OR(LEFT(H163,1)="A",LEFT(H163,1)="B")),"B — Cần bổ sung chứng cứ","Kiểm tra mức chứng cứ")))</x:f>
        <x:v>B — Cần bổ sung chứng cứ</x:v>
      </x:c>
      <x:c r="J163" s="11" t="str">
        <x:v>Có chứng cứ cho thành tố</x:v>
      </x:c>
      <x:c r="K163" s="11" t="str">
        <x:v>báo cáo [HV 報告]
chính trị [HV 政治]</x:v>
      </x:c>
      <x:c r="L163" s="11" t="str">
        <x:v>정치 [HH 政治]
보고서 [HH 報告書 *]</x:v>
      </x:c>
      <x:c r="M163" s="11" t="str">
        <x:v>Đã đối chiếu nguồn cho các thành tố Hán Việt cấu thành; nhãn toàn cụm là tổng hợp phân tích.</x:v>
      </x:c>
      <x:c r="N16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3" s="11" t="str">
        <x:v>Hán Hàn</x:v>
      </x:c>
      <x:c r="P163" s="11" t="str"/>
      <x:c r="Q163" s="37" t="str">
        <x:v>ET156 (dòng 1031)
ET034 (dòng 909)</x:v>
      </x:c>
      <x:c r="R163" s="37" t="str">
        <x:v>ET264 (dòng 1139)</x:v>
      </x:c>
      <x:c r="S163" s="11" t="str"/>
      <x:c r="T163" s="11" t="str">
        <x:v>Ứng viên — còn thiếu chứng cứ</x:v>
      </x:c>
      <x:c r="U163" s="11" t="str">
        <x:v>N5 — Văn bản</x:v>
      </x:c>
    </x:row>
    <x:row r="164" ht="130.5" customHeight="1">
      <x:c r="A164" s="14" t="n">
        <x:v>159</x:v>
      </x:c>
      <x:c r="B164" s="11" t="str">
        <x:v>T158</x:v>
      </x:c>
      <x:c r="C164" s="11" t="str">
        <x:v>Công ước Liên hợp quốc về Luật Biển</x:v>
      </x:c>
      <x:c r="D164" s="11" t="str">
        <x:v>Chưa chốt</x:v>
      </x:c>
      <x:c r="E164" s="11" t="str">
        <x:v>C — Chưa chốt từ nguyên</x:v>
      </x:c>
      <x:c r="F164" s="11" t="str">
        <x:v>1982년 유엔해양법협약(UNCLOS)</x:v>
      </x:c>
      <x:c r="G164" s="11" t="str">
        <x:v>Hán Hàn + ngoại lai khác</x:v>
      </x:c>
      <x:c r="H164" s="11" t="str">
        <x:v>B — Phân tích tạm</x:v>
      </x:c>
      <x:c r="I164" s="11" t="str">
        <x:f>IF(AND(LEFT(E164,1)="A",LEFT(H164,1)="A"),"A/A — Có chứng cứ hai phía",IF(OR(LEFT(E164,1)="C",LEFT(H164,1)="C"),"C — Còn điểm chưa chốt",IF(AND(OR(LEFT(E164,1)="A",LEFT(E164,1)="B"),OR(LEFT(H164,1)="A",LEFT(H164,1)="B")),"B — Cần bổ sung chứng cứ","Kiểm tra mức chứng cứ")))</x:f>
        <x:v>C — Còn điểm chưa chốt</x:v>
      </x:c>
      <x:c r="J164" s="11" t="str">
        <x:v>Có chứng cứ cho thành tố</x:v>
      </x:c>
      <x:c r="K164" s="11" t="str">
        <x:v>Công ước [HV 公約]
Liên hợp quốc [HV 聯合國 *]
về [?]
Luật [HV 律 *]
Biển [TV]</x:v>
      </x:c>
      <x:c r="L164" s="11" t="str">
        <x:v>1982 [SỐ]
년 [HH 年 *]
유엔 [NL]
해양법협약 [HH 海洋法協約 *]
UNCLOS [VT]</x:v>
      </x:c>
      <x:c r="M164" s="11" t="str">
        <x:v>Đã tách thành tố nhưng còn điểm từ nguyên/nghĩa chưa đủ bằng chứng; chưa đưa vào danh sách đã chốt.
Về là giới từ ở cụm này; chứng cứ về động từ về (trở lại) không tự động xác nhận lịch sử giới từ. Chưa chốt lớp của về.</x:v>
      </x:c>
      <x:c r="N16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1982 và UNCLOS là dữ liệu năm/chữ viết tắt trong nguyên chuỗi. 유엔 là ngoại lai; 해양법협약 được phân tích Hán Hàn.</x:v>
      </x:c>
      <x:c r="O164" s="11" t="str">
        <x:v>Hán Hàn + ngoại lai khác</x:v>
      </x:c>
      <x:c r="P164" s="11" t="str">
        <x:v>Hàn: 유엔
Hàn: UNCLOS
Hàn: 1982
Hàn: UNCLOS</x:v>
      </x:c>
      <x:c r="Q164" s="37" t="str">
        <x:v>ET157 (dòng 1032)
ET158 (dòng 1033)
ET043 (dòng 918)</x:v>
      </x:c>
      <x:c r="R164" s="37" t="str">
        <x:v>ET257 (dòng 1132)
ET292 (dòng 1167)
ET267 (dòng 1142)</x:v>
      </x:c>
      <x:c r="S164" s="11" t="str"/>
      <x:c r="T164" s="11" t="str">
        <x:v>Xác nhận — cùng biểu thức Anh</x:v>
      </x:c>
      <x:c r="U164" s="11" t="str">
        <x:v>N5 — Văn bản</x:v>
      </x:c>
    </x:row>
    <x:row r="165" ht="85.5" customHeight="1">
      <x:c r="A165" s="14" t="n">
        <x:v>160</x:v>
      </x:c>
      <x:c r="B165" s="11" t="str">
        <x:v>T054</x:v>
      </x:c>
      <x:c r="C165" s="11" t="str">
        <x:v>cương lĩnh</x:v>
      </x:c>
      <x:c r="D165" s="11" t="str">
        <x:v>Hán Việt</x:v>
      </x:c>
      <x:c r="E165" s="11" t="str">
        <x:v>A — Có chứng cứ thành tố</x:v>
      </x:c>
      <x:c r="F165" s="11" t="str">
        <x:v>강령</x:v>
      </x:c>
      <x:c r="G165" s="11" t="str">
        <x:v>Hán Hàn</x:v>
      </x:c>
      <x:c r="H165" s="11" t="str">
        <x:v>A — Có chứng cứ thành tố</x:v>
      </x:c>
      <x:c r="I165" s="11" t="str">
        <x:f>IF(AND(LEFT(E165,1)="A",LEFT(H165,1)="A"),"A/A — Có chứng cứ hai phía",IF(OR(LEFT(E165,1)="C",LEFT(H165,1)="C"),"C — Còn điểm chưa chốt",IF(AND(OR(LEFT(E165,1)="A",LEFT(E165,1)="B"),OR(LEFT(H165,1)="A",LEFT(H165,1)="B")),"B — Cần bổ sung chứng cứ","Kiểm tra mức chứng cứ")))</x:f>
        <x:v>A/A — Có chứng cứ hai phía</x:v>
      </x:c>
      <x:c r="J165" s="11" t="str">
        <x:v>Có chứng cứ cho thành tố</x:v>
      </x:c>
      <x:c r="K165" s="11" t="str">
        <x:v>cương lĩnh [HV 綱領]</x:v>
      </x:c>
      <x:c r="L165" s="11" t="str">
        <x:v>강령 [HH 綱領]</x:v>
      </x:c>
      <x:c r="M165" s="11" t="str">
        <x:v>Đã đối chiếu nguồn cho các thành tố Hán Việt cấu thành; nhãn toàn cụm là tổng hợp phân tích.</x:v>
      </x:c>
      <x:c r="N165" s="11" t="str">
        <x:v>Đã tìm thấy nguồn mục từ/thành tố ghi nguyên dạng hoặc lớp từ cho toàn bộ thành tố quyết định kết luận.</x:v>
      </x:c>
      <x:c r="O165" s="11" t="str">
        <x:v>Hán Hàn</x:v>
      </x:c>
      <x:c r="P165" s="11" t="str"/>
      <x:c r="Q165" s="37" t="str">
        <x:v>ET159 (dòng 1034)</x:v>
      </x:c>
      <x:c r="R165" s="37" t="str">
        <x:v>ET295 (dòng 1170)</x:v>
      </x:c>
      <x:c r="S165" s="11" t="str"/>
      <x:c r="T165" s="11" t="str">
        <x:v>Ứng viên — còn thiếu chứng cứ</x:v>
      </x:c>
      <x:c r="U165" s="11" t="str">
        <x:v>N5 — Văn bản</x:v>
      </x:c>
    </x:row>
    <x:row r="166" ht="100.5" customHeight="1">
      <x:c r="A166" s="14" t="n">
        <x:v>161</x:v>
      </x:c>
      <x:c r="B166" s="11" t="str">
        <x:v>T058</x:v>
      </x:c>
      <x:c r="C166" s="11" t="str">
        <x:v>Điều lệ Đảng</x:v>
      </x:c>
      <x:c r="D166" s="11" t="str">
        <x:v>Hán Việt</x:v>
      </x:c>
      <x:c r="E166" s="11" t="str">
        <x:v>A — Có chứng cứ thành tố</x:v>
      </x:c>
      <x:c r="F166" s="11" t="str">
        <x:v>당 규약</x:v>
      </x:c>
      <x:c r="G166" s="11" t="str">
        <x:v>Hán Hàn</x:v>
      </x:c>
      <x:c r="H166" s="11" t="str">
        <x:v>B — Phân tích tạm</x:v>
      </x:c>
      <x:c r="I166" s="11" t="str">
        <x:f>IF(AND(LEFT(E166,1)="A",LEFT(H166,1)="A"),"A/A — Có chứng cứ hai phía",IF(OR(LEFT(E166,1)="C",LEFT(H166,1)="C"),"C — Còn điểm chưa chốt",IF(AND(OR(LEFT(E166,1)="A",LEFT(E166,1)="B"),OR(LEFT(H166,1)="A",LEFT(H166,1)="B")),"B — Cần bổ sung chứng cứ","Kiểm tra mức chứng cứ")))</x:f>
        <x:v>B — Cần bổ sung chứng cứ</x:v>
      </x:c>
      <x:c r="J166" s="11" t="str">
        <x:v>Có chứng cứ cho thành tố</x:v>
      </x:c>
      <x:c r="K166" s="11" t="str">
        <x:v>Điều lệ [HV 條例]
Đảng [HV 黨]</x:v>
      </x:c>
      <x:c r="L166" s="11" t="str">
        <x:v>당 [HH 黨]
규약 [HH 規約 *]</x:v>
      </x:c>
      <x:c r="M166" s="11" t="str">
        <x:v>Đã đối chiếu nguồn cho các thành tố Hán Việt cấu thành; nhãn toàn cụm là tổng hợp phân tích.</x:v>
      </x:c>
      <x:c r="N16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6" s="11" t="str">
        <x:v>Hán Hàn</x:v>
      </x:c>
      <x:c r="P166" s="11" t="str"/>
      <x:c r="Q166" s="37" t="str">
        <x:v>ET160 (dòng 1035)
ET003 (dòng 878)</x:v>
      </x:c>
      <x:c r="R166" s="37" t="str">
        <x:v>ET238 (dòng 1113)
ET239 (dòng 1114)</x:v>
      </x:c>
      <x:c r="S166" s="11" t="str"/>
      <x:c r="T166" s="11" t="str">
        <x:v>Ứng viên — còn thiếu chứng cứ</x:v>
      </x:c>
      <x:c r="U166" s="11" t="str">
        <x:v>N5 — Văn bản</x:v>
      </x:c>
    </x:row>
    <x:row r="167" ht="100.5" customHeight="1">
      <x:c r="A167" s="14" t="n">
        <x:v>162</x:v>
      </x:c>
      <x:c r="B167" s="11" t="str">
        <x:v>T152</x:v>
      </x:c>
      <x:c r="C167" s="11" t="str">
        <x:v>Hiến chương Liên hợp quốc</x:v>
      </x:c>
      <x:c r="D167" s="11" t="str">
        <x:v>Hán Việt</x:v>
      </x:c>
      <x:c r="E167" s="11" t="str">
        <x:v>B — Phân tích tạm</x:v>
      </x:c>
      <x:c r="F167" s="11" t="str">
        <x:v>유엔 헌장</x:v>
      </x:c>
      <x:c r="G167" s="11" t="str">
        <x:v>Hán Hàn + ngoại lai khác</x:v>
      </x:c>
      <x:c r="H167" s="11" t="str">
        <x:v>B — Phân tích tạm</x:v>
      </x:c>
      <x:c r="I167" s="11" t="str">
        <x:f>IF(AND(LEFT(E167,1)="A",LEFT(H167,1)="A"),"A/A — Có chứng cứ hai phía",IF(OR(LEFT(E167,1)="C",LEFT(H167,1)="C"),"C — Còn điểm chưa chốt",IF(AND(OR(LEFT(E167,1)="A",LEFT(E167,1)="B"),OR(LEFT(H167,1)="A",LEFT(H167,1)="B")),"B — Cần bổ sung chứng cứ","Kiểm tra mức chứng cứ")))</x:f>
        <x:v>B — Cần bổ sung chứng cứ</x:v>
      </x:c>
      <x:c r="J167" s="11" t="str">
        <x:v>Có chứng cứ cho thành tố</x:v>
      </x:c>
      <x:c r="K167" s="11" t="str">
        <x:v>Hiến chương [HV 憲章]
Liên hợp quốc [HV 聯合國 *]</x:v>
      </x:c>
      <x:c r="L167" s="11" t="str">
        <x:v>유엔 [NL]
헌장 [HH 憲章 *]</x:v>
      </x:c>
      <x:c r="M167" s="11" t="str">
        <x:v>Phân tích cấu tạo của người rà soát; nguồn đã kiểm tra chỉ xác nhận các thành tố được gắn mã nguồn, không phải mọi thành tố.</x:v>
      </x:c>
      <x:c r="N16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7" s="11" t="str">
        <x:v>Hán Hàn + ngoại lai khác</x:v>
      </x:c>
      <x:c r="P167" s="11" t="str">
        <x:v>Hàn: 유엔</x:v>
      </x:c>
      <x:c r="Q167" s="37" t="str">
        <x:v>ET161 (dòng 1036)</x:v>
      </x:c>
      <x:c r="R167" s="37" t="str">
        <x:v>ET257 (dòng 1132)</x:v>
      </x:c>
      <x:c r="S167" s="11" t="str"/>
      <x:c r="T167" s="11" t="str">
        <x:v>Ứng viên — còn thiếu chứng cứ</x:v>
      </x:c>
      <x:c r="U167" s="11" t="str">
        <x:v>N5 — Văn bản</x:v>
      </x:c>
    </x:row>
    <x:row r="168" ht="85.5" customHeight="1">
      <x:c r="A168" s="14" t="n">
        <x:v>163</x:v>
      </x:c>
      <x:c r="B168" s="11" t="str">
        <x:v>T044</x:v>
      </x:c>
      <x:c r="C168" s="11" t="str">
        <x:v>Hiến pháp</x:v>
      </x:c>
      <x:c r="D168" s="11" t="str">
        <x:v>Hán Việt</x:v>
      </x:c>
      <x:c r="E168" s="11" t="str">
        <x:v>A — Có chứng cứ thành tố</x:v>
      </x:c>
      <x:c r="F168" s="11" t="str">
        <x:v>헌법</x:v>
      </x:c>
      <x:c r="G168" s="11" t="str">
        <x:v>Hán Hàn</x:v>
      </x:c>
      <x:c r="H168" s="11" t="str">
        <x:v>A — Có chứng cứ thành tố</x:v>
      </x:c>
      <x:c r="I168" s="11" t="str">
        <x:f>IF(AND(LEFT(E168,1)="A",LEFT(H168,1)="A"),"A/A — Có chứng cứ hai phía",IF(OR(LEFT(E168,1)="C",LEFT(H168,1)="C"),"C — Còn điểm chưa chốt",IF(AND(OR(LEFT(E168,1)="A",LEFT(E168,1)="B"),OR(LEFT(H168,1)="A",LEFT(H168,1)="B")),"B — Cần bổ sung chứng cứ","Kiểm tra mức chứng cứ")))</x:f>
        <x:v>A/A — Có chứng cứ hai phía</x:v>
      </x:c>
      <x:c r="J168" s="11" t="str">
        <x:v>Có chứng cứ cho thành tố</x:v>
      </x:c>
      <x:c r="K168" s="11" t="str">
        <x:v>Hiến pháp [HV 憲法]</x:v>
      </x:c>
      <x:c r="L168" s="11" t="str">
        <x:v>헌법 [HH 憲法]</x:v>
      </x:c>
      <x:c r="M168" s="11" t="str">
        <x:v>Đã đối chiếu nguồn cho các thành tố Hán Việt cấu thành; nhãn toàn cụm là tổng hợp phân tích.</x:v>
      </x:c>
      <x:c r="N168" s="11" t="str">
        <x:v>Đã tìm thấy nguồn mục từ/thành tố ghi nguyên dạng hoặc lớp từ cho toàn bộ thành tố quyết định kết luận.</x:v>
      </x:c>
      <x:c r="O168" s="11" t="str">
        <x:v>Hán Hàn</x:v>
      </x:c>
      <x:c r="P168" s="11" t="str"/>
      <x:c r="Q168" s="37" t="str">
        <x:v>ET162 (dòng 1037)</x:v>
      </x:c>
      <x:c r="R168" s="37" t="str">
        <x:v>ET261 (dòng 1136)</x:v>
      </x:c>
      <x:c r="S168" s="11" t="str"/>
      <x:c r="T168" s="11" t="str">
        <x:v>Xác nhận — cùng biểu thức Anh</x:v>
      </x:c>
      <x:c r="U168" s="11" t="str">
        <x:v>N5 — Văn bản</x:v>
      </x:c>
    </x:row>
    <x:row r="169" ht="115.5" customHeight="1">
      <x:c r="A169" s="14" t="n">
        <x:v>164</x:v>
      </x:c>
      <x:c r="B169" s="11" t="str">
        <x:v>M018</x:v>
      </x:c>
      <x:c r="C169" s="11" t="str">
        <x:v>Kế hoạch hành động ASEAN–Hàn Quốc</x:v>
      </x:c>
      <x:c r="D169" s="11" t="str">
        <x:v>Hán Việt + ngoại lai khác</x:v>
      </x:c>
      <x:c r="E169" s="11" t="str">
        <x:v>B — Phân tích tạm</x:v>
      </x:c>
      <x:c r="F169" s="11" t="str">
        <x:v>한-아세안 행동계획</x:v>
      </x:c>
      <x:c r="G169" s="11" t="str">
        <x:v>Hán Hàn + ngoại lai khác</x:v>
      </x:c>
      <x:c r="H169" s="11" t="str">
        <x:v>B — Phân tích tạm</x:v>
      </x:c>
      <x:c r="I169" s="11" t="str">
        <x:f>IF(AND(LEFT(E169,1)="A",LEFT(H169,1)="A"),"A/A — Có chứng cứ hai phía",IF(OR(LEFT(E169,1)="C",LEFT(H169,1)="C"),"C — Còn điểm chưa chốt",IF(AND(OR(LEFT(E169,1)="A",LEFT(E169,1)="B"),OR(LEFT(H169,1)="A",LEFT(H169,1)="B")),"B — Cần bổ sung chứng cứ","Kiểm tra mức chứng cứ")))</x:f>
        <x:v>B — Cần bổ sung chứng cứ</x:v>
      </x:c>
      <x:c r="J169" s="11" t="str">
        <x:v>Có chứng cứ cho thành tố</x:v>
      </x:c>
      <x:c r="K169" s="11" t="str">
        <x:v>Kế hoạch [HV 計劃]
hành động [HV 行動]
ASEAN [VT]
Hàn Quốc [HV 韓國]</x:v>
      </x:c>
      <x:c r="L169" s="11" t="str">
        <x:v>한 [HH 韓 *]
아세안 [NL]
행동계획 [HH 行動計劃 *]</x:v>
      </x:c>
      <x:c r="M169" s="11" t="str">
        <x:v>Phân tích cấu tạo của người rà soát; nguồn đã kiểm tra chỉ xác nhận các thành tố được gắn mã nguồn, không phải mọi thành tố.</x:v>
      </x:c>
      <x:c r="N16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69" s="11" t="str">
        <x:v>Hán Hàn + ngoại lai khác</x:v>
      </x:c>
      <x:c r="P169" s="11" t="str">
        <x:v>Việt: ASEAN — viết tắt tên tổ chức nước ngoài
Việt: Hàn Quốc — tên quốc gia, dạng Hán Việt 韓國
Hàn: 한
Hàn: 아세안
Việt: ASEAN</x:v>
      </x:c>
      <x:c r="Q169" s="37" t="str">
        <x:v>ET163 (dòng 1038)
ET164 (dòng 1039)
ET029 (dòng 904)</x:v>
      </x:c>
      <x:c r="R169" s="37" t="str">
        <x:v>ET280 (dòng 1155)</x:v>
      </x:c>
      <x:c r="S169" s="11" t="str"/>
      <x:c r="T169" s="11" t="str">
        <x:v>Ứng viên — còn thiếu chứng cứ</x:v>
      </x:c>
      <x:c r="U169" s="11" t="str">
        <x:v>N5 — Văn bản</x:v>
      </x:c>
    </x:row>
    <x:row r="170" ht="100.5" customHeight="1">
      <x:c r="A170" s="14" t="n">
        <x:v>165</x:v>
      </x:c>
      <x:c r="B170" s="11" t="str">
        <x:v>T015</x:v>
      </x:c>
      <x:c r="C170" s="11" t="str">
        <x:v>nghị quyết</x:v>
      </x:c>
      <x:c r="D170" s="11" t="str">
        <x:v>Hán Việt</x:v>
      </x:c>
      <x:c r="E170" s="11" t="str">
        <x:v>A — Có chứng cứ thành tố</x:v>
      </x:c>
      <x:c r="F170" s="11" t="str">
        <x:v>결의안</x:v>
      </x:c>
      <x:c r="G170" s="11" t="str">
        <x:v>Hán Hàn</x:v>
      </x:c>
      <x:c r="H170" s="11" t="str">
        <x:v>B — Phân tích tạm</x:v>
      </x:c>
      <x:c r="I170" s="11" t="str">
        <x:f>IF(AND(LEFT(E170,1)="A",LEFT(H170,1)="A"),"A/A — Có chứng cứ hai phía",IF(OR(LEFT(E170,1)="C",LEFT(H170,1)="C"),"C — Còn điểm chưa chốt",IF(AND(OR(LEFT(E170,1)="A",LEFT(E170,1)="B"),OR(LEFT(H170,1)="A",LEFT(H170,1)="B")),"B — Cần bổ sung chứng cứ","Kiểm tra mức chứng cứ")))</x:f>
        <x:v>B — Cần bổ sung chứng cứ</x:v>
      </x:c>
      <x:c r="J170" s="11" t="str">
        <x:v>Có chứng cứ cho thành tố</x:v>
      </x:c>
      <x:c r="K170" s="11" t="str">
        <x:v>nghị [HV 議]
quyết [HV 決]</x:v>
      </x:c>
      <x:c r="L170" s="11" t="str">
        <x:v>결의안 [HH 決議案 *]</x:v>
      </x:c>
      <x:c r="M170" s="11" t="str">
        <x:v>Đã đối chiếu nguồn cho các thành tố Hán Việt cấu thành; nhãn toàn cụm là tổng hợp phân tích.</x:v>
      </x:c>
      <x:c r="N170"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70" s="11" t="str">
        <x:v>Hán Hàn</x:v>
      </x:c>
      <x:c r="P170" s="11" t="str"/>
      <x:c r="Q170" s="37" t="str">
        <x:v>ET165 (dòng 1040)
ET166 (dòng 1041)</x:v>
      </x:c>
      <x:c r="R170" s="37" t="str">
        <x:v>Chưa có nguồn từ nguyên cụ thể trong lượt này</x:v>
      </x:c>
      <x:c r="S170" s="11" t="str"/>
      <x:c r="T170" s="11" t="str">
        <x:v>Ứng viên — còn thiếu chứng cứ</x:v>
      </x:c>
      <x:c r="U170" s="11" t="str">
        <x:v>N5 — Văn bản</x:v>
      </x:c>
    </x:row>
    <x:row r="171" ht="175.5" customHeight="1">
      <x:c r="A171" s="14" t="n">
        <x:v>166</x:v>
      </x:c>
      <x:c r="B171" s="11" t="str">
        <x:v>M007</x:v>
      </x:c>
      <x:c r="C171" s="11" t="str">
        <x:v>Tầm nhìn ASEAN về Ấn Độ Dương–Thái Bình Dương</x:v>
      </x:c>
      <x:c r="D171" s="11" t="str">
        <x:v>Chưa chốt</x:v>
      </x:c>
      <x:c r="E171" s="11" t="str">
        <x:v>C — Chưa chốt từ nguyên</x:v>
      </x:c>
      <x:c r="F171" s="11" t="str">
        <x:v>인도-태평양에 대한 아세안 관점</x:v>
      </x:c>
      <x:c r="G171" s="11" t="str">
        <x:v>Hán Hàn + ngữ pháp thuần Hàn + ngoại lai khác</x:v>
      </x:c>
      <x:c r="H171" s="11" t="str">
        <x:v>B — Phân tích tạm</x:v>
      </x:c>
      <x:c r="I171" s="11" t="str">
        <x:f>IF(AND(LEFT(E171,1)="A",LEFT(H171,1)="A"),"A/A — Có chứng cứ hai phía",IF(OR(LEFT(E171,1)="C",LEFT(H171,1)="C"),"C — Còn điểm chưa chốt",IF(AND(OR(LEFT(E171,1)="A",LEFT(E171,1)="B"),OR(LEFT(H171,1)="A",LEFT(H171,1)="B")),"B — Cần bổ sung chứng cứ","Kiểm tra mức chứng cứ")))</x:f>
        <x:v>C — Còn điểm chưa chốt</x:v>
      </x:c>
      <x:c r="J171" s="11" t="str">
        <x:v>Có chứng cứ cho thành tố</x:v>
      </x:c>
      <x:c r="K171" s="11" t="str">
        <x:v>Tầm [HV 尋]
nhìn [TV]
ASEAN [VT]
về [?]
Ấn Độ Dương [HV 印度洋]
Thái Bình Dương [HV 太平洋]</x:v>
      </x:c>
      <x:c r="L171" s="11" t="str">
        <x:v>인도 [HH 印度 *]
태평양 [HH 太平洋 *]
에 [NP]
대 [HH 對]
한 [NP]
아세안 [NL]
관점 [HH 觀點 *]</x:v>
      </x:c>
      <x:c r="M171" s="11" t="str">
        <x:v>Đã tách thành tố nhưng còn điểm từ nguyên/nghĩa chưa đủ bằng chứng; chưa đưa vào danh sách đã chốt.
Tầm 尋 là yếu tố Hán Việt (nghĩa mức đạt tới); nhìn là từ Việt. ASEAN là viết tắt. Ấn Độ Dương/Thái Bình Dương là tên riêng dạng Hán Việt. Giới từ về cần khảo sát riêng.</x:v>
      </x:c>
      <x:c r="N17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대한 ở đây là 對하- + -ㄴ (về/đối với), không phải 大韓 như 대한민국; 한 trong kết cấu này là hình thái ngữ pháp.</x:v>
      </x:c>
      <x:c r="O171" s="11" t="str">
        <x:v>Hán Hàn + ngoại lai khác</x:v>
      </x:c>
      <x:c r="P171" s="11" t="str">
        <x:v>Việt: ASEAN — viết tắt tên tổ chức nước ngoài
Việt: Ấn Độ Dương — tên địa lý, dạng Hán Việt 印度洋
Việt: Thái Bình Dương — tên địa lý, dạng Hán Việt 太平洋
Hàn: 인도
Hàn: 태평양
Hàn: 한
Hàn: 아세안
Việt: ASEAN</x:v>
      </x:c>
      <x:c r="Q171" s="37" t="str">
        <x:v>ET167 (dòng 1042)
ET168 (dòng 1043)
ET158 (dòng 1033)
ET169 (dòng 1044)
ET170 (dòng 1045)</x:v>
      </x:c>
      <x:c r="R171" s="37" t="str">
        <x:v>ET275 (dòng 1150)
ET285 (dòng 1160)
ET280 (dòng 1155)
ET286 (dòng 1161)</x:v>
      </x:c>
      <x:c r="S171" s="11" t="str"/>
      <x:c r="T171" s="11" t="str">
        <x:v>Xác nhận — cùng biểu thức Anh</x:v>
      </x:c>
      <x:c r="U171" s="11" t="str">
        <x:v>N5 — Văn bản</x:v>
      </x:c>
    </x:row>
    <x:row r="172" ht="115.5" customHeight="1">
      <x:c r="A172" s="14" t="n">
        <x:v>167</x:v>
      </x:c>
      <x:c r="B172" s="11" t="str">
        <x:v>T039</x:v>
      </x:c>
      <x:c r="C172" s="11" t="str">
        <x:v>Văn kiện Đại hội</x:v>
      </x:c>
      <x:c r="D172" s="11" t="str">
        <x:v>Hán Việt</x:v>
      </x:c>
      <x:c r="E172" s="11" t="str">
        <x:v>A — Có chứng cứ thành tố</x:v>
      </x:c>
      <x:c r="F172" s="11" t="str">
        <x:v>제14차 전국당대회 문건</x:v>
      </x:c>
      <x:c r="G172" s="11" t="str">
        <x:v>Hán Hàn</x:v>
      </x:c>
      <x:c r="H172" s="11" t="str">
        <x:v>B — Phân tích tạm</x:v>
      </x:c>
      <x:c r="I172" s="11" t="str">
        <x:f>IF(AND(LEFT(E172,1)="A",LEFT(H172,1)="A"),"A/A — Có chứng cứ hai phía",IF(OR(LEFT(E172,1)="C",LEFT(H172,1)="C"),"C — Còn điểm chưa chốt",IF(AND(OR(LEFT(E172,1)="A",LEFT(E172,1)="B"),OR(LEFT(H172,1)="A",LEFT(H172,1)="B")),"B — Cần bổ sung chứng cứ","Kiểm tra mức chứng cứ")))</x:f>
        <x:v>B — Cần bổ sung chứng cứ</x:v>
      </x:c>
      <x:c r="J172" s="11" t="str">
        <x:v>Có chứng cứ cho thành tố</x:v>
      </x:c>
      <x:c r="K172" s="11" t="str">
        <x:v>Văn kiện [HV 文件]
Đại hội [HV 大會]</x:v>
      </x:c>
      <x:c r="L172" s="11" t="str">
        <x:v>제 [HH 第 *]
14 [SỐ]
차 [HH 次 *]
전국당대회 [HH 全國黨大會 *]
문건 [HH 文件 *]</x:v>
      </x:c>
      <x:c r="M172" s="11" t="str">
        <x:v>Đã đối chiếu nguồn cho các thành tố Hán Việt cấu thành; nhãn toàn cụm là tổng hợp phân tích.</x:v>
      </x:c>
      <x:c r="N17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제14차 chứa chữ số14, còn 제 第 và 차 次 gốc Hán. Số không làm lõi từ vựng thành hỗn hợp.</x:v>
      </x:c>
      <x:c r="O172" s="11" t="str">
        <x:v>Hán Hàn</x:v>
      </x:c>
      <x:c r="P172" s="11" t="str">
        <x:v>Hàn: 14</x:v>
      </x:c>
      <x:c r="Q172" s="37" t="str">
        <x:v>ET171 (dòng 1046)
ET048 (dòng 923)</x:v>
      </x:c>
      <x:c r="R172" s="37" t="str">
        <x:v>ET239 (dòng 1114)
ET238 (dòng 1113)</x:v>
      </x:c>
      <x:c r="S172" s="11" t="str"/>
      <x:c r="T172" s="11" t="str">
        <x:v>Ứng viên — còn thiếu chứng cứ</x:v>
      </x:c>
      <x:c r="U172" s="11" t="str">
        <x:v>N5 — Văn bản</x:v>
      </x:c>
    </x:row>
    <x:row r="173" ht="85.5" customHeight="1">
      <x:c r="A173" s="14" t="n">
        <x:v>168</x:v>
      </x:c>
      <x:c r="B173" s="11" t="str">
        <x:v>C001</x:v>
      </x:c>
      <x:c r="C173" s="11" t="str">
        <x:v>nhà ngoại giao</x:v>
      </x:c>
      <x:c r="D173" s="11" t="str">
        <x:v>Hán Việt + thuần Việt</x:v>
      </x:c>
      <x:c r="E173" s="11" t="str">
        <x:v>B — Phân tích tạm</x:v>
      </x:c>
      <x:c r="F173" s="11" t="str">
        <x:v>외교관</x:v>
      </x:c>
      <x:c r="G173" s="11" t="str">
        <x:v>Hán Hàn</x:v>
      </x:c>
      <x:c r="H173" s="11" t="str">
        <x:v>A — Có chứng cứ thành tố</x:v>
      </x:c>
      <x:c r="I173" s="11" t="str">
        <x:f>IF(AND(LEFT(E173,1)="A",LEFT(H173,1)="A"),"A/A — Có chứng cứ hai phía",IF(OR(LEFT(E173,1)="C",LEFT(H173,1)="C"),"C — Còn điểm chưa chốt",IF(AND(OR(LEFT(E173,1)="A",LEFT(E173,1)="B"),OR(LEFT(H173,1)="A",LEFT(H173,1)="B")),"B — Cần bổ sung chứng cứ","Kiểm tra mức chứng cứ")))</x:f>
        <x:v>B — Cần bổ sung chứng cứ</x:v>
      </x:c>
      <x:c r="J173" s="11" t="str">
        <x:v>Có chứng cứ cho thành tố</x:v>
      </x:c>
      <x:c r="K173" s="11" t="str">
        <x:v>nhà [TV]
ngoại giao [HV 外交]</x:v>
      </x:c>
      <x:c r="L173" s="11" t="str">
        <x:v>외교관 [HH 外交官]</x:v>
      </x:c>
      <x:c r="M173" s="11" t="str">
        <x:v>Phân tích cấu tạo của người rà soát; nguồn đã kiểm tra chỉ xác nhận các thành tố được gắn mã nguồn, không phải mọi thành tố.</x:v>
      </x:c>
      <x:c r="N173" s="11" t="str">
        <x:v>Đã tìm thấy nguồn mục từ/thành tố ghi nguyên dạng hoặc lớp từ cho toàn bộ thành tố quyết định kết luận.</x:v>
      </x:c>
      <x:c r="O173" s="11" t="str">
        <x:v>Hán Hàn</x:v>
      </x:c>
      <x:c r="P173" s="11" t="str"/>
      <x:c r="Q173" s="37" t="str">
        <x:v>ET040 (dòng 915)
ET007 (dòng 882)</x:v>
      </x:c>
      <x:c r="R173" s="37" t="str">
        <x:v>ET296 (dòng 1171)</x:v>
      </x:c>
      <x:c r="S173" s="11" t="str"/>
      <x:c r="T173" s="11" t="str">
        <x:v>Xác nhận — cùng biểu thức Anh</x:v>
      </x:c>
      <x:c r="U173" s="11" t="str">
        <x:v>N1 — Cá nhân</x:v>
      </x:c>
    </x:row>
    <x:row r="174" ht="100.5" customHeight="1">
      <x:c r="A174" s="14" t="n">
        <x:v>169</x:v>
      </x:c>
      <x:c r="B174" s="11" t="str">
        <x:v>C002</x:v>
      </x:c>
      <x:c r="C174" s="11" t="str">
        <x:v>đặc phái viên</x:v>
      </x:c>
      <x:c r="D174" s="11" t="str">
        <x:v>Hán Việt</x:v>
      </x:c>
      <x:c r="E174" s="11" t="str">
        <x:v>B — Phân tích tạm</x:v>
      </x:c>
      <x:c r="F174" s="11" t="str">
        <x:v>특사</x:v>
      </x:c>
      <x:c r="G174" s="11" t="str">
        <x:v>Hán Hàn</x:v>
      </x:c>
      <x:c r="H174" s="11" t="str">
        <x:v>B — Phân tích tạm</x:v>
      </x:c>
      <x:c r="I174" s="11" t="str">
        <x:f>IF(AND(LEFT(E174,1)="A",LEFT(H174,1)="A"),"A/A — Có chứng cứ hai phía",IF(OR(LEFT(E174,1)="C",LEFT(H174,1)="C"),"C — Còn điểm chưa chốt",IF(AND(OR(LEFT(E174,1)="A",LEFT(E174,1)="B"),OR(LEFT(H174,1)="A",LEFT(H174,1)="B")),"B — Cần bổ sung chứng cứ","Kiểm tra mức chứng cứ")))</x:f>
        <x:v>B — Cần bổ sung chứng cứ</x:v>
      </x:c>
      <x:c r="J174" s="11" t="str">
        <x:v>Có chứng cứ cho thành tố</x:v>
      </x:c>
      <x:c r="K174" s="11" t="str">
        <x:v>đặc phái [HV 特派]
viên [HV 員 *]</x:v>
      </x:c>
      <x:c r="L174" s="11" t="str">
        <x:v>특사 [HH 特使 *]</x:v>
      </x:c>
      <x:c r="M174" s="11" t="str">
        <x:v>Phân tích cấu tạo của người rà soát; nguồn đã kiểm tra chỉ xác nhận các thành tố được gắn mã nguồn, không phải mọi thành tố.</x:v>
      </x:c>
      <x:c r="N17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74" s="11" t="str">
        <x:v>Hán Hàn</x:v>
      </x:c>
      <x:c r="P174" s="11" t="str"/>
      <x:c r="Q174" s="37" t="str">
        <x:v>ET172 (dòng 1047)</x:v>
      </x:c>
      <x:c r="R174" s="37" t="str">
        <x:v>Chưa có nguồn từ nguyên cụ thể trong lượt này</x:v>
      </x:c>
      <x:c r="S174" s="11" t="str"/>
      <x:c r="T174" s="11" t="str">
        <x:v>Ứng viên — còn thiếu chứng cứ</x:v>
      </x:c>
      <x:c r="U174" s="11" t="str">
        <x:v>N1 — Cá nhân</x:v>
      </x:c>
    </x:row>
    <x:row r="175" ht="100.5" customHeight="1">
      <x:c r="A175" s="14" t="n">
        <x:v>170</x:v>
      </x:c>
      <x:c r="B175" s="11" t="str">
        <x:v>C003</x:v>
      </x:c>
      <x:c r="C175" s="11" t="str">
        <x:v>Tổng lãnh sự</x:v>
      </x:c>
      <x:c r="D175" s="11" t="str">
        <x:v>Hán Việt</x:v>
      </x:c>
      <x:c r="E175" s="11" t="str">
        <x:v>A — Có chứng cứ thành tố</x:v>
      </x:c>
      <x:c r="F175" s="11" t="str">
        <x:v>총영사</x:v>
      </x:c>
      <x:c r="G175" s="11" t="str">
        <x:v>Hán Hàn</x:v>
      </x:c>
      <x:c r="H175" s="11" t="str">
        <x:v>B — Phân tích tạm</x:v>
      </x:c>
      <x:c r="I175" s="11" t="str">
        <x:f>IF(AND(LEFT(E175,1)="A",LEFT(H175,1)="A"),"A/A — Có chứng cứ hai phía",IF(OR(LEFT(E175,1)="C",LEFT(H175,1)="C"),"C — Còn điểm chưa chốt",IF(AND(OR(LEFT(E175,1)="A",LEFT(E175,1)="B"),OR(LEFT(H175,1)="A",LEFT(H175,1)="B")),"B — Cần bổ sung chứng cứ","Kiểm tra mức chứng cứ")))</x:f>
        <x:v>B — Cần bổ sung chứng cứ</x:v>
      </x:c>
      <x:c r="J175" s="11" t="str">
        <x:v>Có chứng cứ cho thành tố</x:v>
      </x:c>
      <x:c r="K175" s="11" t="str">
        <x:v>Tổng [HV 總]
lãnh sự [HV 領事]</x:v>
      </x:c>
      <x:c r="L175" s="11" t="str">
        <x:v>총영사 [HH 總領事 *]</x:v>
      </x:c>
      <x:c r="M175" s="11" t="str">
        <x:v>Đã đối chiếu nguồn cho các thành tố Hán Việt cấu thành; nhãn toàn cụm là tổng hợp phân tích.
Lãnh/lĩnh là hai âm Hán Việt của 領. Mục 領 trong từ điển Trần Văn Chánh ghi rõ lãnh sự 領事 và tổng lãnh sự 總領事.</x:v>
      </x:c>
      <x:c r="N175"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75" s="11" t="str">
        <x:v>Hán Hàn</x:v>
      </x:c>
      <x:c r="P175" s="11" t="str"/>
      <x:c r="Q175" s="37" t="str">
        <x:v>ET031 (dòng 906)
ET173 (dòng 1048)
ET174 (dòng 1049)</x:v>
      </x:c>
      <x:c r="R175" s="37" t="str">
        <x:v>Chưa có nguồn từ nguyên cụ thể trong lượt này</x:v>
      </x:c>
      <x:c r="S175" s="11" t="str"/>
      <x:c r="T175" s="11" t="str">
        <x:v>Xác nhận — cùng biểu thức Anh</x:v>
      </x:c>
      <x:c r="U175" s="11" t="str">
        <x:v>N1 — Cá nhân</x:v>
      </x:c>
    </x:row>
    <x:row r="176" ht="100.5" customHeight="1">
      <x:c r="A176" s="14" t="n">
        <x:v>171</x:v>
      </x:c>
      <x:c r="B176" s="11" t="str">
        <x:v>C004</x:v>
      </x:c>
      <x:c r="C176" s="11" t="str">
        <x:v>Lãnh sự danh dự</x:v>
      </x:c>
      <x:c r="D176" s="11" t="str">
        <x:v>Hán Việt</x:v>
      </x:c>
      <x:c r="E176" s="11" t="str">
        <x:v>A — Có chứng cứ thành tố</x:v>
      </x:c>
      <x:c r="F176" s="11" t="str">
        <x:v>명예영사</x:v>
      </x:c>
      <x:c r="G176" s="11" t="str">
        <x:v>Hán Hàn</x:v>
      </x:c>
      <x:c r="H176" s="11" t="str">
        <x:v>B — Phân tích tạm</x:v>
      </x:c>
      <x:c r="I176" s="11" t="str">
        <x:f>IF(AND(LEFT(E176,1)="A",LEFT(H176,1)="A"),"A/A — Có chứng cứ hai phía",IF(OR(LEFT(E176,1)="C",LEFT(H176,1)="C"),"C — Còn điểm chưa chốt",IF(AND(OR(LEFT(E176,1)="A",LEFT(E176,1)="B"),OR(LEFT(H176,1)="A",LEFT(H176,1)="B")),"B — Cần bổ sung chứng cứ","Kiểm tra mức chứng cứ")))</x:f>
        <x:v>B — Cần bổ sung chứng cứ</x:v>
      </x:c>
      <x:c r="J176" s="11" t="str">
        <x:v>Có chứng cứ cho thành tố</x:v>
      </x:c>
      <x:c r="K176" s="11" t="str">
        <x:v>Lãnh sự [HV 領事]
danh dự [HV 名譽]</x:v>
      </x:c>
      <x:c r="L176" s="11" t="str">
        <x:v>명예영사 [HH 名譽領事 *]</x:v>
      </x:c>
      <x:c r="M176" s="11" t="str">
        <x:v>Đã đối chiếu nguồn cho các thành tố Hán Việt cấu thành; nhãn toàn cụm là tổng hợp phân tích.
Lãnh/lĩnh là biến thể âm Hán Việt của 領; danh dự là 名譽. Mục 領 xác nhận dạng lãnh sự dùng hiện nay.</x:v>
      </x:c>
      <x:c r="N176"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76" s="11" t="str">
        <x:v>Hán Hàn</x:v>
      </x:c>
      <x:c r="P176" s="11" t="str"/>
      <x:c r="Q176" s="37" t="str">
        <x:v>ET173 (dòng 1048)
ET055 (dòng 930)
ET174 (dòng 1049)</x:v>
      </x:c>
      <x:c r="R176" s="37" t="str">
        <x:v>Chưa có nguồn từ nguyên cụ thể trong lượt này</x:v>
      </x:c>
      <x:c r="S176" s="11" t="str"/>
      <x:c r="T176" s="11" t="str">
        <x:v>Xác nhận — cùng biểu thức Anh</x:v>
      </x:c>
      <x:c r="U176" s="11" t="str">
        <x:v>N1 — Cá nhân</x:v>
      </x:c>
    </x:row>
    <x:row r="177" ht="100.5" customHeight="1">
      <x:c r="A177" s="14" t="n">
        <x:v>172</x:v>
      </x:c>
      <x:c r="B177" s="11" t="str">
        <x:v>C006</x:v>
      </x:c>
      <x:c r="C177" s="11" t="str">
        <x:v>Đại biện</x:v>
      </x:c>
      <x:c r="D177" s="11" t="str">
        <x:v>Hán Việt</x:v>
      </x:c>
      <x:c r="E177" s="11" t="str">
        <x:v>A — Có chứng cứ thành tố</x:v>
      </x:c>
      <x:c r="F177" s="11" t="str">
        <x:v>대리대사</x:v>
      </x:c>
      <x:c r="G177" s="11" t="str">
        <x:v>Hán Hàn</x:v>
      </x:c>
      <x:c r="H177" s="11" t="str">
        <x:v>B — Phân tích tạm</x:v>
      </x:c>
      <x:c r="I177" s="11" t="str">
        <x:f>IF(AND(LEFT(E177,1)="A",LEFT(H177,1)="A"),"A/A — Có chứng cứ hai phía",IF(OR(LEFT(E177,1)="C",LEFT(H177,1)="C"),"C — Còn điểm chưa chốt",IF(AND(OR(LEFT(E177,1)="A",LEFT(E177,1)="B"),OR(LEFT(H177,1)="A",LEFT(H177,1)="B")),"B — Cần bổ sung chứng cứ","Kiểm tra mức chứng cứ")))</x:f>
        <x:v>B — Cần bổ sung chứng cứ</x:v>
      </x:c>
      <x:c r="J177" s="11" t="str">
        <x:v>Có chứng cứ cho thành tố</x:v>
      </x:c>
      <x:c r="K177" s="11" t="str">
        <x:v>Đại biện [HV 代辦]</x:v>
      </x:c>
      <x:c r="L177" s="11" t="str">
        <x:v>대리대사 [HH 代理大使 *]</x:v>
      </x:c>
      <x:c r="M177" s="11" t="str">
        <x:v>Đã đối chiếu nguồn cho các thành tố Hán Việt cấu thành; nhãn toàn cụm là tổng hợp phân tích.
Phân tích Đại 代 + biện 辦; chữ của toàn mục là đề xuất phân tích, chưa có mục từ Việt với tên chức vụ đã mở trực tiếp.</x:v>
      </x:c>
      <x:c r="N17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77" s="11" t="str">
        <x:v>Hán Hàn</x:v>
      </x:c>
      <x:c r="P177" s="11" t="str"/>
      <x:c r="Q177" s="37" t="str">
        <x:v>ET175 (dòng 1050)
ET176 (dòng 1051)</x:v>
      </x:c>
      <x:c r="R177" s="37" t="str">
        <x:v>ET251 (dòng 1126)</x:v>
      </x:c>
      <x:c r="S177" s="11" t="str"/>
      <x:c r="T177" s="11" t="str">
        <x:v>Chưa đủ căn cứ đối chiếu</x:v>
      </x:c>
      <x:c r="U177" s="11" t="str">
        <x:v>N1 — Cá nhân</x:v>
      </x:c>
    </x:row>
    <x:row r="178" ht="100.5" customHeight="1">
      <x:c r="A178" s="14" t="n">
        <x:v>173</x:v>
      </x:c>
      <x:c r="B178" s="11" t="str">
        <x:v>C007</x:v>
      </x:c>
      <x:c r="C178" s="11" t="str">
        <x:v>Đại biện lâm thời</x:v>
      </x:c>
      <x:c r="D178" s="11" t="str">
        <x:v>Hán Việt</x:v>
      </x:c>
      <x:c r="E178" s="11" t="str">
        <x:v>A — Có chứng cứ thành tố</x:v>
      </x:c>
      <x:c r="F178" s="11" t="str">
        <x:v>임시대리대사</x:v>
      </x:c>
      <x:c r="G178" s="11" t="str">
        <x:v>Hán Hàn</x:v>
      </x:c>
      <x:c r="H178" s="11" t="str">
        <x:v>B — Phân tích tạm</x:v>
      </x:c>
      <x:c r="I178" s="11" t="str">
        <x:f>IF(AND(LEFT(E178,1)="A",LEFT(H178,1)="A"),"A/A — Có chứng cứ hai phía",IF(OR(LEFT(E178,1)="C",LEFT(H178,1)="C"),"C — Còn điểm chưa chốt",IF(AND(OR(LEFT(E178,1)="A",LEFT(E178,1)="B"),OR(LEFT(H178,1)="A",LEFT(H178,1)="B")),"B — Cần bổ sung chứng cứ","Kiểm tra mức chứng cứ")))</x:f>
        <x:v>B — Cần bổ sung chứng cứ</x:v>
      </x:c>
      <x:c r="J178" s="11" t="str">
        <x:v>Có chứng cứ cho thành tố</x:v>
      </x:c>
      <x:c r="K178" s="11" t="str">
        <x:v>Đại biện [HV 代辦]
lâm thời [HV 臨時]</x:v>
      </x:c>
      <x:c r="L178" s="11" t="str">
        <x:v>임시대리대사 [HH 臨時代理大使 *]</x:v>
      </x:c>
      <x:c r="M178" s="11" t="str">
        <x:v>Đã đối chiếu nguồn cho các thành tố Hán Việt cấu thành; nhãn toàn cụm là tổng hợp phân tích.
Đại biện và lâm thời đều phân tích bằng yếu tố Hán Việt; chưa kiểm chứng độc lập mọi thành tố trong lần này.</x:v>
      </x:c>
      <x:c r="N17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78" s="11" t="str">
        <x:v>Hán Hàn</x:v>
      </x:c>
      <x:c r="P178" s="11" t="str"/>
      <x:c r="Q178" s="37" t="str">
        <x:v>ET175 (dòng 1050)
ET176 (dòng 1051)
ET177 (dòng 1052)</x:v>
      </x:c>
      <x:c r="R178" s="37" t="str">
        <x:v>ET251 (dòng 1126)</x:v>
      </x:c>
      <x:c r="S178" s="11" t="str"/>
      <x:c r="T178" s="11" t="str">
        <x:v>Chưa đủ căn cứ đối chiếu</x:v>
      </x:c>
      <x:c r="U178" s="11" t="str">
        <x:v>N1 — Cá nhân</x:v>
      </x:c>
    </x:row>
    <x:row r="179" ht="100.5" customHeight="1">
      <x:c r="A179" s="14" t="n">
        <x:v>174</x:v>
      </x:c>
      <x:c r="B179" s="11" t="str">
        <x:v>C009</x:v>
      </x:c>
      <x:c r="C179" s="11" t="str">
        <x:v>Trưởng đại diện</x:v>
      </x:c>
      <x:c r="D179" s="11" t="str">
        <x:v>Hán Việt</x:v>
      </x:c>
      <x:c r="E179" s="11" t="str">
        <x:v>A — Có chứng cứ thành tố</x:v>
      </x:c>
      <x:c r="F179" s="11" t="str">
        <x:v>상주대표</x:v>
      </x:c>
      <x:c r="G179" s="11" t="str">
        <x:v>Hán Hàn</x:v>
      </x:c>
      <x:c r="H179" s="11" t="str">
        <x:v>B — Phân tích tạm</x:v>
      </x:c>
      <x:c r="I179" s="11" t="str">
        <x:f>IF(AND(LEFT(E179,1)="A",LEFT(H179,1)="A"),"A/A — Có chứng cứ hai phía",IF(OR(LEFT(E179,1)="C",LEFT(H179,1)="C"),"C — Còn điểm chưa chốt",IF(AND(OR(LEFT(E179,1)="A",LEFT(E179,1)="B"),OR(LEFT(H179,1)="A",LEFT(H179,1)="B")),"B — Cần bổ sung chứng cứ","Kiểm tra mức chứng cứ")))</x:f>
        <x:v>B — Cần bổ sung chứng cứ</x:v>
      </x:c>
      <x:c r="J179" s="11" t="str">
        <x:v>Có chứng cứ cho thành tố</x:v>
      </x:c>
      <x:c r="K179" s="11" t="str">
        <x:v>Trưởng [HV 長]
đại diện [HV 代面]</x:v>
      </x:c>
      <x:c r="L179" s="11" t="str">
        <x:v>상주대표 [HH 常駐代表 *]</x:v>
      </x:c>
      <x:c r="M179" s="11" t="str">
        <x:v>Đã đối chiếu nguồn cho các thành tố Hán Việt cấu thành; nhãn toàn cụm là tổng hợp phân tích.
Đại diện 代面 là tổ hợp Hán Việt; không đồng nhất với đại biểu 代表 chỉ vì nghĩa gần nhau.</x:v>
      </x:c>
      <x:c r="N17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79" s="11" t="str">
        <x:v>Hán Hàn</x:v>
      </x:c>
      <x:c r="P179" s="11" t="str"/>
      <x:c r="Q179" s="37" t="str">
        <x:v>ET025 (dòng 900)
ET178 (dòng 1053)</x:v>
      </x:c>
      <x:c r="R179" s="37" t="str">
        <x:v>ET297 (dòng 1172)</x:v>
      </x:c>
      <x:c r="S179" s="11" t="str"/>
      <x:c r="T179" s="11" t="str">
        <x:v>Lệch nghĩa / phạm vi</x:v>
      </x:c>
      <x:c r="U179" s="11" t="str">
        <x:v>N1 — Cá nhân</x:v>
      </x:c>
    </x:row>
    <x:row r="180" ht="100.5" customHeight="1">
      <x:c r="A180" s="14" t="n">
        <x:v>175</x:v>
      </x:c>
      <x:c r="B180" s="11" t="str">
        <x:v>C010</x:v>
      </x:c>
      <x:c r="C180" s="11" t="str">
        <x:v>trưởng đoàn</x:v>
      </x:c>
      <x:c r="D180" s="11" t="str">
        <x:v>Hán Việt</x:v>
      </x:c>
      <x:c r="E180" s="11" t="str">
        <x:v>A — Có chứng cứ thành tố</x:v>
      </x:c>
      <x:c r="F180" s="11" t="str">
        <x:v>대표단장</x:v>
      </x:c>
      <x:c r="G180" s="11" t="str">
        <x:v>Hán Hàn</x:v>
      </x:c>
      <x:c r="H180" s="11" t="str">
        <x:v>B — Phân tích tạm</x:v>
      </x:c>
      <x:c r="I180" s="11" t="str">
        <x:f>IF(AND(LEFT(E180,1)="A",LEFT(H180,1)="A"),"A/A — Có chứng cứ hai phía",IF(OR(LEFT(E180,1)="C",LEFT(H180,1)="C"),"C — Còn điểm chưa chốt",IF(AND(OR(LEFT(E180,1)="A",LEFT(E180,1)="B"),OR(LEFT(H180,1)="A",LEFT(H180,1)="B")),"B — Cần bổ sung chứng cứ","Kiểm tra mức chứng cứ")))</x:f>
        <x:v>B — Cần bổ sung chứng cứ</x:v>
      </x:c>
      <x:c r="J180" s="11" t="str">
        <x:v>Có chứng cứ cho thành tố</x:v>
      </x:c>
      <x:c r="K180" s="11" t="str">
        <x:v>trưởng [HV 長]
đoàn [HV 團]</x:v>
      </x:c>
      <x:c r="L180" s="11" t="str">
        <x:v>대표단장 [HH 代表團長 *]</x:v>
      </x:c>
      <x:c r="M180" s="11" t="str">
        <x:v>Đã đối chiếu nguồn cho các thành tố Hán Việt cấu thành; nhãn toàn cụm là tổng hợp phân tích.</x:v>
      </x:c>
      <x:c r="N18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0" s="11" t="str">
        <x:v>Hán Hàn</x:v>
      </x:c>
      <x:c r="P180" s="11" t="str"/>
      <x:c r="Q180" s="37" t="str">
        <x:v>ET025 (dòng 900)
ET152 (dòng 1027)</x:v>
      </x:c>
      <x:c r="R180" s="37" t="str">
        <x:v>ET293 (dòng 1168)
ET297 (dòng 1172)
ET242 (dòng 1117)</x:v>
      </x:c>
      <x:c r="S180" s="11" t="str"/>
      <x:c r="T180" s="11" t="str">
        <x:v>Chưa đủ căn cứ đối chiếu</x:v>
      </x:c>
      <x:c r="U180" s="11" t="str">
        <x:v>N1 — Cá nhân</x:v>
      </x:c>
    </x:row>
    <x:row r="181" ht="100.5" customHeight="1">
      <x:c r="A181" s="14" t="n">
        <x:v>176</x:v>
      </x:c>
      <x:c r="B181" s="11" t="str">
        <x:v>C012</x:v>
      </x:c>
      <x:c r="C181" s="11" t="str">
        <x:v>thượng nghị sĩ</x:v>
      </x:c>
      <x:c r="D181" s="11" t="str">
        <x:v>Hán Việt</x:v>
      </x:c>
      <x:c r="E181" s="11" t="str">
        <x:v>B — Phân tích tạm</x:v>
      </x:c>
      <x:c r="F181" s="11" t="str">
        <x:v>상원의원</x:v>
      </x:c>
      <x:c r="G181" s="11" t="str">
        <x:v>Hán Hàn</x:v>
      </x:c>
      <x:c r="H181" s="11" t="str">
        <x:v>B — Phân tích tạm</x:v>
      </x:c>
      <x:c r="I181" s="11" t="str">
        <x:f>IF(AND(LEFT(E181,1)="A",LEFT(H181,1)="A"),"A/A — Có chứng cứ hai phía",IF(OR(LEFT(E181,1)="C",LEFT(H181,1)="C"),"C — Còn điểm chưa chốt",IF(AND(OR(LEFT(E181,1)="A",LEFT(E181,1)="B"),OR(LEFT(H181,1)="A",LEFT(H181,1)="B")),"B — Cần bổ sung chứng cứ","Kiểm tra mức chứng cứ")))</x:f>
        <x:v>B — Cần bổ sung chứng cứ</x:v>
      </x:c>
      <x:c r="J181" s="11" t="str">
        <x:v>Có chứng cứ cho thành tố</x:v>
      </x:c>
      <x:c r="K181" s="11" t="str">
        <x:v>thượng [HV 上 *]
nghị sĩ [HV 議士 *]</x:v>
      </x:c>
      <x:c r="L181" s="11" t="str">
        <x:v>상원의원 [HH 上院議員 *]</x:v>
      </x:c>
      <x:c r="M181" s="11" t="str">
        <x:v>Phân tích cấu tạo của người rà soát; nguồn đã kiểm tra chỉ xác nhận các thành tố được gắn mã nguồn, không phải mọi thành tố.</x:v>
      </x:c>
      <x:c r="N18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81" s="11" t="str">
        <x:v>Hán Hàn</x:v>
      </x:c>
      <x:c r="P181" s="11" t="str"/>
      <x:c r="Q181" s="37" t="str">
        <x:v>ET165 (dòng 1040)</x:v>
      </x:c>
      <x:c r="R181" s="37" t="str">
        <x:v>Chưa có nguồn từ nguyên cụ thể trong lượt này</x:v>
      </x:c>
      <x:c r="S181" s="11" t="str"/>
      <x:c r="T181" s="11" t="str">
        <x:v>Có điều kiện — chưa chốt</x:v>
      </x:c>
      <x:c r="U181" s="11" t="str">
        <x:v>N1 — Cá nhân</x:v>
      </x:c>
    </x:row>
    <x:row r="182" ht="100.5" customHeight="1">
      <x:c r="A182" s="14" t="n">
        <x:v>177</x:v>
      </x:c>
      <x:c r="B182" s="11" t="str">
        <x:v>C013</x:v>
      </x:c>
      <x:c r="C182" s="11" t="str">
        <x:v>Chủ tịch Hạ viện</x:v>
      </x:c>
      <x:c r="D182" s="11" t="str">
        <x:v>Hán Việt</x:v>
      </x:c>
      <x:c r="E182" s="11" t="str">
        <x:v>B — Phân tích tạm</x:v>
      </x:c>
      <x:c r="F182" s="11" t="str">
        <x:v>하원의장</x:v>
      </x:c>
      <x:c r="G182" s="11" t="str">
        <x:v>Hán Hàn</x:v>
      </x:c>
      <x:c r="H182" s="11" t="str">
        <x:v>B — Phân tích tạm</x:v>
      </x:c>
      <x:c r="I182" s="11" t="str">
        <x:f>IF(AND(LEFT(E182,1)="A",LEFT(H182,1)="A"),"A/A — Có chứng cứ hai phía",IF(OR(LEFT(E182,1)="C",LEFT(H182,1)="C"),"C — Còn điểm chưa chốt",IF(AND(OR(LEFT(E182,1)="A",LEFT(E182,1)="B"),OR(LEFT(H182,1)="A",LEFT(H182,1)="B")),"B — Cần bổ sung chứng cứ","Kiểm tra mức chứng cứ")))</x:f>
        <x:v>B — Cần bổ sung chứng cứ</x:v>
      </x:c>
      <x:c r="J182" s="11" t="str">
        <x:v>Có chứng cứ cho thành tố</x:v>
      </x:c>
      <x:c r="K182" s="11" t="str">
        <x:v>Chủ tịch [HV 主席]
Hạ viện [HV 下院 *]</x:v>
      </x:c>
      <x:c r="L182" s="11" t="str">
        <x:v>하원의장 [HH 下院議長 *]</x:v>
      </x:c>
      <x:c r="M182" s="11" t="str">
        <x:v>Phân tích cấu tạo của người rà soát; nguồn đã kiểm tra chỉ xác nhận các thành tố được gắn mã nguồn, không phải mọi thành tố.</x:v>
      </x:c>
      <x:c r="N18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2" s="11" t="str">
        <x:v>Hán Hàn</x:v>
      </x:c>
      <x:c r="P182" s="11" t="str"/>
      <x:c r="Q182" s="37" t="str">
        <x:v>ET009 (dòng 884)</x:v>
      </x:c>
      <x:c r="R182" s="37" t="str">
        <x:v>ET242 (dòng 1117)</x:v>
      </x:c>
      <x:c r="S182" s="11" t="str"/>
      <x:c r="T182" s="11" t="str">
        <x:v>Chưa đủ căn cứ đối chiếu</x:v>
      </x:c>
      <x:c r="U182" s="11" t="str">
        <x:v>N1 — Cá nhân</x:v>
      </x:c>
    </x:row>
    <x:row r="183" ht="100.5" customHeight="1">
      <x:c r="A183" s="14" t="n">
        <x:v>178</x:v>
      </x:c>
      <x:c r="B183" s="11" t="str">
        <x:v>C014</x:v>
      </x:c>
      <x:c r="C183" s="11" t="str">
        <x:v>Chủ tịch Thượng viện</x:v>
      </x:c>
      <x:c r="D183" s="11" t="str">
        <x:v>Hán Việt</x:v>
      </x:c>
      <x:c r="E183" s="11" t="str">
        <x:v>B — Phân tích tạm</x:v>
      </x:c>
      <x:c r="F183" s="11" t="str">
        <x:v>상원의장</x:v>
      </x:c>
      <x:c r="G183" s="11" t="str">
        <x:v>Hán Hàn</x:v>
      </x:c>
      <x:c r="H183" s="11" t="str">
        <x:v>B — Phân tích tạm</x:v>
      </x:c>
      <x:c r="I183" s="11" t="str">
        <x:f>IF(AND(LEFT(E183,1)="A",LEFT(H183,1)="A"),"A/A — Có chứng cứ hai phía",IF(OR(LEFT(E183,1)="C",LEFT(H183,1)="C"),"C — Còn điểm chưa chốt",IF(AND(OR(LEFT(E183,1)="A",LEFT(E183,1)="B"),OR(LEFT(H183,1)="A",LEFT(H183,1)="B")),"B — Cần bổ sung chứng cứ","Kiểm tra mức chứng cứ")))</x:f>
        <x:v>B — Cần bổ sung chứng cứ</x:v>
      </x:c>
      <x:c r="J183" s="11" t="str">
        <x:v>Có chứng cứ cho thành tố</x:v>
      </x:c>
      <x:c r="K183" s="11" t="str">
        <x:v>Chủ tịch [HV 主席]
Thượng viện [HV 上院 *]</x:v>
      </x:c>
      <x:c r="L183" s="11" t="str">
        <x:v>상원의장 [HH 上院議長 *]</x:v>
      </x:c>
      <x:c r="M183" s="11" t="str">
        <x:v>Phân tích cấu tạo của người rà soát; nguồn đã kiểm tra chỉ xác nhận các thành tố được gắn mã nguồn, không phải mọi thành tố.</x:v>
      </x:c>
      <x:c r="N18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3" s="11" t="str">
        <x:v>Hán Hàn</x:v>
      </x:c>
      <x:c r="P183" s="11" t="str"/>
      <x:c r="Q183" s="37" t="str">
        <x:v>ET009 (dòng 884)</x:v>
      </x:c>
      <x:c r="R183" s="37" t="str">
        <x:v>ET242 (dòng 1117)</x:v>
      </x:c>
      <x:c r="S183" s="11" t="str"/>
      <x:c r="T183" s="11" t="str">
        <x:v>Chưa đủ căn cứ đối chiếu</x:v>
      </x:c>
      <x:c r="U183" s="11" t="str">
        <x:v>N1 — Cá nhân</x:v>
      </x:c>
    </x:row>
    <x:row r="184" ht="100.5" customHeight="1">
      <x:c r="A184" s="14" t="n">
        <x:v>179</x:v>
      </x:c>
      <x:c r="B184" s="11" t="str">
        <x:v>C015</x:v>
      </x:c>
      <x:c r="C184" s="11" t="str">
        <x:v>Quốc vương</x:v>
      </x:c>
      <x:c r="D184" s="11" t="str">
        <x:v>Hán Việt</x:v>
      </x:c>
      <x:c r="E184" s="11" t="str">
        <x:v>A — Có chứng cứ thành tố</x:v>
      </x:c>
      <x:c r="F184" s="11" t="str">
        <x:v>국왕</x:v>
      </x:c>
      <x:c r="G184" s="11" t="str">
        <x:v>Hán Hàn</x:v>
      </x:c>
      <x:c r="H184" s="11" t="str">
        <x:v>B — Phân tích tạm</x:v>
      </x:c>
      <x:c r="I184" s="11" t="str">
        <x:f>IF(AND(LEFT(E184,1)="A",LEFT(H184,1)="A"),"A/A — Có chứng cứ hai phía",IF(OR(LEFT(E184,1)="C",LEFT(H184,1)="C"),"C — Còn điểm chưa chốt",IF(AND(OR(LEFT(E184,1)="A",LEFT(E184,1)="B"),OR(LEFT(H184,1)="A",LEFT(H184,1)="B")),"B — Cần bổ sung chứng cứ","Kiểm tra mức chứng cứ")))</x:f>
        <x:v>B — Cần bổ sung chứng cứ</x:v>
      </x:c>
      <x:c r="J184" s="11" t="str">
        <x:v>Có chứng cứ cho thành tố</x:v>
      </x:c>
      <x:c r="K184" s="11" t="str">
        <x:v>Quốc vương [HV 國王]</x:v>
      </x:c>
      <x:c r="L184" s="11" t="str">
        <x:v>국왕 [HH 國王 *]</x:v>
      </x:c>
      <x:c r="M184" s="11" t="str">
        <x:v>Đã đối chiếu nguồn cho các thành tố Hán Việt cấu thành; nhãn toàn cụm là tổng hợp phân tích.</x:v>
      </x:c>
      <x:c r="N18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84" s="11" t="str">
        <x:v>Hán Hàn</x:v>
      </x:c>
      <x:c r="P184" s="11" t="str"/>
      <x:c r="Q184" s="37" t="str">
        <x:v>ET179 (dòng 1054)</x:v>
      </x:c>
      <x:c r="R184" s="37" t="str">
        <x:v>Chưa có nguồn từ nguyên cụ thể trong lượt này</x:v>
      </x:c>
      <x:c r="S184" s="11" t="str"/>
      <x:c r="T184" s="11" t="str">
        <x:v>Chưa đủ căn cứ đối chiếu</x:v>
      </x:c>
      <x:c r="U184" s="11" t="str">
        <x:v>N1 — Cá nhân</x:v>
      </x:c>
    </x:row>
    <x:row r="185" ht="100.5" customHeight="1">
      <x:c r="A185" s="14" t="n">
        <x:v>180</x:v>
      </x:c>
      <x:c r="B185" s="11" t="str">
        <x:v>C016</x:v>
      </x:c>
      <x:c r="C185" s="11" t="str">
        <x:v>Cố vấn An ninh Quốc gia</x:v>
      </x:c>
      <x:c r="D185" s="11" t="str">
        <x:v>Hán Việt</x:v>
      </x:c>
      <x:c r="E185" s="11" t="str">
        <x:v>A — Có chứng cứ thành tố</x:v>
      </x:c>
      <x:c r="F185" s="11" t="str">
        <x:v>국가안보보좌관</x:v>
      </x:c>
      <x:c r="G185" s="11" t="str">
        <x:v>Hán Hàn</x:v>
      </x:c>
      <x:c r="H185" s="11" t="str">
        <x:v>B — Phân tích tạm</x:v>
      </x:c>
      <x:c r="I185" s="11" t="str">
        <x:f>IF(AND(LEFT(E185,1)="A",LEFT(H185,1)="A"),"A/A — Có chứng cứ hai phía",IF(OR(LEFT(E185,1)="C",LEFT(H185,1)="C"),"C — Còn điểm chưa chốt",IF(AND(OR(LEFT(E185,1)="A",LEFT(E185,1)="B"),OR(LEFT(H185,1)="A",LEFT(H185,1)="B")),"B — Cần bổ sung chứng cứ","Kiểm tra mức chứng cứ")))</x:f>
        <x:v>B — Cần bổ sung chứng cứ</x:v>
      </x:c>
      <x:c r="J185" s="11" t="str">
        <x:v>Có chứng cứ cho thành tố</x:v>
      </x:c>
      <x:c r="K185" s="11" t="str">
        <x:v>Cố vấn [HV 顧問]
An ninh [HV 安寧]
Quốc gia [HV 國家]</x:v>
      </x:c>
      <x:c r="L185" s="11" t="str">
        <x:v>국가안보보좌관 [HH 國家安保補佐官 *]</x:v>
      </x:c>
      <x:c r="M185" s="11" t="str">
        <x:v>Đã đối chiếu nguồn cho các thành tố Hán Việt cấu thành; nhãn toàn cụm là tổng hợp phân tích.</x:v>
      </x:c>
      <x:c r="N18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5" s="11" t="str">
        <x:v>Hán Hàn</x:v>
      </x:c>
      <x:c r="P185" s="11" t="str"/>
      <x:c r="Q185" s="37" t="str">
        <x:v>ET180 (dòng 1055)
ET181 (dòng 1056)
ET019 (dòng 894)</x:v>
      </x:c>
      <x:c r="R185" s="37" t="str">
        <x:v>ET298 (dòng 1173)
ET299 (dòng 1174)
ET246 (dòng 1121)
ET280 (dòng 1155)
ET247 (dòng 1122)</x:v>
      </x:c>
      <x:c r="S185" s="11" t="str"/>
      <x:c r="T185" s="11" t="str">
        <x:v>Chưa đủ căn cứ đối chiếu</x:v>
      </x:c>
      <x:c r="U185" s="11" t="str">
        <x:v>N1 — Cá nhân</x:v>
      </x:c>
    </x:row>
    <x:row r="186" ht="100.5" customHeight="1">
      <x:c r="A186" s="14" t="n">
        <x:v>181</x:v>
      </x:c>
      <x:c r="B186" s="11" t="str">
        <x:v>C019</x:v>
      </x:c>
      <x:c r="C186" s="11" t="str">
        <x:v>tổ chức quốc tế</x:v>
      </x:c>
      <x:c r="D186" s="11" t="str">
        <x:v>Hán Việt</x:v>
      </x:c>
      <x:c r="E186" s="11" t="str">
        <x:v>A — Có chứng cứ thành tố</x:v>
      </x:c>
      <x:c r="F186" s="11" t="str">
        <x:v>국제기구</x:v>
      </x:c>
      <x:c r="G186" s="11" t="str">
        <x:v>Hán Hàn</x:v>
      </x:c>
      <x:c r="H186" s="11" t="str">
        <x:v>B — Phân tích tạm</x:v>
      </x:c>
      <x:c r="I186" s="11" t="str">
        <x:f>IF(AND(LEFT(E186,1)="A",LEFT(H186,1)="A"),"A/A — Có chứng cứ hai phía",IF(OR(LEFT(E186,1)="C",LEFT(H186,1)="C"),"C — Còn điểm chưa chốt",IF(AND(OR(LEFT(E186,1)="A",LEFT(E186,1)="B"),OR(LEFT(H186,1)="A",LEFT(H186,1)="B")),"B — Cần bổ sung chứng cứ","Kiểm tra mức chứng cứ")))</x:f>
        <x:v>B — Cần bổ sung chứng cứ</x:v>
      </x:c>
      <x:c r="J186" s="11" t="str">
        <x:v>Có chứng cứ cho thành tố</x:v>
      </x:c>
      <x:c r="K186" s="11" t="str">
        <x:v>tổ chức [HV 組織]
quốc tế [HV 國際]</x:v>
      </x:c>
      <x:c r="L186" s="11" t="str">
        <x:v>국제기구 [HH 國際機構 *]</x:v>
      </x:c>
      <x:c r="M186" s="11" t="str">
        <x:v>Đã đối chiếu nguồn cho các thành tố Hán Việt cấu thành; nhãn toàn cụm là tổng hợp phân tích.</x:v>
      </x:c>
      <x:c r="N18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6" s="11" t="str">
        <x:v>Hán Hàn</x:v>
      </x:c>
      <x:c r="P186" s="11" t="str"/>
      <x:c r="Q186" s="37" t="str">
        <x:v>ET036 (dòng 911)
ET089 (dòng 964)</x:v>
      </x:c>
      <x:c r="R186" s="37" t="str">
        <x:v>ET268 (dòng 1143)
ET249 (dòng 1124)</x:v>
      </x:c>
      <x:c r="S186" s="11" t="str"/>
      <x:c r="T186" s="11" t="str">
        <x:v>Ứng viên — còn thiếu chứng cứ</x:v>
      </x:c>
      <x:c r="U186" s="11" t="str">
        <x:v>N2 — Cơ quan, tổ chức</x:v>
      </x:c>
    </x:row>
    <x:row r="187" ht="100.5" customHeight="1">
      <x:c r="A187" s="14" t="n">
        <x:v>182</x:v>
      </x:c>
      <x:c r="B187" s="11" t="str">
        <x:v>C020</x:v>
      </x:c>
      <x:c r="C187" s="11" t="str">
        <x:v>tổ chức phi Chính phủ</x:v>
      </x:c>
      <x:c r="D187" s="11" t="str">
        <x:v>Hán Việt</x:v>
      </x:c>
      <x:c r="E187" s="11" t="str">
        <x:v>B — Phân tích tạm</x:v>
      </x:c>
      <x:c r="F187" s="11" t="str">
        <x:v>비정부기구</x:v>
      </x:c>
      <x:c r="G187" s="11" t="str">
        <x:v>Hán Hàn</x:v>
      </x:c>
      <x:c r="H187" s="11" t="str">
        <x:v>B — Phân tích tạm</x:v>
      </x:c>
      <x:c r="I187" s="11" t="str">
        <x:f>IF(AND(LEFT(E187,1)="A",LEFT(H187,1)="A"),"A/A — Có chứng cứ hai phía",IF(OR(LEFT(E187,1)="C",LEFT(H187,1)="C"),"C — Còn điểm chưa chốt",IF(AND(OR(LEFT(E187,1)="A",LEFT(E187,1)="B"),OR(LEFT(H187,1)="A",LEFT(H187,1)="B")),"B — Cần bổ sung chứng cứ","Kiểm tra mức chứng cứ")))</x:f>
        <x:v>B — Cần bổ sung chứng cứ</x:v>
      </x:c>
      <x:c r="J187" s="11" t="str">
        <x:v>Có chứng cứ cho thành tố</x:v>
      </x:c>
      <x:c r="K187" s="11" t="str">
        <x:v>tổ chức [HV 組織]
phi [HV 非 *]
Chính phủ [HV 政府]</x:v>
      </x:c>
      <x:c r="L187" s="11" t="str">
        <x:v>비정부기구 [HH 非政府機構 *]</x:v>
      </x:c>
      <x:c r="M187" s="11" t="str">
        <x:v>Phân tích cấu tạo của người rà soát; nguồn đã kiểm tra chỉ xác nhận các thành tố được gắn mã nguồn, không phải mọi thành tố.</x:v>
      </x:c>
      <x:c r="N18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7" s="11" t="str">
        <x:v>Hán Hàn</x:v>
      </x:c>
      <x:c r="P187" s="11" t="str"/>
      <x:c r="Q187" s="37" t="str">
        <x:v>ET036 (dòng 911)
ET045 (dòng 920)</x:v>
      </x:c>
      <x:c r="R187" s="37" t="str">
        <x:v>ET266 (dòng 1141)
ET249 (dòng 1124)</x:v>
      </x:c>
      <x:c r="S187" s="11" t="str"/>
      <x:c r="T187" s="11" t="str">
        <x:v>Ứng viên — còn thiếu chứng cứ</x:v>
      </x:c>
      <x:c r="U187" s="11" t="str">
        <x:v>N2 — Cơ quan, tổ chức</x:v>
      </x:c>
    </x:row>
    <x:row r="188" ht="85.5" customHeight="1">
      <x:c r="A188" s="14" t="n">
        <x:v>183</x:v>
      </x:c>
      <x:c r="B188" s="11" t="str">
        <x:v>C021</x:v>
      </x:c>
      <x:c r="C188" s="11" t="str">
        <x:v>chính đảng</x:v>
      </x:c>
      <x:c r="D188" s="11" t="str">
        <x:v>Hán Việt</x:v>
      </x:c>
      <x:c r="E188" s="11" t="str">
        <x:v>A — Có chứng cứ thành tố</x:v>
      </x:c>
      <x:c r="F188" s="11" t="str">
        <x:v>정당</x:v>
      </x:c>
      <x:c r="G188" s="11" t="str">
        <x:v>Hán Hàn</x:v>
      </x:c>
      <x:c r="H188" s="11" t="str">
        <x:v>A — Có chứng cứ thành tố</x:v>
      </x:c>
      <x:c r="I188" s="11" t="str">
        <x:f>IF(AND(LEFT(E188,1)="A",LEFT(H188,1)="A"),"A/A — Có chứng cứ hai phía",IF(OR(LEFT(E188,1)="C",LEFT(H188,1)="C"),"C — Còn điểm chưa chốt",IF(AND(OR(LEFT(E188,1)="A",LEFT(E188,1)="B"),OR(LEFT(H188,1)="A",LEFT(H188,1)="B")),"B — Cần bổ sung chứng cứ","Kiểm tra mức chứng cứ")))</x:f>
        <x:v>A/A — Có chứng cứ hai phía</x:v>
      </x:c>
      <x:c r="J188" s="11" t="str">
        <x:v>Có chứng cứ cho thành tố</x:v>
      </x:c>
      <x:c r="K188" s="11" t="str">
        <x:v>chính đảng [HV 政黨]</x:v>
      </x:c>
      <x:c r="L188" s="11" t="str">
        <x:v>정당 [HH 政黨]</x:v>
      </x:c>
      <x:c r="M188" s="11" t="str">
        <x:v>Đã đối chiếu nguồn cho các thành tố Hán Việt cấu thành; nhãn toàn cụm là tổng hợp phân tích.</x:v>
      </x:c>
      <x:c r="N188" s="11" t="str">
        <x:v>Đã tìm thấy nguồn mục từ/thành tố ghi nguyên dạng hoặc lớp từ cho toàn bộ thành tố quyết định kết luận.</x:v>
      </x:c>
      <x:c r="O188" s="11" t="str">
        <x:v>Hán Hàn</x:v>
      </x:c>
      <x:c r="P188" s="11" t="str"/>
      <x:c r="Q188" s="37" t="str">
        <x:v>ET182 (dòng 1057)</x:v>
      </x:c>
      <x:c r="R188" s="37" t="str">
        <x:v>ET300 (dòng 1175)</x:v>
      </x:c>
      <x:c r="S188" s="11" t="str"/>
      <x:c r="T188" s="11" t="str">
        <x:v>Ứng viên — còn thiếu chứng cứ</x:v>
      </x:c>
      <x:c r="U188" s="11" t="str">
        <x:v>N2 — Cơ quan, tổ chức</x:v>
      </x:c>
    </x:row>
    <x:row r="189" ht="100.5" customHeight="1">
      <x:c r="A189" s="14" t="n">
        <x:v>184</x:v>
      </x:c>
      <x:c r="B189" s="11" t="str">
        <x:v>C022</x:v>
      </x:c>
      <x:c r="C189" s="11" t="str">
        <x:v>Đảng cầm quyền</x:v>
      </x:c>
      <x:c r="D189" s="11" t="str">
        <x:v>Hán Việt + thuần Việt</x:v>
      </x:c>
      <x:c r="E189" s="11" t="str">
        <x:v>B — Phân tích tạm</x:v>
      </x:c>
      <x:c r="F189" s="11" t="str">
        <x:v>집권당</x:v>
      </x:c>
      <x:c r="G189" s="11" t="str">
        <x:v>Hán Hàn</x:v>
      </x:c>
      <x:c r="H189" s="11" t="str">
        <x:v>B — Phân tích tạm</x:v>
      </x:c>
      <x:c r="I189" s="11" t="str">
        <x:f>IF(AND(LEFT(E189,1)="A",LEFT(H189,1)="A"),"A/A — Có chứng cứ hai phía",IF(OR(LEFT(E189,1)="C",LEFT(H189,1)="C"),"C — Còn điểm chưa chốt",IF(AND(OR(LEFT(E189,1)="A",LEFT(E189,1)="B"),OR(LEFT(H189,1)="A",LEFT(H189,1)="B")),"B — Cần bổ sung chứng cứ","Kiểm tra mức chứng cứ")))</x:f>
        <x:v>B — Cần bổ sung chứng cứ</x:v>
      </x:c>
      <x:c r="J189" s="11" t="str">
        <x:v>Có chứng cứ cho thành tố</x:v>
      </x:c>
      <x:c r="K189" s="11" t="str">
        <x:v>Đảng [HV 黨]
cầm [TV]
quyền [HV 權]</x:v>
      </x:c>
      <x:c r="L189" s="11" t="str">
        <x:v>집권당 [HH 執權黨 *]</x:v>
      </x:c>
      <x:c r="M189" s="11" t="str">
        <x:v>Phân tích cấu tạo của người rà soát; nguồn đã kiểm tra chỉ xác nhận các thành tố được gắn mã nguồn, không phải mọi thành tố.
Cầm trong cầm quyền được tài liệu ngôn ngữ học phân biệt là động từ thuần Việt; không gán 擒 theo đồng âm.</x:v>
      </x:c>
      <x:c r="N18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89" s="11" t="str">
        <x:v>Hán Hàn</x:v>
      </x:c>
      <x:c r="P189" s="11" t="str"/>
      <x:c r="Q189" s="37" t="str">
        <x:v>ET003 (dòng 878)
ET183 (dòng 1058)
ET103 (dòng 978)</x:v>
      </x:c>
      <x:c r="R189" s="37" t="str">
        <x:v>ET238 (dòng 1113)
ET239 (dòng 1114)</x:v>
      </x:c>
      <x:c r="S189" s="11" t="str"/>
      <x:c r="T189" s="11" t="str">
        <x:v>Ứng viên — còn thiếu chứng cứ</x:v>
      </x:c>
      <x:c r="U189" s="11" t="str">
        <x:v>N2 — Cơ quan, tổ chức</x:v>
      </x:c>
    </x:row>
    <x:row r="190" ht="100.5" customHeight="1">
      <x:c r="A190" s="14" t="n">
        <x:v>185</x:v>
      </x:c>
      <x:c r="B190" s="11" t="str">
        <x:v>C026</x:v>
      </x:c>
      <x:c r="C190" s="11" t="str">
        <x:v>tư pháp</x:v>
      </x:c>
      <x:c r="D190" s="11" t="str">
        <x:v>Hán Việt</x:v>
      </x:c>
      <x:c r="E190" s="11" t="str">
        <x:v>A — Có chứng cứ thành tố</x:v>
      </x:c>
      <x:c r="F190" s="11" t="str">
        <x:v>사법부</x:v>
      </x:c>
      <x:c r="G190" s="11" t="str">
        <x:v>Hán Hàn</x:v>
      </x:c>
      <x:c r="H190" s="11" t="str">
        <x:v>B — Phân tích tạm</x:v>
      </x:c>
      <x:c r="I190" s="11" t="str">
        <x:f>IF(AND(LEFT(E190,1)="A",LEFT(H190,1)="A"),"A/A — Có chứng cứ hai phía",IF(OR(LEFT(E190,1)="C",LEFT(H190,1)="C"),"C — Còn điểm chưa chốt",IF(AND(OR(LEFT(E190,1)="A",LEFT(E190,1)="B"),OR(LEFT(H190,1)="A",LEFT(H190,1)="B")),"B — Cần bổ sung chứng cứ","Kiểm tra mức chứng cứ")))</x:f>
        <x:v>B — Cần bổ sung chứng cứ</x:v>
      </x:c>
      <x:c r="J190" s="11" t="str">
        <x:v>Có chứng cứ cho thành tố</x:v>
      </x:c>
      <x:c r="K190" s="11" t="str">
        <x:v>tư pháp [HV 司法]</x:v>
      </x:c>
      <x:c r="L190" s="11" t="str">
        <x:v>사법부 [HH 司法府 *]</x:v>
      </x:c>
      <x:c r="M190" s="11" t="str">
        <x:v>Đã đối chiếu nguồn cho các thành tố Hán Việt cấu thành; nhãn toàn cụm là tổng hợp phân tích.</x:v>
      </x:c>
      <x:c r="N19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0" s="11" t="str">
        <x:v>Hán Hàn</x:v>
      </x:c>
      <x:c r="P190" s="11" t="str"/>
      <x:c r="Q190" s="37" t="str">
        <x:v>ET110 (dòng 985)</x:v>
      </x:c>
      <x:c r="R190" s="37" t="str">
        <x:v>ET279 (dòng 1154)</x:v>
      </x:c>
      <x:c r="S190" s="11" t="str"/>
      <x:c r="T190" s="11" t="str">
        <x:v>Lệch nghĩa / phạm vi</x:v>
      </x:c>
      <x:c r="U190" s="11" t="str">
        <x:v>Cần xem xét</x:v>
      </x:c>
    </x:row>
    <x:row r="191" ht="100.5" customHeight="1">
      <x:c r="A191" s="14" t="n">
        <x:v>186</x:v>
      </x:c>
      <x:c r="B191" s="11" t="str">
        <x:v>C031</x:v>
      </x:c>
      <x:c r="C191" s="11" t="str">
        <x:v>Tổng lãnh sự quán</x:v>
      </x:c>
      <x:c r="D191" s="11" t="str">
        <x:v>Hán Việt</x:v>
      </x:c>
      <x:c r="E191" s="11" t="str">
        <x:v>A — Có chứng cứ thành tố</x:v>
      </x:c>
      <x:c r="F191" s="11" t="str">
        <x:v>총영사관</x:v>
      </x:c>
      <x:c r="G191" s="11" t="str">
        <x:v>Hán Hàn</x:v>
      </x:c>
      <x:c r="H191" s="11" t="str">
        <x:v>B — Phân tích tạm</x:v>
      </x:c>
      <x:c r="I191" s="11" t="str">
        <x:f>IF(AND(LEFT(E191,1)="A",LEFT(H191,1)="A"),"A/A — Có chứng cứ hai phía",IF(OR(LEFT(E191,1)="C",LEFT(H191,1)="C"),"C — Còn điểm chưa chốt",IF(AND(OR(LEFT(E191,1)="A",LEFT(E191,1)="B"),OR(LEFT(H191,1)="A",LEFT(H191,1)="B")),"B — Cần bổ sung chứng cứ","Kiểm tra mức chứng cứ")))</x:f>
        <x:v>B — Cần bổ sung chứng cứ</x:v>
      </x:c>
      <x:c r="J191" s="11" t="str">
        <x:v>Có chứng cứ cho thành tố</x:v>
      </x:c>
      <x:c r="K191" s="11" t="str">
        <x:v>Tổng [HV 總]
lãnh sự [HV 領事]
quán [HV 館]</x:v>
      </x:c>
      <x:c r="L191" s="11" t="str">
        <x:v>총영사관 [HH 總領事館 *]</x:v>
      </x:c>
      <x:c r="M191" s="11" t="str">
        <x:v>Đã đối chiếu nguồn cho các thành tố Hán Việt cấu thành; nhãn toàn cụm là tổng hợp phân tích.</x:v>
      </x:c>
      <x:c r="N19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191" s="11" t="str">
        <x:v>Hán Hàn</x:v>
      </x:c>
      <x:c r="P191" s="11" t="str"/>
      <x:c r="Q191" s="37" t="str">
        <x:v>ET031 (dòng 906)
ET173 (dòng 1048)
ET051 (dòng 926)
ET174 (dòng 1049)</x:v>
      </x:c>
      <x:c r="R191" s="37" t="str">
        <x:v>Chưa có nguồn từ nguyên cụ thể trong lượt này</x:v>
      </x:c>
      <x:c r="S191" s="11" t="str"/>
      <x:c r="T191" s="11" t="str">
        <x:v>Xác nhận — cùng biểu thức Anh</x:v>
      </x:c>
      <x:c r="U191" s="11" t="str">
        <x:v>N2 — Cơ quan, tổ chức</x:v>
      </x:c>
    </x:row>
    <x:row r="192" ht="100.5" customHeight="1">
      <x:c r="A192" s="14" t="n">
        <x:v>187</x:v>
      </x:c>
      <x:c r="B192" s="11" t="str">
        <x:v>C032</x:v>
      </x:c>
      <x:c r="C192" s="11" t="str">
        <x:v>cơ quan đại diện ngoại giao</x:v>
      </x:c>
      <x:c r="D192" s="11" t="str">
        <x:v>Hán Việt</x:v>
      </x:c>
      <x:c r="E192" s="11" t="str">
        <x:v>A — Có chứng cứ thành tố</x:v>
      </x:c>
      <x:c r="F192" s="11" t="str">
        <x:v>외교공관</x:v>
      </x:c>
      <x:c r="G192" s="11" t="str">
        <x:v>Hán Hàn</x:v>
      </x:c>
      <x:c r="H192" s="11" t="str">
        <x:v>B — Phân tích tạm</x:v>
      </x:c>
      <x:c r="I192" s="11" t="str">
        <x:f>IF(AND(LEFT(E192,1)="A",LEFT(H192,1)="A"),"A/A — Có chứng cứ hai phía",IF(OR(LEFT(E192,1)="C",LEFT(H192,1)="C"),"C — Còn điểm chưa chốt",IF(AND(OR(LEFT(E192,1)="A",LEFT(E192,1)="B"),OR(LEFT(H192,1)="A",LEFT(H192,1)="B")),"B — Cần bổ sung chứng cứ","Kiểm tra mức chứng cứ")))</x:f>
        <x:v>B — Cần bổ sung chứng cứ</x:v>
      </x:c>
      <x:c r="J192" s="11" t="str">
        <x:v>Có chứng cứ cho thành tố</x:v>
      </x:c>
      <x:c r="K192" s="11" t="str">
        <x:v>cơ quan [HV 機關]
đại diện [HV 代面]
ngoại giao [HV 外交]</x:v>
      </x:c>
      <x:c r="L192" s="11" t="str">
        <x:v>외교공관 [HH 外交公館 *]</x:v>
      </x:c>
      <x:c r="M192" s="11" t="str">
        <x:v>Đã đối chiếu nguồn cho các thành tố Hán Việt cấu thành; nhãn toàn cụm là tổng hợp phân tích.</x:v>
      </x:c>
      <x:c r="N19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2" s="11" t="str">
        <x:v>Hán Hàn</x:v>
      </x:c>
      <x:c r="P192" s="11" t="str"/>
      <x:c r="Q192" s="37" t="str">
        <x:v>ET046 (dòng 921)
ET178 (dòng 1053)
ET007 (dòng 882)</x:v>
      </x:c>
      <x:c r="R192" s="37" t="str">
        <x:v>ET269 (dòng 1144)
ET268 (dòng 1143)</x:v>
      </x:c>
      <x:c r="S192" s="11" t="str"/>
      <x:c r="T192" s="11" t="str">
        <x:v>Ứng viên — còn thiếu chứng cứ</x:v>
      </x:c>
      <x:c r="U192" s="11" t="str">
        <x:v>N2 — Cơ quan, tổ chức</x:v>
      </x:c>
    </x:row>
    <x:row r="193" ht="100.5" customHeight="1">
      <x:c r="A193" s="14" t="n">
        <x:v>188</x:v>
      </x:c>
      <x:c r="B193" s="11" t="str">
        <x:v>C034</x:v>
      </x:c>
      <x:c r="C193" s="11" t="str">
        <x:v>Phái đoàn thường trực</x:v>
      </x:c>
      <x:c r="D193" s="11" t="str">
        <x:v>Hán Việt</x:v>
      </x:c>
      <x:c r="E193" s="11" t="str">
        <x:v>A — Có chứng cứ thành tố</x:v>
      </x:c>
      <x:c r="F193" s="11" t="str">
        <x:v>상임대표부</x:v>
      </x:c>
      <x:c r="G193" s="11" t="str">
        <x:v>Hán Hàn</x:v>
      </x:c>
      <x:c r="H193" s="11" t="str">
        <x:v>B — Phân tích tạm</x:v>
      </x:c>
      <x:c r="I193" s="11" t="str">
        <x:f>IF(AND(LEFT(E193,1)="A",LEFT(H193,1)="A"),"A/A — Có chứng cứ hai phía",IF(OR(LEFT(E193,1)="C",LEFT(H193,1)="C"),"C — Còn điểm chưa chốt",IF(AND(OR(LEFT(E193,1)="A",LEFT(E193,1)="B"),OR(LEFT(H193,1)="A",LEFT(H193,1)="B")),"B — Cần bổ sung chứng cứ","Kiểm tra mức chứng cứ")))</x:f>
        <x:v>B — Cần bổ sung chứng cứ</x:v>
      </x:c>
      <x:c r="J193" s="11" t="str">
        <x:v>Có chứng cứ cho thành tố</x:v>
      </x:c>
      <x:c r="K193" s="11" t="str">
        <x:v>Phái đoàn [HV 派團]
thường trực [HV 常直]</x:v>
      </x:c>
      <x:c r="L193" s="11" t="str">
        <x:v>상임대표부 [HH 常任代表部 *]</x:v>
      </x:c>
      <x:c r="M193" s="11" t="str">
        <x:v>Đã đối chiếu nguồn cho các thành tố Hán Việt cấu thành; nhãn toàn cụm là tổng hợp phân tích.
Thường trực 常直 đã đối chiếu mục từ Nguyễn Quốc Hùng; phái đoàn được tách thành phái 派 và đoàn 團.</x:v>
      </x:c>
      <x:c r="N19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3" s="11" t="str">
        <x:v>Hán Hàn</x:v>
      </x:c>
      <x:c r="P193" s="11" t="str"/>
      <x:c r="Q193" s="37" t="str">
        <x:v>ET184 (dòng 1059)
ET152 (dòng 1027)
ET024 (dòng 899)</x:v>
      </x:c>
      <x:c r="R193" s="37" t="str">
        <x:v>ET255 (dòng 1130)
ET297 (dòng 1172)
ET243 (dòng 1118)</x:v>
      </x:c>
      <x:c r="S193" s="11" t="str"/>
      <x:c r="T193" s="11" t="str">
        <x:v>Ứng viên — còn thiếu chứng cứ</x:v>
      </x:c>
      <x:c r="U193" s="11" t="str">
        <x:v>N2 — Cơ quan, tổ chức</x:v>
      </x:c>
    </x:row>
    <x:row r="194" ht="100.5" customHeight="1">
      <x:c r="A194" s="14" t="n">
        <x:v>189</x:v>
      </x:c>
      <x:c r="B194" s="11" t="str">
        <x:v>C036</x:v>
      </x:c>
      <x:c r="C194" s="11" t="str">
        <x:v>Đoàn Ngoại giao</x:v>
      </x:c>
      <x:c r="D194" s="11" t="str">
        <x:v>Hán Việt</x:v>
      </x:c>
      <x:c r="E194" s="11" t="str">
        <x:v>A — Có chứng cứ thành tố</x:v>
      </x:c>
      <x:c r="F194" s="11" t="str">
        <x:v>외교단</x:v>
      </x:c>
      <x:c r="G194" s="11" t="str">
        <x:v>Hán Hàn</x:v>
      </x:c>
      <x:c r="H194" s="11" t="str">
        <x:v>B — Phân tích tạm</x:v>
      </x:c>
      <x:c r="I194" s="11" t="str">
        <x:f>IF(AND(LEFT(E194,1)="A",LEFT(H194,1)="A"),"A/A — Có chứng cứ hai phía",IF(OR(LEFT(E194,1)="C",LEFT(H194,1)="C"),"C — Còn điểm chưa chốt",IF(AND(OR(LEFT(E194,1)="A",LEFT(E194,1)="B"),OR(LEFT(H194,1)="A",LEFT(H194,1)="B")),"B — Cần bổ sung chứng cứ","Kiểm tra mức chứng cứ")))</x:f>
        <x:v>B — Cần bổ sung chứng cứ</x:v>
      </x:c>
      <x:c r="J194" s="11" t="str">
        <x:v>Có chứng cứ cho thành tố</x:v>
      </x:c>
      <x:c r="K194" s="11" t="str">
        <x:v>Đoàn [HV 團]
Ngoại giao [HV 外交]</x:v>
      </x:c>
      <x:c r="L194" s="11" t="str">
        <x:v>외교단 [HH 外交團 *]</x:v>
      </x:c>
      <x:c r="M194" s="11" t="str">
        <x:v>Đã đối chiếu nguồn cho các thành tố Hán Việt cấu thành; nhãn toàn cụm là tổng hợp phân tích.</x:v>
      </x:c>
      <x:c r="N19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4" s="11" t="str">
        <x:v>Hán Hàn</x:v>
      </x:c>
      <x:c r="P194" s="11" t="str"/>
      <x:c r="Q194" s="37" t="str">
        <x:v>ET152 (dòng 1027)
ET007 (dòng 882)</x:v>
      </x:c>
      <x:c r="R194" s="37" t="str">
        <x:v>ET269 (dòng 1144)
ET268 (dòng 1143)</x:v>
      </x:c>
      <x:c r="S194" s="11" t="str"/>
      <x:c r="T194" s="11" t="str">
        <x:v>Xác nhận — cùng biểu thức Anh</x:v>
      </x:c>
      <x:c r="U194" s="11" t="str">
        <x:v>N2 — Cơ quan, tổ chức</x:v>
      </x:c>
    </x:row>
    <x:row r="195" ht="100.5" customHeight="1">
      <x:c r="A195" s="14" t="n">
        <x:v>190</x:v>
      </x:c>
      <x:c r="B195" s="11" t="str">
        <x:v>C039</x:v>
      </x:c>
      <x:c r="C195" s="11" t="str">
        <x:v>Tổ chức Thương mại thế giới</x:v>
      </x:c>
      <x:c r="D195" s="11" t="str">
        <x:v>Hán Việt</x:v>
      </x:c>
      <x:c r="E195" s="11" t="str">
        <x:v>A — Có chứng cứ thành tố</x:v>
      </x:c>
      <x:c r="F195" s="11" t="str">
        <x:v>세계무역기구</x:v>
      </x:c>
      <x:c r="G195" s="11" t="str">
        <x:v>Hán Hàn</x:v>
      </x:c>
      <x:c r="H195" s="11" t="str">
        <x:v>B — Phân tích tạm</x:v>
      </x:c>
      <x:c r="I195" s="11" t="str">
        <x:f>IF(AND(LEFT(E195,1)="A",LEFT(H195,1)="A"),"A/A — Có chứng cứ hai phía",IF(OR(LEFT(E195,1)="C",LEFT(H195,1)="C"),"C — Còn điểm chưa chốt",IF(AND(OR(LEFT(E195,1)="A",LEFT(E195,1)="B"),OR(LEFT(H195,1)="A",LEFT(H195,1)="B")),"B — Cần bổ sung chứng cứ","Kiểm tra mức chứng cứ")))</x:f>
        <x:v>B — Cần bổ sung chứng cứ</x:v>
      </x:c>
      <x:c r="J195" s="11" t="str">
        <x:v>Có chứng cứ cho thành tố</x:v>
      </x:c>
      <x:c r="K195" s="11" t="str">
        <x:v>Tổ chức [HV 組織]
Thương mại [HV 商賣]
thế giới [HV 世界]</x:v>
      </x:c>
      <x:c r="L195" s="11" t="str">
        <x:v>세계무역기구 [HH 世界貿易機構 *]</x:v>
      </x:c>
      <x:c r="M195" s="11" t="str">
        <x:v>Đã đối chiếu nguồn cho các thành tố Hán Việt cấu thành; nhãn toàn cụm là tổng hợp phân tích.
Thương mại phân tích 商 + 賣 (mại là bán), không thay chữ bằng 貿 chỉ vì chữ này nằm trong tiếng Hàn 무역.</x:v>
      </x:c>
      <x:c r="N19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5" s="11" t="str">
        <x:v>Hán Hàn</x:v>
      </x:c>
      <x:c r="P195" s="11" t="str"/>
      <x:c r="Q195" s="37" t="str">
        <x:v>ET036 (dòng 911)
ET185 (dòng 1060)
ET066 (dòng 941)</x:v>
      </x:c>
      <x:c r="R195" s="37" t="str">
        <x:v>ET249 (dòng 1124)</x:v>
      </x:c>
      <x:c r="S195" s="11" t="str"/>
      <x:c r="T195" s="11" t="str">
        <x:v>Xác nhận — cùng biểu thức Anh</x:v>
      </x:c>
      <x:c r="U195" s="11" t="str">
        <x:v>N2 — Cơ quan, tổ chức</x:v>
      </x:c>
    </x:row>
    <x:row r="196" ht="100.5" customHeight="1">
      <x:c r="A196" s="14" t="n">
        <x:v>191</x:v>
      </x:c>
      <x:c r="B196" s="11" t="str">
        <x:v>C040</x:v>
      </x:c>
      <x:c r="C196" s="11" t="str">
        <x:v>Tổ chức Y tế thế giới</x:v>
      </x:c>
      <x:c r="D196" s="11" t="str">
        <x:v>Hán Việt</x:v>
      </x:c>
      <x:c r="E196" s="11" t="str">
        <x:v>A — Có chứng cứ thành tố</x:v>
      </x:c>
      <x:c r="F196" s="11" t="str">
        <x:v>세계보건기구</x:v>
      </x:c>
      <x:c r="G196" s="11" t="str">
        <x:v>Hán Hàn</x:v>
      </x:c>
      <x:c r="H196" s="11" t="str">
        <x:v>B — Phân tích tạm</x:v>
      </x:c>
      <x:c r="I196" s="11" t="str">
        <x:f>IF(AND(LEFT(E196,1)="A",LEFT(H196,1)="A"),"A/A — Có chứng cứ hai phía",IF(OR(LEFT(E196,1)="C",LEFT(H196,1)="C"),"C — Còn điểm chưa chốt",IF(AND(OR(LEFT(E196,1)="A",LEFT(E196,1)="B"),OR(LEFT(H196,1)="A",LEFT(H196,1)="B")),"B — Cần bổ sung chứng cứ","Kiểm tra mức chứng cứ")))</x:f>
        <x:v>B — Cần bổ sung chứng cứ</x:v>
      </x:c>
      <x:c r="J196" s="11" t="str">
        <x:v>Có chứng cứ cho thành tố</x:v>
      </x:c>
      <x:c r="K196" s="11" t="str">
        <x:v>Tổ chức [HV 組織]
Y tế [HV 醫濟]
thế giới [HV 世界]</x:v>
      </x:c>
      <x:c r="L196" s="11" t="str">
        <x:v>세계보건기구 [HH 世界保健機構 *]</x:v>
      </x:c>
      <x:c r="M196" s="11" t="str">
        <x:v>Đã đối chiếu nguồn cho các thành tố Hán Việt cấu thành; nhãn toàn cụm là tổng hợp phân tích.</x:v>
      </x:c>
      <x:c r="N19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6" s="11" t="str">
        <x:v>Hán Hàn</x:v>
      </x:c>
      <x:c r="P196" s="11" t="str"/>
      <x:c r="Q196" s="37" t="str">
        <x:v>ET036 (dòng 911)
ET041 (dòng 916)
ET066 (dòng 941)</x:v>
      </x:c>
      <x:c r="R196" s="37" t="str">
        <x:v>ET249 (dòng 1124)</x:v>
      </x:c>
      <x:c r="S196" s="11" t="str"/>
      <x:c r="T196" s="11" t="str">
        <x:v>Xác nhận — cùng biểu thức Anh</x:v>
      </x:c>
      <x:c r="U196" s="11" t="str">
        <x:v>N2 — Cơ quan, tổ chức</x:v>
      </x:c>
    </x:row>
    <x:row r="197" ht="100.5" customHeight="1">
      <x:c r="A197" s="14" t="n">
        <x:v>192</x:v>
      </x:c>
      <x:c r="B197" s="11" t="str">
        <x:v>C044</x:v>
      </x:c>
      <x:c r="C197" s="11" t="str">
        <x:v>Cơ quan quyền lực đáy đại dương</x:v>
      </x:c>
      <x:c r="D197" s="11" t="str">
        <x:v>Chưa chốt</x:v>
      </x:c>
      <x:c r="E197" s="11" t="str">
        <x:v>C — Chưa chốt từ nguyên</x:v>
      </x:c>
      <x:c r="F197" s="11" t="str">
        <x:v>국제해저기구</x:v>
      </x:c>
      <x:c r="G197" s="11" t="str">
        <x:v>Hán Hàn</x:v>
      </x:c>
      <x:c r="H197" s="11" t="str">
        <x:v>B — Phân tích tạm</x:v>
      </x:c>
      <x:c r="I197" s="11" t="str">
        <x:f>IF(AND(LEFT(E197,1)="A",LEFT(H197,1)="A"),"A/A — Có chứng cứ hai phía",IF(OR(LEFT(E197,1)="C",LEFT(H197,1)="C"),"C — Còn điểm chưa chốt",IF(AND(OR(LEFT(E197,1)="A",LEFT(E197,1)="B"),OR(LEFT(H197,1)="A",LEFT(H197,1)="B")),"B — Cần bổ sung chứng cứ","Kiểm tra mức chứng cứ")))</x:f>
        <x:v>C — Còn điểm chưa chốt</x:v>
      </x:c>
      <x:c r="J197" s="11" t="str">
        <x:v>Có chứng cứ cho thành tố</x:v>
      </x:c>
      <x:c r="K197" s="11" t="str">
        <x:v>Cơ quan [HV 機關]
quyền lực [HV 權力 *]
đáy [?]
đại dương [HV 大洋]</x:v>
      </x:c>
      <x:c r="L197" s="11" t="str">
        <x:v>국제해저기구 [HH 國際海底機構 *]</x:v>
      </x:c>
      <x:c r="M197" s="11" t="str">
        <x:v>Đã tách thành tố nhưng còn điểm từ nguyên/nghĩa chưa đủ bằng chứng; chưa đưa vào danh sách đã chốt.
Đáy được WOLD xếp probably borrowed, liên hệ với để 底; giữ chưa chốt thay vì gọi chắc chắn thuần Việt.</x:v>
      </x:c>
      <x:c r="N19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197" s="11" t="str">
        <x:v>Hán Hàn</x:v>
      </x:c>
      <x:c r="P197" s="11" t="str"/>
      <x:c r="Q197" s="37" t="str">
        <x:v>ET046 (dòng 921)
ET103 (dòng 978)
ET186 (dòng 1061)
ET187 (dòng 1062)</x:v>
      </x:c>
      <x:c r="R197" s="37" t="str">
        <x:v>ET268 (dòng 1143)
ET249 (dòng 1124)</x:v>
      </x:c>
      <x:c r="S197" s="11" t="str"/>
      <x:c r="T197" s="11" t="str">
        <x:v>Có điều kiện — chưa chốt</x:v>
      </x:c>
      <x:c r="U197" s="11" t="str">
        <x:v>N2 — Cơ quan, tổ chức</x:v>
      </x:c>
    </x:row>
    <x:row r="198" ht="130.5" customHeight="1">
      <x:c r="A198" s="14" t="n">
        <x:v>193</x:v>
      </x:c>
      <x:c r="B198" s="11" t="str">
        <x:v>C047</x:v>
      </x:c>
      <x:c r="C198" s="11" t="str">
        <x:v>Tổ chức Hợp tác Thượng Hải</x:v>
      </x:c>
      <x:c r="D198" s="11" t="str">
        <x:v>Hán Việt</x:v>
      </x:c>
      <x:c r="E198" s="11" t="str">
        <x:v>A — Có chứng cứ thành tố</x:v>
      </x:c>
      <x:c r="F198" s="11" t="str">
        <x:v>상하이협력기구</x:v>
      </x:c>
      <x:c r="G198" s="11" t="str">
        <x:v>Hán Hàn + ngoại lai khác</x:v>
      </x:c>
      <x:c r="H198" s="11" t="str">
        <x:v>B — Phân tích tạm</x:v>
      </x:c>
      <x:c r="I198" s="11" t="str">
        <x:f>IF(AND(LEFT(E198,1)="A",LEFT(H198,1)="A"),"A/A — Có chứng cứ hai phía",IF(OR(LEFT(E198,1)="C",LEFT(H198,1)="C"),"C — Còn điểm chưa chốt",IF(AND(OR(LEFT(E198,1)="A",LEFT(E198,1)="B"),OR(LEFT(H198,1)="A",LEFT(H198,1)="B")),"B — Cần bổ sung chứng cứ","Kiểm tra mức chứng cứ")))</x:f>
        <x:v>B — Cần bổ sung chứng cứ</x:v>
      </x:c>
      <x:c r="J198" s="11" t="str">
        <x:v>Có chứng cứ cho thành tố</x:v>
      </x:c>
      <x:c r="K198" s="11" t="str">
        <x:v>Tổ chức [HV 組織]
Hợp tác [HV 合作]
Thượng Hải [HV 上海]</x:v>
      </x:c>
      <x:c r="L198" s="11" t="str">
        <x:v>상하이 [NL]
협력기구 [HH 協力機構 *]</x:v>
      </x:c>
      <x:c r="M198" s="11" t="str">
        <x:v>Đã đối chiếu nguồn cho các thành tố Hán Việt cấu thành; nhãn toàn cụm là tổng hợp phân tích.
Thượng Hải 上海 là tên riêng đọc Hán Việt. Tính chất tên riêng và nguồn gốc Hán Việt là hai thuộc tính riêng.</x:v>
      </x:c>
      <x:c r="N19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상하이 là cách đọc tên riêng theo tiếng Trung hiện đại. Không dùng chữ gốc 上海 để gán 상하이 là Hán Hàn; dạng Hán Hàn là 상해.</x:v>
      </x:c>
      <x:c r="O198" s="11" t="str">
        <x:v>Hán Hàn + ngoại lai khác</x:v>
      </x:c>
      <x:c r="P198" s="11" t="str">
        <x:v>Việt: Thượng Hải — tên thành phố, dạng Hán Việt 上海
Hàn: 상하이</x:v>
      </x:c>
      <x:c r="Q198" s="37" t="str">
        <x:v>ET036 (dòng 911)
ET117 (dòng 992)
ET188 (dòng 1063)</x:v>
      </x:c>
      <x:c r="R198" s="37" t="str">
        <x:v>ET301 (dòng 1176)
ET282 (dòng 1157)
ET249 (dòng 1124)</x:v>
      </x:c>
      <x:c r="S198" s="11" t="str"/>
      <x:c r="T198" s="11" t="str">
        <x:v>Xác nhận — cùng biểu thức Anh</x:v>
      </x:c>
      <x:c r="U198" s="11" t="str">
        <x:v>N2 — Cơ quan, tổ chức</x:v>
      </x:c>
    </x:row>
    <x:row r="199" ht="85.5" customHeight="1">
      <x:c r="A199" s="14" t="n">
        <x:v>194</x:v>
      </x:c>
      <x:c r="B199" s="11" t="str">
        <x:v>C048</x:v>
      </x:c>
      <x:c r="C199" s="11" t="str">
        <x:v>Nghị viện châu Âu</x:v>
      </x:c>
      <x:c r="D199" s="11" t="str">
        <x:v>Hán Việt</x:v>
      </x:c>
      <x:c r="E199" s="11" t="str">
        <x:v>A — Có chứng cứ thành tố</x:v>
      </x:c>
      <x:c r="F199" s="11" t="str">
        <x:v>유럽의회</x:v>
      </x:c>
      <x:c r="G199" s="11" t="str">
        <x:v>Hán Hàn + ngoại lai khác</x:v>
      </x:c>
      <x:c r="H199" s="11" t="str">
        <x:v>B — Phân tích tạm</x:v>
      </x:c>
      <x:c r="I199" s="11" t="str">
        <x:f>IF(AND(LEFT(E199,1)="A",LEFT(H199,1)="A"),"A/A — Có chứng cứ hai phía",IF(OR(LEFT(E199,1)="C",LEFT(H199,1)="C"),"C — Còn điểm chưa chốt",IF(AND(OR(LEFT(E199,1)="A",LEFT(E199,1)="B"),OR(LEFT(H199,1)="A",LEFT(H199,1)="B")),"B — Cần bổ sung chứng cứ","Kiểm tra mức chứng cứ")))</x:f>
        <x:v>B — Cần bổ sung chứng cứ</x:v>
      </x:c>
      <x:c r="J199" s="11" t="str">
        <x:v>Có chứng cứ cho thành tố</x:v>
      </x:c>
      <x:c r="K199" s="11" t="str">
        <x:v>Nghị viện [HV 議院]
châu [HV 洲]
Âu [HV 歐]</x:v>
      </x:c>
      <x:c r="L199" s="11" t="str">
        <x:v>유럽 [NL]
의회 [HH 議會]</x:v>
      </x:c>
      <x:c r="M199" s="11" t="str">
        <x:v>Đã đối chiếu nguồn cho các thành tố Hán Việt cấu thành; nhãn toàn cụm là tổng hợp phân tích.
Âu là yếu tố tên châu lục qua chữ 歐; châu 洲 là Hán Việt. Trật tự châu Âu thuộc tiếng Việt.</x:v>
      </x:c>
      <x:c r="N199" s="11" t="str">
        <x:v>Phân tích cấu tạo của người rà soát; nguồn dưới đây chỉ chứng thực các thành tố được nêu. Chưa đối chiếu từ nguyên riêng cho toàn bộ thành tố.</x:v>
      </x:c>
      <x:c r="O199" s="11" t="str">
        <x:v>Hán Hàn + ngoại lai khác</x:v>
      </x:c>
      <x:c r="P199" s="11" t="str">
        <x:v>Việt: Âu — tên châu lục qua âm Hán Việt 歐
Hàn: 유럽</x:v>
      </x:c>
      <x:c r="Q199" s="37" t="str">
        <x:v>ET065 (dòng 940)
ET063 (dòng 938)
ET064 (dòng 939)</x:v>
      </x:c>
      <x:c r="R199" s="37" t="str">
        <x:v>ET250 (dòng 1125)</x:v>
      </x:c>
      <x:c r="S199" s="11" t="str"/>
      <x:c r="T199" s="11" t="str">
        <x:v>Xác nhận — cùng biểu thức Anh</x:v>
      </x:c>
      <x:c r="U199" s="11" t="str">
        <x:v>N2 — Cơ quan, tổ chức</x:v>
      </x:c>
    </x:row>
    <x:row r="200" ht="100.5" customHeight="1">
      <x:c r="A200" s="14" t="n">
        <x:v>195</x:v>
      </x:c>
      <x:c r="B200" s="11" t="str">
        <x:v>C049</x:v>
      </x:c>
      <x:c r="C200" s="11" t="str">
        <x:v>Chương trình phát triển Liên hợp quốc</x:v>
      </x:c>
      <x:c r="D200" s="11" t="str">
        <x:v>Hán Việt</x:v>
      </x:c>
      <x:c r="E200" s="11" t="str">
        <x:v>B — Phân tích tạm</x:v>
      </x:c>
      <x:c r="F200" s="11" t="str">
        <x:v>유엔개발계획</x:v>
      </x:c>
      <x:c r="G200" s="11" t="str">
        <x:v>Hán Hàn + ngoại lai khác</x:v>
      </x:c>
      <x:c r="H200" s="11" t="str">
        <x:v>B — Phân tích tạm</x:v>
      </x:c>
      <x:c r="I200" s="11" t="str">
        <x:f>IF(AND(LEFT(E200,1)="A",LEFT(H200,1)="A"),"A/A — Có chứng cứ hai phía",IF(OR(LEFT(E200,1)="C",LEFT(H200,1)="C"),"C — Còn điểm chưa chốt",IF(AND(OR(LEFT(E200,1)="A",LEFT(E200,1)="B"),OR(LEFT(H200,1)="A",LEFT(H200,1)="B")),"B — Cần bổ sung chứng cứ","Kiểm tra mức chứng cứ")))</x:f>
        <x:v>B — Cần bổ sung chứng cứ</x:v>
      </x:c>
      <x:c r="J200" s="11" t="str">
        <x:v>Có chứng cứ cho thành tố</x:v>
      </x:c>
      <x:c r="K200" s="11" t="str">
        <x:v>Chương trình [HV 章程 *]
phát triển [HV 發展]
Liên hợp quốc [HV 聯合國 *]</x:v>
      </x:c>
      <x:c r="L200" s="11" t="str">
        <x:v>유엔 [NL]
개발계획 [HH 開發計劃 *]</x:v>
      </x:c>
      <x:c r="M200" s="11" t="str">
        <x:v>Phân tích cấu tạo của người rà soát; nguồn đã kiểm tra chỉ xác nhận các thành tố được gắn mã nguồn, không phải mọi thành tố.</x:v>
      </x:c>
      <x:c r="N20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0" s="11" t="str">
        <x:v>Hán Hàn + ngoại lai khác</x:v>
      </x:c>
      <x:c r="P200" s="11" t="str">
        <x:v>Hàn: 유엔</x:v>
      </x:c>
      <x:c r="Q200" s="37" t="str">
        <x:v>ET189 (dòng 1064)
ET190 (dòng 1065)</x:v>
      </x:c>
      <x:c r="R200" s="37" t="str">
        <x:v>ET257 (dòng 1132)</x:v>
      </x:c>
      <x:c r="S200" s="11" t="str"/>
      <x:c r="T200" s="11" t="str">
        <x:v>Xác nhận — cùng biểu thức Anh</x:v>
      </x:c>
      <x:c r="U200" s="11" t="str">
        <x:v>N2 — Cơ quan, tổ chức</x:v>
      </x:c>
    </x:row>
    <x:row r="201" ht="100.5" customHeight="1">
      <x:c r="A201" s="14" t="n">
        <x:v>196</x:v>
      </x:c>
      <x:c r="B201" s="11" t="str">
        <x:v>C056</x:v>
      </x:c>
      <x:c r="C201" s="11" t="str">
        <x:v>cơ quan lập pháp</x:v>
      </x:c>
      <x:c r="D201" s="11" t="str">
        <x:v>Hán Việt</x:v>
      </x:c>
      <x:c r="E201" s="11" t="str">
        <x:v>A — Có chứng cứ thành tố</x:v>
      </x:c>
      <x:c r="F201" s="11" t="str">
        <x:v>입법기관</x:v>
      </x:c>
      <x:c r="G201" s="11" t="str">
        <x:v>Hán Hàn</x:v>
      </x:c>
      <x:c r="H201" s="11" t="str">
        <x:v>B — Phân tích tạm</x:v>
      </x:c>
      <x:c r="I201" s="11" t="str">
        <x:f>IF(AND(LEFT(E201,1)="A",LEFT(H201,1)="A"),"A/A — Có chứng cứ hai phía",IF(OR(LEFT(E201,1)="C",LEFT(H201,1)="C"),"C — Còn điểm chưa chốt",IF(AND(OR(LEFT(E201,1)="A",LEFT(E201,1)="B"),OR(LEFT(H201,1)="A",LEFT(H201,1)="B")),"B — Cần bổ sung chứng cứ","Kiểm tra mức chứng cứ")))</x:f>
        <x:v>B — Cần bổ sung chứng cứ</x:v>
      </x:c>
      <x:c r="J201" s="11" t="str">
        <x:v>Có chứng cứ cho thành tố</x:v>
      </x:c>
      <x:c r="K201" s="11" t="str">
        <x:v>cơ quan [HV 機關]
lập pháp [HV 立法]</x:v>
      </x:c>
      <x:c r="L201" s="11" t="str">
        <x:v>입법기관 [HH 立法機關 *]</x:v>
      </x:c>
      <x:c r="M201" s="11" t="str">
        <x:v>Đã đối chiếu nguồn cho các thành tố Hán Việt cấu thành; nhãn toàn cụm là tổng hợp phân tích.</x:v>
      </x:c>
      <x:c r="N20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1" s="11" t="str">
        <x:v>Hán Hàn</x:v>
      </x:c>
      <x:c r="P201" s="11" t="str"/>
      <x:c r="Q201" s="37" t="str">
        <x:v>ET046 (dòng 921)
ET134 (dòng 1009)</x:v>
      </x:c>
      <x:c r="R201" s="37" t="str">
        <x:v>ET287 (dòng 1162)</x:v>
      </x:c>
      <x:c r="S201" s="11" t="str"/>
      <x:c r="T201" s="11" t="str">
        <x:v>Ứng viên — còn thiếu chứng cứ</x:v>
      </x:c>
      <x:c r="U201" s="11" t="str">
        <x:v>N2 — Cơ quan, tổ chức</x:v>
      </x:c>
    </x:row>
    <x:row r="202" ht="100.5" customHeight="1">
      <x:c r="A202" s="14" t="n">
        <x:v>197</x:v>
      </x:c>
      <x:c r="B202" s="11" t="str">
        <x:v>C057</x:v>
      </x:c>
      <x:c r="C202" s="11" t="str">
        <x:v>tổ chức khu vực</x:v>
      </x:c>
      <x:c r="D202" s="11" t="str">
        <x:v>Hán Việt</x:v>
      </x:c>
      <x:c r="E202" s="11" t="str">
        <x:v>A — Có chứng cứ thành tố</x:v>
      </x:c>
      <x:c r="F202" s="11" t="str">
        <x:v>지역기구</x:v>
      </x:c>
      <x:c r="G202" s="11" t="str">
        <x:v>Hán Hàn</x:v>
      </x:c>
      <x:c r="H202" s="11" t="str">
        <x:v>B — Phân tích tạm</x:v>
      </x:c>
      <x:c r="I202" s="11" t="str">
        <x:f>IF(AND(LEFT(E202,1)="A",LEFT(H202,1)="A"),"A/A — Có chứng cứ hai phía",IF(OR(LEFT(E202,1)="C",LEFT(H202,1)="C"),"C — Còn điểm chưa chốt",IF(AND(OR(LEFT(E202,1)="A",LEFT(E202,1)="B"),OR(LEFT(H202,1)="A",LEFT(H202,1)="B")),"B — Cần bổ sung chứng cứ","Kiểm tra mức chứng cứ")))</x:f>
        <x:v>B — Cần bổ sung chứng cứ</x:v>
      </x:c>
      <x:c r="J202" s="11" t="str">
        <x:v>Có chứng cứ cho thành tố</x:v>
      </x:c>
      <x:c r="K202" s="11" t="str">
        <x:v>tổ chức [HV 組織]
khu vực [HV 區域]</x:v>
      </x:c>
      <x:c r="L202" s="11" t="str">
        <x:v>지역기구 [HH 地域機構 *]</x:v>
      </x:c>
      <x:c r="M202" s="11" t="str">
        <x:v>Đã đối chiếu nguồn cho các thành tố Hán Việt cấu thành; nhãn toàn cụm là tổng hợp phân tích.</x:v>
      </x:c>
      <x:c r="N20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2" s="11" t="str">
        <x:v>Hán Hàn</x:v>
      </x:c>
      <x:c r="P202" s="11" t="str"/>
      <x:c r="Q202" s="37" t="str">
        <x:v>ET036 (dòng 911)
ET115 (dòng 990)</x:v>
      </x:c>
      <x:c r="R202" s="37" t="str">
        <x:v>ET280 (dòng 1155)
ET249 (dòng 1124)</x:v>
      </x:c>
      <x:c r="S202" s="11" t="str"/>
      <x:c r="T202" s="11" t="str">
        <x:v>Ứng viên — còn thiếu chứng cứ</x:v>
      </x:c>
      <x:c r="U202" s="11" t="str">
        <x:v>N2 — Cơ quan, tổ chức</x:v>
      </x:c>
    </x:row>
    <x:row r="203" ht="100.5" customHeight="1">
      <x:c r="A203" s="14" t="n">
        <x:v>198</x:v>
      </x:c>
      <x:c r="B203" s="11" t="str">
        <x:v>C059</x:v>
      </x:c>
      <x:c r="C203" s="11" t="str">
        <x:v>Hội đồng Hòa bình về Gaza</x:v>
      </x:c>
      <x:c r="D203" s="11" t="str">
        <x:v>Chưa chốt</x:v>
      </x:c>
      <x:c r="E203" s="11" t="str">
        <x:v>C — Chưa chốt từ nguyên</x:v>
      </x:c>
      <x:c r="F203" s="11" t="str">
        <x:v>가자 평화위원회</x:v>
      </x:c>
      <x:c r="G203" s="11" t="str">
        <x:v>Hán Hàn + ngoại lai khác</x:v>
      </x:c>
      <x:c r="H203" s="11" t="str">
        <x:v>B — Phân tích tạm</x:v>
      </x:c>
      <x:c r="I203" s="11" t="str">
        <x:f>IF(AND(LEFT(E203,1)="A",LEFT(H203,1)="A"),"A/A — Có chứng cứ hai phía",IF(OR(LEFT(E203,1)="C",LEFT(H203,1)="C"),"C — Còn điểm chưa chốt",IF(AND(OR(LEFT(E203,1)="A",LEFT(E203,1)="B"),OR(LEFT(H203,1)="A",LEFT(H203,1)="B")),"B — Cần bổ sung chứng cứ","Kiểm tra mức chứng cứ")))</x:f>
        <x:v>C — Còn điểm chưa chốt</x:v>
      </x:c>
      <x:c r="J203" s="11" t="str">
        <x:v>Có chứng cứ cho thành tố</x:v>
      </x:c>
      <x:c r="K203" s="11" t="str">
        <x:v>Hội đồng [HV 會同]
Hòa bình [HV 和平]
về [?]
Gaza [NL]</x:v>
      </x:c>
      <x:c r="L203" s="11" t="str">
        <x:v>가자 [NL]
평화위원회 [HH 平和委員會 *]</x:v>
      </x:c>
      <x:c r="M203" s="11" t="str">
        <x:v>Đã tách thành tố nhưng còn điểm từ nguyên/nghĩa chưa đủ bằng chứng; chưa đưa vào danh sách đã chốt.
Gaza là tên riêng vay mượn; về là giới từ chưa có kết luận lịch sử riêng.</x:v>
      </x:c>
      <x:c r="N20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3" s="11" t="str">
        <x:v>Hán Hàn + ngoại lai khác</x:v>
      </x:c>
      <x:c r="P203" s="11" t="str">
        <x:v>Việt: Gaza — tên riêng dạng vay mượn
Hàn: 가자</x:v>
      </x:c>
      <x:c r="Q203" s="37" t="str">
        <x:v>ET016 (dòng 891)
ET191 (dòng 1066)
ET158 (dòng 1033)</x:v>
      </x:c>
      <x:c r="R203" s="37" t="str">
        <x:v>ET256 (dòng 1131)
ET255 (dòng 1130)
ET242 (dòng 1117)</x:v>
      </x:c>
      <x:c r="S203" s="11" t="str"/>
      <x:c r="T203" s="11" t="str">
        <x:v>Chưa đủ căn cứ đối chiếu</x:v>
      </x:c>
      <x:c r="U203" s="11" t="str">
        <x:v>N2 — Cơ quan, tổ chức</x:v>
      </x:c>
    </x:row>
    <x:row r="204" ht="145.5" customHeight="1">
      <x:c r="A204" s="14" t="n">
        <x:v>199</x:v>
      </x:c>
      <x:c r="B204" s="11" t="str">
        <x:v>C060</x:v>
      </x:c>
      <x:c r="C204" s="11" t="str">
        <x:v>không can thiệp vào công việc nội bộ của mỗi quốc gia</x:v>
      </x:c>
      <x:c r="D204" s="11" t="str">
        <x:v>Chưa chốt</x:v>
      </x:c>
      <x:c r="E204" s="11" t="str">
        <x:v>C — Chưa chốt từ nguyên</x:v>
      </x:c>
      <x:c r="F204" s="11" t="str">
        <x:v>내정 불간섭</x:v>
      </x:c>
      <x:c r="G204" s="11" t="str">
        <x:v>Hán Hàn</x:v>
      </x:c>
      <x:c r="H204" s="11" t="str">
        <x:v>B — Phân tích tạm</x:v>
      </x:c>
      <x:c r="I204" s="11" t="str">
        <x:f>IF(AND(LEFT(E204,1)="A",LEFT(H204,1)="A"),"A/A — Có chứng cứ hai phía",IF(OR(LEFT(E204,1)="C",LEFT(H204,1)="C"),"C — Còn điểm chưa chốt",IF(AND(OR(LEFT(E204,1)="A",LEFT(E204,1)="B"),OR(LEFT(H204,1)="A",LEFT(H204,1)="B")),"B — Cần bổ sung chứng cứ","Kiểm tra mức chứng cứ")))</x:f>
        <x:v>C — Còn điểm chưa chốt</x:v>
      </x:c>
      <x:c r="J204" s="11" t="str">
        <x:v>Có chứng cứ cho thành tố</x:v>
      </x:c>
      <x:c r="K204" s="11" t="str">
        <x:v>không [?]
can thiệp [HV 干涉 *]
vào [TV]
công [HV 工 *]
việc [?]
nội bộ [HV 內部 *]
của [TV]
mỗi [HV 每]
quốc gia [HV 國家]</x:v>
      </x:c>
      <x:c r="L204" s="11" t="str">
        <x:v>내정 [HH 內政 *]
불간섭 [HH 不干涉 *]</x:v>
      </x:c>
      <x:c r="M204" s="11" t="str">
        <x:v>Đã tách thành tố nhưng còn điểm từ nguyên/nghĩa chưa đủ bằng chứng; chưa đưa vào danh sách đã chốt.
Cả biểu thức có từ nội dung và hư từ. Không: WOLD chỉ probably borrowed; việc cũng cần kiểm chứng lịch sử. Không thể coi toàn chuỗi là Hán Việt.</x:v>
      </x:c>
      <x:c r="N20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04" s="11" t="str">
        <x:v>Hán Hàn</x:v>
      </x:c>
      <x:c r="P204" s="11" t="str"/>
      <x:c r="Q204" s="37" t="str">
        <x:v>ET192 (dòng 1067)
ET193 (dòng 1068)
ET194 (dòng 1069)
ET019 (dòng 894)</x:v>
      </x:c>
      <x:c r="R204" s="37" t="str">
        <x:v>Chưa có nguồn từ nguyên cụ thể trong lượt này</x:v>
      </x:c>
      <x:c r="S204" s="11" t="str"/>
      <x:c r="T204" s="11" t="str">
        <x:v>Ứng viên — còn thiếu chứng cứ</x:v>
      </x:c>
      <x:c r="U204" s="11" t="str">
        <x:v>N3 — Thể chế, tư tưởng</x:v>
      </x:c>
    </x:row>
    <x:row r="205" ht="100.5" customHeight="1">
      <x:c r="A205" s="14" t="n">
        <x:v>200</x:v>
      </x:c>
      <x:c r="B205" s="11" t="str">
        <x:v>C061</x:v>
      </x:c>
      <x:c r="C205" s="11" t="str">
        <x:v>bình đẳng chủ quyền</x:v>
      </x:c>
      <x:c r="D205" s="11" t="str">
        <x:v>Hán Việt</x:v>
      </x:c>
      <x:c r="E205" s="11" t="str">
        <x:v>A — Có chứng cứ thành tố</x:v>
      </x:c>
      <x:c r="F205" s="11" t="str">
        <x:v>주권 평등</x:v>
      </x:c>
      <x:c r="G205" s="11" t="str">
        <x:v>Hán Hàn</x:v>
      </x:c>
      <x:c r="H205" s="11" t="str">
        <x:v>B — Phân tích tạm</x:v>
      </x:c>
      <x:c r="I205" s="11" t="str">
        <x:f>IF(AND(LEFT(E205,1)="A",LEFT(H205,1)="A"),"A/A — Có chứng cứ hai phía",IF(OR(LEFT(E205,1)="C",LEFT(H205,1)="C"),"C — Còn điểm chưa chốt",IF(AND(OR(LEFT(E205,1)="A",LEFT(E205,1)="B"),OR(LEFT(H205,1)="A",LEFT(H205,1)="B")),"B — Cần bổ sung chứng cứ","Kiểm tra mức chứng cứ")))</x:f>
        <x:v>B — Cần bổ sung chứng cứ</x:v>
      </x:c>
      <x:c r="J205" s="11" t="str">
        <x:v>Có chứng cứ cho thành tố</x:v>
      </x:c>
      <x:c r="K205" s="11" t="str">
        <x:v>bình đẳng [HV 平等]
chủ quyền [HV 主權]</x:v>
      </x:c>
      <x:c r="L205" s="11" t="str">
        <x:v>주권 [HH 主權]
평등 [HH 平等 *]</x:v>
      </x:c>
      <x:c r="M205" s="11" t="str">
        <x:v>Đã đối chiếu nguồn cho các thành tố Hán Việt cấu thành; nhãn toàn cụm là tổng hợp phân tích.</x:v>
      </x:c>
      <x:c r="N20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5" s="11" t="str">
        <x:v>Hán Hàn</x:v>
      </x:c>
      <x:c r="P205" s="11" t="str"/>
      <x:c r="Q205" s="37" t="str">
        <x:v>ET195 (dòng 1070)
ET091 (dòng 966)</x:v>
      </x:c>
      <x:c r="R205" s="37" t="str">
        <x:v>ET273 (dòng 1148)</x:v>
      </x:c>
      <x:c r="S205" s="11" t="str"/>
      <x:c r="T205" s="11" t="str">
        <x:v>Ứng viên — còn thiếu chứng cứ</x:v>
      </x:c>
      <x:c r="U205" s="11" t="str">
        <x:v>N3 — Thể chế, tư tưởng</x:v>
      </x:c>
    </x:row>
    <x:row r="206" ht="100.5" customHeight="1">
      <x:c r="A206" s="14" t="n">
        <x:v>201</x:v>
      </x:c>
      <x:c r="B206" s="11" t="str">
        <x:v>C063</x:v>
      </x:c>
      <x:c r="C206" s="11" t="str">
        <x:v>quyền tài phán</x:v>
      </x:c>
      <x:c r="D206" s="11" t="str">
        <x:v>Hán Việt</x:v>
      </x:c>
      <x:c r="E206" s="11" t="str">
        <x:v>A — Có chứng cứ thành tố</x:v>
      </x:c>
      <x:c r="F206" s="11" t="str">
        <x:v>관할권</x:v>
      </x:c>
      <x:c r="G206" s="11" t="str">
        <x:v>Hán Hàn</x:v>
      </x:c>
      <x:c r="H206" s="11" t="str">
        <x:v>B — Phân tích tạm</x:v>
      </x:c>
      <x:c r="I206" s="11" t="str">
        <x:f>IF(AND(LEFT(E206,1)="A",LEFT(H206,1)="A"),"A/A — Có chứng cứ hai phía",IF(OR(LEFT(E206,1)="C",LEFT(H206,1)="C"),"C — Còn điểm chưa chốt",IF(AND(OR(LEFT(E206,1)="A",LEFT(E206,1)="B"),OR(LEFT(H206,1)="A",LEFT(H206,1)="B")),"B — Cần bổ sung chứng cứ","Kiểm tra mức chứng cứ")))</x:f>
        <x:v>B — Cần bổ sung chứng cứ</x:v>
      </x:c>
      <x:c r="J206" s="11" t="str">
        <x:v>Có chứng cứ cho thành tố</x:v>
      </x:c>
      <x:c r="K206" s="11" t="str">
        <x:v>quyền [HV 權]
tài phán [HV 裁判]</x:v>
      </x:c>
      <x:c r="L206" s="11" t="str">
        <x:v>관할권 [HH 管轄權 *]</x:v>
      </x:c>
      <x:c r="M206" s="11" t="str">
        <x:v>Đã đối chiếu nguồn cho các thành tố Hán Việt cấu thành; nhãn toàn cụm là tổng hợp phân tích.</x:v>
      </x:c>
      <x:c r="N206"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06" s="11" t="str">
        <x:v>Hán Hàn</x:v>
      </x:c>
      <x:c r="P206" s="11" t="str"/>
      <x:c r="Q206" s="37" t="str">
        <x:v>ET103 (dòng 978)
ET196 (dòng 1071)</x:v>
      </x:c>
      <x:c r="R206" s="37" t="str">
        <x:v>Chưa có nguồn từ nguyên cụ thể trong lượt này</x:v>
      </x:c>
      <x:c r="S206" s="11" t="str"/>
      <x:c r="T206" s="11" t="str">
        <x:v>Có điều kiện — chưa chốt</x:v>
      </x:c>
      <x:c r="U206" s="11" t="str">
        <x:v>N3 — Thể chế, tư tưởng</x:v>
      </x:c>
    </x:row>
    <x:row r="207" ht="100.5" customHeight="1">
      <x:c r="A207" s="14" t="n">
        <x:v>202</x:v>
      </x:c>
      <x:c r="B207" s="11" t="str">
        <x:v>C064</x:v>
      </x:c>
      <x:c r="C207" s="11" t="str">
        <x:v>tự do hàng hải</x:v>
      </x:c>
      <x:c r="D207" s="11" t="str">
        <x:v>Hán Việt</x:v>
      </x:c>
      <x:c r="E207" s="11" t="str">
        <x:v>A — Có chứng cứ thành tố</x:v>
      </x:c>
      <x:c r="F207" s="11" t="str">
        <x:v>항행의 자유</x:v>
      </x:c>
      <x:c r="G207" s="11" t="str">
        <x:v>Hán Hàn + ngữ pháp thuần Hàn</x:v>
      </x:c>
      <x:c r="H207" s="11" t="str">
        <x:v>B — Phân tích tạm</x:v>
      </x:c>
      <x:c r="I207" s="11" t="str">
        <x:f>IF(AND(LEFT(E207,1)="A",LEFT(H207,1)="A"),"A/A — Có chứng cứ hai phía",IF(OR(LEFT(E207,1)="C",LEFT(H207,1)="C"),"C — Còn điểm chưa chốt",IF(AND(OR(LEFT(E207,1)="A",LEFT(E207,1)="B"),OR(LEFT(H207,1)="A",LEFT(H207,1)="B")),"B — Cần bổ sung chứng cứ","Kiểm tra mức chứng cứ")))</x:f>
        <x:v>B — Cần bổ sung chứng cứ</x:v>
      </x:c>
      <x:c r="J207" s="11" t="str">
        <x:v>Có chứng cứ cho thành tố</x:v>
      </x:c>
      <x:c r="K207" s="11" t="str">
        <x:v>tự do [HV 自由]
hàng hải [HV 航海]</x:v>
      </x:c>
      <x:c r="L207" s="11" t="str">
        <x:v>항행 [HH 航行 *]
의 [NP]
자유 [HH 自由 *]</x:v>
      </x:c>
      <x:c r="M207" s="11" t="str">
        <x:v>Đã đối chiếu nguồn cho các thành tố Hán Việt cấu thành; nhãn toàn cụm là tổng hợp phân tích.</x:v>
      </x:c>
      <x:c r="N20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7" s="11" t="str">
        <x:v>Hán Hàn</x:v>
      </x:c>
      <x:c r="P207" s="11" t="str"/>
      <x:c r="Q207" s="37" t="str">
        <x:v>ET197 (dòng 1072)
ET198 (dòng 1073)</x:v>
      </x:c>
      <x:c r="R207" s="37" t="str">
        <x:v>ET260 (dòng 1135)
ET261 (dòng 1136)</x:v>
      </x:c>
      <x:c r="S207" s="11" t="str"/>
      <x:c r="T207" s="11" t="str">
        <x:v>Ứng viên — còn thiếu chứng cứ</x:v>
      </x:c>
      <x:c r="U207" s="11" t="str">
        <x:v>N3 — Thể chế, tư tưởng</x:v>
      </x:c>
    </x:row>
    <x:row r="208" ht="100.5" customHeight="1">
      <x:c r="A208" s="14" t="n">
        <x:v>203</x:v>
      </x:c>
      <x:c r="B208" s="11" t="str">
        <x:v>C067</x:v>
      </x:c>
      <x:c r="C208" s="11" t="str">
        <x:v>giải quyết tranh chấp bằng biện pháp hòa bình</x:v>
      </x:c>
      <x:c r="D208" s="11" t="str">
        <x:v>Chưa chốt</x:v>
      </x:c>
      <x:c r="E208" s="11" t="str">
        <x:v>C — Chưa chốt từ nguyên</x:v>
      </x:c>
      <x:c r="F208" s="11" t="str">
        <x:v>분쟁의 평화적 해결</x:v>
      </x:c>
      <x:c r="G208" s="11" t="str">
        <x:v>Hán Hàn + ngữ pháp thuần Hàn</x:v>
      </x:c>
      <x:c r="H208" s="11" t="str">
        <x:v>B — Phân tích tạm</x:v>
      </x:c>
      <x:c r="I208" s="11" t="str">
        <x:f>IF(AND(LEFT(E208,1)="A",LEFT(H208,1)="A"),"A/A — Có chứng cứ hai phía",IF(OR(LEFT(E208,1)="C",LEFT(H208,1)="C"),"C — Còn điểm chưa chốt",IF(AND(OR(LEFT(E208,1)="A",LEFT(E208,1)="B"),OR(LEFT(H208,1)="A",LEFT(H208,1)="B")),"B — Cần bổ sung chứng cứ","Kiểm tra mức chứng cứ")))</x:f>
        <x:v>C — Còn điểm chưa chốt</x:v>
      </x:c>
      <x:c r="J208" s="11" t="str">
        <x:v>Có chứng cứ cho thành tố</x:v>
      </x:c>
      <x:c r="K208" s="11" t="str">
        <x:v>giải quyết [HV 解決 *]
tranh chấp [HV 爭執 *]
bằng [?]
biện pháp [HV 辦法 *]
hòa bình [HV 和平]</x:v>
      </x:c>
      <x:c r="L208" s="11" t="str">
        <x:v>분쟁 [HH 紛爭 *]
의 [NP]
평화적 [HH 平和的 *]
해결 [HH 解決 *]</x:v>
      </x:c>
      <x:c r="M208" s="11" t="str">
        <x:v>Đã tách thành tố nhưng còn điểm từ nguyên/nghĩa chưa đủ bằng chứng; chưa đưa vào danh sách đã chốt.
Bằng ở đây là giới từ chỉ phương tiện. WOLD bằng nghĩa phẳng có ghi probably borrowed, chưa đủ xác nhận cùng lịch sử với giới từ bằng.</x:v>
      </x:c>
      <x:c r="N20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8" s="11" t="str">
        <x:v>Hán Hàn</x:v>
      </x:c>
      <x:c r="P208" s="11" t="str"/>
      <x:c r="Q208" s="37" t="str">
        <x:v>ET166 (dòng 1041)
ET199 (dòng 1074)
ET176 (dòng 1051)
ET191 (dòng 1066)</x:v>
      </x:c>
      <x:c r="R208" s="37" t="str">
        <x:v>ET260 (dòng 1135)
ET261 (dòng 1136)</x:v>
      </x:c>
      <x:c r="S208" s="11" t="str"/>
      <x:c r="T208" s="11" t="str">
        <x:v>Ứng viên — còn thiếu chứng cứ</x:v>
      </x:c>
      <x:c r="U208" s="11" t="str">
        <x:v>N3 — Thể chế, tư tưởng</x:v>
      </x:c>
    </x:row>
    <x:row r="209" ht="100.5" customHeight="1">
      <x:c r="A209" s="14" t="n">
        <x:v>204</x:v>
      </x:c>
      <x:c r="B209" s="11" t="str">
        <x:v>C068</x:v>
      </x:c>
      <x:c r="C209" s="11" t="str">
        <x:v>an ninh phi truyền thống</x:v>
      </x:c>
      <x:c r="D209" s="11" t="str">
        <x:v>Hán Việt</x:v>
      </x:c>
      <x:c r="E209" s="11" t="str">
        <x:v>B — Phân tích tạm</x:v>
      </x:c>
      <x:c r="F209" s="11" t="str">
        <x:v>비전통 안보</x:v>
      </x:c>
      <x:c r="G209" s="11" t="str">
        <x:v>Hán Hàn</x:v>
      </x:c>
      <x:c r="H209" s="11" t="str">
        <x:v>B — Phân tích tạm</x:v>
      </x:c>
      <x:c r="I209" s="11" t="str">
        <x:f>IF(AND(LEFT(E209,1)="A",LEFT(H209,1)="A"),"A/A — Có chứng cứ hai phía",IF(OR(LEFT(E209,1)="C",LEFT(H209,1)="C"),"C — Còn điểm chưa chốt",IF(AND(OR(LEFT(E209,1)="A",LEFT(E209,1)="B"),OR(LEFT(H209,1)="A",LEFT(H209,1)="B")),"B — Cần bổ sung chứng cứ","Kiểm tra mức chứng cứ")))</x:f>
        <x:v>B — Cần bổ sung chứng cứ</x:v>
      </x:c>
      <x:c r="J209" s="11" t="str">
        <x:v>Có chứng cứ cho thành tố</x:v>
      </x:c>
      <x:c r="K209" s="11" t="str">
        <x:v>an ninh [HV 安寧]
phi [HV 非 *]
truyền thống [HV 傳統]</x:v>
      </x:c>
      <x:c r="L209" s="11" t="str">
        <x:v>비전통 [HH 非傳統 *]
안보 [HH 安保]</x:v>
      </x:c>
      <x:c r="M209" s="11" t="str">
        <x:v>Phân tích cấu tạo của người rà soát; nguồn đã kiểm tra chỉ xác nhận các thành tố được gắn mã nguồn, không phải mọi thành tố.</x:v>
      </x:c>
      <x:c r="N20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09" s="11" t="str">
        <x:v>Hán Hàn</x:v>
      </x:c>
      <x:c r="P209" s="11" t="str"/>
      <x:c r="Q209" s="37" t="str">
        <x:v>ET181 (dòng 1056)
ET200 (dòng 1075)</x:v>
      </x:c>
      <x:c r="R209" s="37" t="str">
        <x:v>ET299 (dòng 1174)
ET246 (dòng 1121)
ET280 (dòng 1155)</x:v>
      </x:c>
      <x:c r="S209" s="11" t="str"/>
      <x:c r="T209" s="11" t="str">
        <x:v>Xác nhận — cùng biểu thức Anh</x:v>
      </x:c>
      <x:c r="U209" s="11" t="str">
        <x:v>Cần xem xét</x:v>
      </x:c>
    </x:row>
    <x:row r="210" ht="85.5" customHeight="1">
      <x:c r="A210" s="14" t="n">
        <x:v>205</x:v>
      </x:c>
      <x:c r="B210" s="11" t="str">
        <x:v>C069</x:v>
      </x:c>
      <x:c r="C210" s="11" t="str">
        <x:v>an ninh hàng hải</x:v>
      </x:c>
      <x:c r="D210" s="11" t="str">
        <x:v>Hán Việt</x:v>
      </x:c>
      <x:c r="E210" s="11" t="str">
        <x:v>A — Có chứng cứ thành tố</x:v>
      </x:c>
      <x:c r="F210" s="11" t="str">
        <x:v>해양 안보</x:v>
      </x:c>
      <x:c r="G210" s="11" t="str">
        <x:v>Hán Hàn</x:v>
      </x:c>
      <x:c r="H210" s="11" t="str">
        <x:v>A — Có chứng cứ thành tố</x:v>
      </x:c>
      <x:c r="I210" s="11" t="str">
        <x:f>IF(AND(LEFT(E210,1)="A",LEFT(H210,1)="A"),"A/A — Có chứng cứ hai phía",IF(OR(LEFT(E210,1)="C",LEFT(H210,1)="C"),"C — Còn điểm chưa chốt",IF(AND(OR(LEFT(E210,1)="A",LEFT(E210,1)="B"),OR(LEFT(H210,1)="A",LEFT(H210,1)="B")),"B — Cần bổ sung chứng cứ","Kiểm tra mức chứng cứ")))</x:f>
        <x:v>A/A — Có chứng cứ hai phía</x:v>
      </x:c>
      <x:c r="J210" s="11" t="str">
        <x:v>Có chứng cứ cho thành tố</x:v>
      </x:c>
      <x:c r="K210" s="11" t="str">
        <x:v>an ninh [HV 安寧]
hàng hải [HV 航海]</x:v>
      </x:c>
      <x:c r="L210" s="11" t="str">
        <x:v>해양 [HH 海洋]
안보 [HH 安保]</x:v>
      </x:c>
      <x:c r="M210" s="11" t="str">
        <x:v>Đã đối chiếu nguồn cho các thành tố Hán Việt cấu thành; nhãn toàn cụm là tổng hợp phân tích.</x:v>
      </x:c>
      <x:c r="N210" s="11" t="str">
        <x:v>Đã tìm thấy nguồn mục từ/thành tố ghi nguyên dạng hoặc lớp từ cho toàn bộ thành tố quyết định kết luận.</x:v>
      </x:c>
      <x:c r="O210" s="11" t="str">
        <x:v>Hán Hàn</x:v>
      </x:c>
      <x:c r="P210" s="11" t="str"/>
      <x:c r="Q210" s="37" t="str">
        <x:v>ET181 (dòng 1056)
ET198 (dòng 1073)</x:v>
      </x:c>
      <x:c r="R210" s="37" t="str">
        <x:v>ET292 (dòng 1167)
ET299 (dòng 1174)
ET246 (dòng 1121)
ET280 (dòng 1155)</x:v>
      </x:c>
      <x:c r="S210" s="11" t="str"/>
      <x:c r="T210" s="11" t="str">
        <x:v>Có điều kiện — chưa chốt</x:v>
      </x:c>
      <x:c r="U210" s="11" t="str">
        <x:v>Cần xem xét</x:v>
      </x:c>
    </x:row>
    <x:row r="211" ht="100.5" customHeight="1">
      <x:c r="A211" s="14" t="n">
        <x:v>206</x:v>
      </x:c>
      <x:c r="B211" s="11" t="str">
        <x:v>C070</x:v>
      </x:c>
      <x:c r="C211" s="11" t="str">
        <x:v>an ninh lương thực</x:v>
      </x:c>
      <x:c r="D211" s="11" t="str">
        <x:v>Hán Việt</x:v>
      </x:c>
      <x:c r="E211" s="11" t="str">
        <x:v>A — Có chứng cứ thành tố</x:v>
      </x:c>
      <x:c r="F211" s="11" t="str">
        <x:v>식량안보</x:v>
      </x:c>
      <x:c r="G211" s="11" t="str">
        <x:v>Hán Hàn</x:v>
      </x:c>
      <x:c r="H211" s="11" t="str">
        <x:v>B — Phân tích tạm</x:v>
      </x:c>
      <x:c r="I211" s="11" t="str">
        <x:f>IF(AND(LEFT(E211,1)="A",LEFT(H211,1)="A"),"A/A — Có chứng cứ hai phía",IF(OR(LEFT(E211,1)="C",LEFT(H211,1)="C"),"C — Còn điểm chưa chốt",IF(AND(OR(LEFT(E211,1)="A",LEFT(E211,1)="B"),OR(LEFT(H211,1)="A",LEFT(H211,1)="B")),"B — Cần bổ sung chứng cứ","Kiểm tra mức chứng cứ")))</x:f>
        <x:v>B — Cần bổ sung chứng cứ</x:v>
      </x:c>
      <x:c r="J211" s="11" t="str">
        <x:v>Có chứng cứ cho thành tố</x:v>
      </x:c>
      <x:c r="K211" s="11" t="str">
        <x:v>an ninh [HV 安寧]
lương thực [HV 糧食]</x:v>
      </x:c>
      <x:c r="L211" s="11" t="str">
        <x:v>식량안보 [HH 食糧安保 *]</x:v>
      </x:c>
      <x:c r="M211" s="11" t="str">
        <x:v>Đã đối chiếu nguồn cho các thành tố Hán Việt cấu thành; nhãn toàn cụm là tổng hợp phân tích.</x:v>
      </x:c>
      <x:c r="N21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11" s="11" t="str">
        <x:v>Hán Hàn</x:v>
      </x:c>
      <x:c r="P211" s="11" t="str"/>
      <x:c r="Q211" s="37" t="str">
        <x:v>ET181 (dòng 1056)
ET201 (dòng 1076)</x:v>
      </x:c>
      <x:c r="R211" s="37" t="str">
        <x:v>ET299 (dòng 1174)
ET246 (dòng 1121)
ET280 (dòng 1155)
ET273 (dòng 1148)</x:v>
      </x:c>
      <x:c r="S211" s="11" t="str"/>
      <x:c r="T211" s="11" t="str">
        <x:v>Xác nhận — cùng biểu thức Anh</x:v>
      </x:c>
      <x:c r="U211" s="11" t="str">
        <x:v>Cần xem xét</x:v>
      </x:c>
    </x:row>
    <x:row r="212" ht="100.5" customHeight="1">
      <x:c r="A212" s="14" t="n">
        <x:v>207</x:v>
      </x:c>
      <x:c r="B212" s="11" t="str">
        <x:v>C071</x:v>
      </x:c>
      <x:c r="C212" s="11" t="str">
        <x:v>an ninh kinh tế</x:v>
      </x:c>
      <x:c r="D212" s="11" t="str">
        <x:v>Hán Việt</x:v>
      </x:c>
      <x:c r="E212" s="11" t="str">
        <x:v>A — Có chứng cứ thành tố</x:v>
      </x:c>
      <x:c r="F212" s="11" t="str">
        <x:v>경제안보</x:v>
      </x:c>
      <x:c r="G212" s="11" t="str">
        <x:v>Hán Hàn</x:v>
      </x:c>
      <x:c r="H212" s="11" t="str">
        <x:v>B — Phân tích tạm</x:v>
      </x:c>
      <x:c r="I212" s="11" t="str">
        <x:f>IF(AND(LEFT(E212,1)="A",LEFT(H212,1)="A"),"A/A — Có chứng cứ hai phía",IF(OR(LEFT(E212,1)="C",LEFT(H212,1)="C"),"C — Còn điểm chưa chốt",IF(AND(OR(LEFT(E212,1)="A",LEFT(E212,1)="B"),OR(LEFT(H212,1)="A",LEFT(H212,1)="B")),"B — Cần bổ sung chứng cứ","Kiểm tra mức chứng cứ")))</x:f>
        <x:v>B — Cần bổ sung chứng cứ</x:v>
      </x:c>
      <x:c r="J212" s="11" t="str">
        <x:v>Có chứng cứ cho thành tố</x:v>
      </x:c>
      <x:c r="K212" s="11" t="str">
        <x:v>an ninh [HV 安寧]
kinh tế [HV 經濟]</x:v>
      </x:c>
      <x:c r="L212" s="11" t="str">
        <x:v>경제안보 [HH 經濟安保 *]</x:v>
      </x:c>
      <x:c r="M212" s="11" t="str">
        <x:v>Đã đối chiếu nguồn cho các thành tố Hán Việt cấu thành; nhãn toàn cụm là tổng hợp phân tích.</x:v>
      </x:c>
      <x:c r="N21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12" s="11" t="str">
        <x:v>Hán Hàn</x:v>
      </x:c>
      <x:c r="P212" s="11" t="str"/>
      <x:c r="Q212" s="37" t="str">
        <x:v>ET181 (dòng 1056)
ET138 (dòng 1013)</x:v>
      </x:c>
      <x:c r="R212" s="37" t="str">
        <x:v>ET299 (dòng 1174)
ET246 (dòng 1121)
ET280 (dòng 1155)</x:v>
      </x:c>
      <x:c r="S212" s="11" t="str"/>
      <x:c r="T212" s="11" t="str">
        <x:v>Ứng viên — còn thiếu chứng cứ</x:v>
      </x:c>
      <x:c r="U212" s="11" t="str">
        <x:v>Cần xem xét</x:v>
      </x:c>
    </x:row>
    <x:row r="213" ht="85.5" customHeight="1">
      <x:c r="A213" s="14" t="n">
        <x:v>208</x:v>
      </x:c>
      <x:c r="B213" s="11" t="str">
        <x:v>C072</x:v>
      </x:c>
      <x:c r="C213" s="11" t="str">
        <x:v>an ninh năng lượng</x:v>
      </x:c>
      <x:c r="D213" s="11" t="str">
        <x:v>Hán Việt</x:v>
      </x:c>
      <x:c r="E213" s="11" t="str">
        <x:v>A — Có chứng cứ thành tố</x:v>
      </x:c>
      <x:c r="F213" s="11" t="str">
        <x:v>에너지 안보</x:v>
      </x:c>
      <x:c r="G213" s="11" t="str">
        <x:v>Hán Hàn + ngoại lai khác</x:v>
      </x:c>
      <x:c r="H213" s="11" t="str">
        <x:v>A — Có chứng cứ thành tố</x:v>
      </x:c>
      <x:c r="I213" s="11" t="str">
        <x:f>IF(AND(LEFT(E213,1)="A",LEFT(H213,1)="A"),"A/A — Có chứng cứ hai phía",IF(OR(LEFT(E213,1)="C",LEFT(H213,1)="C"),"C — Còn điểm chưa chốt",IF(AND(OR(LEFT(E213,1)="A",LEFT(E213,1)="B"),OR(LEFT(H213,1)="A",LEFT(H213,1)="B")),"B — Cần bổ sung chứng cứ","Kiểm tra mức chứng cứ")))</x:f>
        <x:v>A/A — Có chứng cứ hai phía</x:v>
      </x:c>
      <x:c r="J213" s="11" t="str">
        <x:v>Có chứng cứ cho thành tố</x:v>
      </x:c>
      <x:c r="K213" s="11" t="str">
        <x:v>an ninh [HV 安寧]
năng lượng [HV 能量]</x:v>
      </x:c>
      <x:c r="L213" s="11" t="str">
        <x:v>에너지 [NL]
안보 [HH 安保]</x:v>
      </x:c>
      <x:c r="M213" s="11" t="str">
        <x:v>Đã đối chiếu nguồn cho các thành tố Hán Việt cấu thành; nhãn toàn cụm là tổng hợp phân tích.</x:v>
      </x:c>
      <x:c r="N213" s="11" t="str">
        <x:v>Đã tìm thấy nguồn mục từ/thành tố ghi nguyên dạng hoặc lớp từ cho toàn bộ thành tố quyết định kết luận.</x:v>
      </x:c>
      <x:c r="O213" s="11" t="str">
        <x:v>Hán Hàn + ngoại lai khác</x:v>
      </x:c>
      <x:c r="P213" s="11" t="str"/>
      <x:c r="Q213" s="37" t="str">
        <x:v>ET181 (dòng 1056)
ET202 (dòng 1077)</x:v>
      </x:c>
      <x:c r="R213" s="37" t="str">
        <x:v>ET302 (dòng 1177)
ET299 (dòng 1174)
ET246 (dòng 1121)
ET280 (dòng 1155)</x:v>
      </x:c>
      <x:c r="S213" s="11" t="str"/>
      <x:c r="T213" s="11" t="str">
        <x:v>Xác nhận — cùng biểu thức Anh</x:v>
      </x:c>
      <x:c r="U213" s="11" t="str">
        <x:v>Cần xem xét</x:v>
      </x:c>
    </x:row>
    <x:row r="214" ht="85.5" customHeight="1">
      <x:c r="A214" s="14" t="n">
        <x:v>209</x:v>
      </x:c>
      <x:c r="B214" s="11" t="str">
        <x:v>C073</x:v>
      </x:c>
      <x:c r="C214" s="11" t="str">
        <x:v>an ninh mạng</x:v>
      </x:c>
      <x:c r="D214" s="11" t="str">
        <x:v>Chưa chốt</x:v>
      </x:c>
      <x:c r="E214" s="11" t="str">
        <x:v>C — Chưa chốt từ nguyên</x:v>
      </x:c>
      <x:c r="F214" s="11" t="str">
        <x:v>사이버 안보</x:v>
      </x:c>
      <x:c r="G214" s="11" t="str">
        <x:v>Hán Hàn + ngoại lai khác</x:v>
      </x:c>
      <x:c r="H214" s="11" t="str">
        <x:v>A — Có chứng cứ thành tố</x:v>
      </x:c>
      <x:c r="I214" s="11" t="str">
        <x:f>IF(AND(LEFT(E214,1)="A",LEFT(H214,1)="A"),"A/A — Có chứng cứ hai phía",IF(OR(LEFT(E214,1)="C",LEFT(H214,1)="C"),"C — Còn điểm chưa chốt",IF(AND(OR(LEFT(E214,1)="A",LEFT(E214,1)="B"),OR(LEFT(H214,1)="A",LEFT(H214,1)="B")),"B — Cần bổ sung chứng cứ","Kiểm tra mức chứng cứ")))</x:f>
        <x:v>C — Còn điểm chưa chốt</x:v>
      </x:c>
      <x:c r="J214" s="11" t="str">
        <x:v>Có chứng cứ cho thành tố</x:v>
      </x:c>
      <x:c r="K214" s="11" t="str">
        <x:v>an ninh [HV 安寧]
mạng [?]</x:v>
      </x:c>
      <x:c r="L214" s="11" t="str">
        <x:v>사이버 [NL]
안보 [HH 安保]</x:v>
      </x:c>
      <x:c r="M214" s="11" t="str">
        <x:v>Đã tách thành tố nhưng còn điểm từ nguyên/nghĩa chưa đủ bằng chứng; chưa đưa vào danh sách đã chốt.
Mạng ở nghĩa network cần phân biệt với mạng/mệnh nghĩa life. WOLD ghi ở chú thích mạng nhện rằng mạng có khả năng liên hệ với võng 網; chưa kết luận chắc.</x:v>
      </x:c>
      <x:c r="N214" s="11" t="str">
        <x:v>Đã tìm thấy nguồn mục từ/thành tố ghi nguyên dạng hoặc lớp từ cho toàn bộ thành tố quyết định kết luận.</x:v>
      </x:c>
      <x:c r="O214" s="11" t="str">
        <x:v>Hán Hàn + ngoại lai khác</x:v>
      </x:c>
      <x:c r="P214" s="11" t="str"/>
      <x:c r="Q214" s="37" t="str">
        <x:v>ET181 (dòng 1056)
ET203 (dòng 1078)</x:v>
      </x:c>
      <x:c r="R214" s="37" t="str">
        <x:v>ET303 (dòng 1178)
ET299 (dòng 1174)
ET246 (dòng 1121)
ET280 (dòng 1155)</x:v>
      </x:c>
      <x:c r="S214" s="11" t="str"/>
      <x:c r="T214" s="11" t="str">
        <x:v>Có điều kiện — chưa chốt</x:v>
      </x:c>
      <x:c r="U214" s="11" t="str">
        <x:v>Cần xem xét</x:v>
      </x:c>
    </x:row>
    <x:row r="215" ht="100.5" customHeight="1">
      <x:c r="A215" s="14" t="n">
        <x:v>210</x:v>
      </x:c>
      <x:c r="B215" s="11" t="str">
        <x:v>C076</x:v>
      </x:c>
      <x:c r="C215" s="11" t="str">
        <x:v>thượng tôn pháp luật</x:v>
      </x:c>
      <x:c r="D215" s="11" t="str">
        <x:v>Hán Việt</x:v>
      </x:c>
      <x:c r="E215" s="11" t="str">
        <x:v>B — Phân tích tạm</x:v>
      </x:c>
      <x:c r="F215" s="11" t="str">
        <x:v>법치주의</x:v>
      </x:c>
      <x:c r="G215" s="11" t="str">
        <x:v>Hán Hàn</x:v>
      </x:c>
      <x:c r="H215" s="11" t="str">
        <x:v>B — Phân tích tạm</x:v>
      </x:c>
      <x:c r="I215" s="11" t="str">
        <x:f>IF(AND(LEFT(E215,1)="A",LEFT(H215,1)="A"),"A/A — Có chứng cứ hai phía",IF(OR(LEFT(E215,1)="C",LEFT(H215,1)="C"),"C — Còn điểm chưa chốt",IF(AND(OR(LEFT(E215,1)="A",LEFT(E215,1)="B"),OR(LEFT(H215,1)="A",LEFT(H215,1)="B")),"B — Cần bổ sung chứng cứ","Kiểm tra mức chứng cứ")))</x:f>
        <x:v>B — Cần bổ sung chứng cứ</x:v>
      </x:c>
      <x:c r="J215" s="11" t="str">
        <x:v>Có chứng cứ cho thành tố</x:v>
      </x:c>
      <x:c r="K215" s="11" t="str">
        <x:v>thượng tôn [HV 尚尊 *]
pháp luật [HV 法律]</x:v>
      </x:c>
      <x:c r="L215" s="11" t="str">
        <x:v>법치주의 [HH 法治主義 *]</x:v>
      </x:c>
      <x:c r="M215" s="11" t="str">
        <x:v>Phân tích cấu tạo của người rà soát; nguồn đã kiểm tra chỉ xác nhận các thành tố được gắn mã nguồn, không phải mọi thành tố.
Thượng tôn 尚尊 là đề xuất tách yếu tố trong nghĩa đề cao/tôn trọng; không suy chữ Hán từ từ tiếng Anh rule of law.</x:v>
      </x:c>
      <x:c r="N215"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15" s="11" t="str">
        <x:v>Hán Hàn</x:v>
      </x:c>
      <x:c r="P215" s="11" t="str"/>
      <x:c r="Q215" s="37" t="str">
        <x:v>ET149 (dòng 1024)</x:v>
      </x:c>
      <x:c r="R215" s="37" t="str">
        <x:v>ET271 (dòng 1146)</x:v>
      </x:c>
      <x:c r="S215" s="11" t="str"/>
      <x:c r="T215" s="11" t="str">
        <x:v>Lệch nghĩa / phạm vi</x:v>
      </x:c>
      <x:c r="U215" s="11" t="str">
        <x:v>N3 — Thể chế, tư tưởng</x:v>
      </x:c>
    </x:row>
    <x:row r="216" ht="85.5" customHeight="1">
      <x:c r="A216" s="14" t="n">
        <x:v>211</x:v>
      </x:c>
      <x:c r="B216" s="11" t="str">
        <x:v>C085</x:v>
      </x:c>
      <x:c r="C216" s="11" t="str">
        <x:v>quản trị toàn cầu</x:v>
      </x:c>
      <x:c r="D216" s="11" t="str">
        <x:v>Hán Việt</x:v>
      </x:c>
      <x:c r="E216" s="11" t="str">
        <x:v>A — Có chứng cứ thành tố</x:v>
      </x:c>
      <x:c r="F216" s="11" t="str">
        <x:v>글로벌 거버넌스</x:v>
      </x:c>
      <x:c r="G216" s="11" t="str">
        <x:v>Ngoại lai khác</x:v>
      </x:c>
      <x:c r="H216" s="11" t="str">
        <x:v>A — Có chứng cứ thành tố</x:v>
      </x:c>
      <x:c r="I216" s="11" t="str">
        <x:f>IF(AND(LEFT(E216,1)="A",LEFT(H216,1)="A"),"A/A — Có chứng cứ hai phía",IF(OR(LEFT(E216,1)="C",LEFT(H216,1)="C"),"C — Còn điểm chưa chốt",IF(AND(OR(LEFT(E216,1)="A",LEFT(E216,1)="B"),OR(LEFT(H216,1)="A",LEFT(H216,1)="B")),"B — Cần bổ sung chứng cứ","Kiểm tra mức chứng cứ")))</x:f>
        <x:v>A/A — Có chứng cứ hai phía</x:v>
      </x:c>
      <x:c r="J216" s="11" t="str">
        <x:v>Có chứng cứ cho thành tố</x:v>
      </x:c>
      <x:c r="K216" s="11" t="str">
        <x:v>quản trị [HV 管治]
toàn cầu [HV 全球]</x:v>
      </x:c>
      <x:c r="L216" s="11" t="str">
        <x:v>글로벌 [NL]
거버넌스 [NL]</x:v>
      </x:c>
      <x:c r="M216" s="11" t="str">
        <x:v>Đã đối chiếu nguồn cho các thành tố Hán Việt cấu thành; nhãn toàn cụm là tổng hợp phân tích.</x:v>
      </x:c>
      <x:c r="N216" s="11" t="str">
        <x:v>Đã tìm thấy nguồn mục từ/thành tố ghi nguyên dạng hoặc lớp từ cho toàn bộ thành tố quyết định kết luận.</x:v>
      </x:c>
      <x:c r="O216" s="11" t="str">
        <x:v>Ngoại lai khác</x:v>
      </x:c>
      <x:c r="P216" s="11" t="str"/>
      <x:c r="Q216" s="37" t="str">
        <x:v>ET142 (dòng 1017)
ET204 (dòng 1079)</x:v>
      </x:c>
      <x:c r="R216" s="37" t="str">
        <x:v>ET304 (dòng 1179)
ET290 (dòng 1165)</x:v>
      </x:c>
      <x:c r="S216" s="11" t="str"/>
      <x:c r="T216" s="11" t="str">
        <x:v>Xác nhận — cùng biểu thức Anh</x:v>
      </x:c>
      <x:c r="U216" s="11" t="str">
        <x:v>N4 — Quan hệ, hoạt động</x:v>
      </x:c>
    </x:row>
    <x:row r="217" ht="100.5" customHeight="1">
      <x:c r="A217" s="14" t="n">
        <x:v>212</x:v>
      </x:c>
      <x:c r="B217" s="11" t="str">
        <x:v>C086</x:v>
      </x:c>
      <x:c r="C217" s="11" t="str">
        <x:v>trật tự quốc tế</x:v>
      </x:c>
      <x:c r="D217" s="11" t="str">
        <x:v>Hán Việt</x:v>
      </x:c>
      <x:c r="E217" s="11" t="str">
        <x:v>A — Có chứng cứ thành tố</x:v>
      </x:c>
      <x:c r="F217" s="11" t="str">
        <x:v>국제질서</x:v>
      </x:c>
      <x:c r="G217" s="11" t="str">
        <x:v>Hán Hàn</x:v>
      </x:c>
      <x:c r="H217" s="11" t="str">
        <x:v>B — Phân tích tạm</x:v>
      </x:c>
      <x:c r="I217" s="11" t="str">
        <x:f>IF(AND(LEFT(E217,1)="A",LEFT(H217,1)="A"),"A/A — Có chứng cứ hai phía",IF(OR(LEFT(E217,1)="C",LEFT(H217,1)="C"),"C — Còn điểm chưa chốt",IF(AND(OR(LEFT(E217,1)="A",LEFT(E217,1)="B"),OR(LEFT(H217,1)="A",LEFT(H217,1)="B")),"B — Cần bổ sung chứng cứ","Kiểm tra mức chứng cứ")))</x:f>
        <x:v>B — Cần bổ sung chứng cứ</x:v>
      </x:c>
      <x:c r="J217" s="11" t="str">
        <x:v>Có chứng cứ cho thành tố</x:v>
      </x:c>
      <x:c r="K217" s="11" t="str">
        <x:v>trật tự [HV 秩序]
quốc tế [HV 國際]</x:v>
      </x:c>
      <x:c r="L217" s="11" t="str">
        <x:v>국제질서 [HH 國際秩序 *]</x:v>
      </x:c>
      <x:c r="M217" s="11" t="str">
        <x:v>Đã đối chiếu nguồn cho các thành tố Hán Việt cấu thành; nhãn toàn cụm là tổng hợp phân tích.</x:v>
      </x:c>
      <x:c r="N21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17" s="11" t="str">
        <x:v>Hán Hàn</x:v>
      </x:c>
      <x:c r="P217" s="11" t="str"/>
      <x:c r="Q217" s="37" t="str">
        <x:v>ET205 (dòng 1080)
ET089 (dòng 964)</x:v>
      </x:c>
      <x:c r="R217" s="37" t="str">
        <x:v>ET268 (dòng 1143)</x:v>
      </x:c>
      <x:c r="S217" s="11" t="str"/>
      <x:c r="T217" s="11" t="str">
        <x:v>Ứng viên — còn thiếu chứng cứ</x:v>
      </x:c>
      <x:c r="U217" s="11" t="str">
        <x:v>N3 — Thể chế, tư tưởng</x:v>
      </x:c>
    </x:row>
    <x:row r="218" ht="100.5" customHeight="1">
      <x:c r="A218" s="14" t="n">
        <x:v>213</x:v>
      </x:c>
      <x:c r="B218" s="11" t="str">
        <x:v>C087</x:v>
      </x:c>
      <x:c r="C218" s="11" t="str">
        <x:v>quan hệ quốc tế</x:v>
      </x:c>
      <x:c r="D218" s="11" t="str">
        <x:v>Hán Việt</x:v>
      </x:c>
      <x:c r="E218" s="11" t="str">
        <x:v>A — Có chứng cứ thành tố</x:v>
      </x:c>
      <x:c r="F218" s="11" t="str">
        <x:v>국제관계</x:v>
      </x:c>
      <x:c r="G218" s="11" t="str">
        <x:v>Hán Hàn</x:v>
      </x:c>
      <x:c r="H218" s="11" t="str">
        <x:v>B — Phân tích tạm</x:v>
      </x:c>
      <x:c r="I218" s="11" t="str">
        <x:f>IF(AND(LEFT(E218,1)="A",LEFT(H218,1)="A"),"A/A — Có chứng cứ hai phía",IF(OR(LEFT(E218,1)="C",LEFT(H218,1)="C"),"C — Còn điểm chưa chốt",IF(AND(OR(LEFT(E218,1)="A",LEFT(E218,1)="B"),OR(LEFT(H218,1)="A",LEFT(H218,1)="B")),"B — Cần bổ sung chứng cứ","Kiểm tra mức chứng cứ")))</x:f>
        <x:v>B — Cần bổ sung chứng cứ</x:v>
      </x:c>
      <x:c r="J218" s="11" t="str">
        <x:v>Có chứng cứ cho thành tố</x:v>
      </x:c>
      <x:c r="K218" s="11" t="str">
        <x:v>quan hệ [HV 關係]
quốc tế [HV 國際]</x:v>
      </x:c>
      <x:c r="L218" s="11" t="str">
        <x:v>국제관계 [HH 國際關係 *]</x:v>
      </x:c>
      <x:c r="M218" s="11" t="str">
        <x:v>Đã đối chiếu nguồn cho các thành tố Hán Việt cấu thành; nhãn toàn cụm là tổng hợp phân tích.</x:v>
      </x:c>
      <x:c r="N21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18" s="11" t="str">
        <x:v>Hán Hàn</x:v>
      </x:c>
      <x:c r="P218" s="11" t="str"/>
      <x:c r="Q218" s="37" t="str">
        <x:v>ET121 (dòng 996)
ET089 (dòng 964)</x:v>
      </x:c>
      <x:c r="R218" s="37" t="str">
        <x:v>ET268 (dòng 1143)</x:v>
      </x:c>
      <x:c r="S218" s="11" t="str"/>
      <x:c r="T218" s="11" t="str">
        <x:v>Có điều kiện — chưa chốt</x:v>
      </x:c>
      <x:c r="U218" s="11" t="str">
        <x:v>N4 — Quan hệ, hoạt động</x:v>
      </x:c>
    </x:row>
    <x:row r="219" ht="85.5" customHeight="1">
      <x:c r="A219" s="14" t="n">
        <x:v>214</x:v>
      </x:c>
      <x:c r="B219" s="11" t="str">
        <x:v>C088</x:v>
      </x:c>
      <x:c r="C219" s="11" t="str">
        <x:v>sức mạnh mềm</x:v>
      </x:c>
      <x:c r="D219" s="11" t="str">
        <x:v>Chưa chốt</x:v>
      </x:c>
      <x:c r="E219" s="11" t="str">
        <x:v>C — Chưa chốt từ nguyên</x:v>
      </x:c>
      <x:c r="F219" s="11" t="str">
        <x:v>소프트파워</x:v>
      </x:c>
      <x:c r="G219" s="11" t="str">
        <x:v>Ngoại lai khác</x:v>
      </x:c>
      <x:c r="H219" s="11" t="str">
        <x:v>A — Có chứng cứ thành tố</x:v>
      </x:c>
      <x:c r="I219" s="11" t="str">
        <x:f>IF(AND(LEFT(E219,1)="A",LEFT(H219,1)="A"),"A/A — Có chứng cứ hai phía",IF(OR(LEFT(E219,1)="C",LEFT(H219,1)="C"),"C — Còn điểm chưa chốt",IF(AND(OR(LEFT(E219,1)="A",LEFT(E219,1)="B"),OR(LEFT(H219,1)="A",LEFT(H219,1)="B")),"B — Cần bổ sung chứng cứ","Kiểm tra mức chứng cứ")))</x:f>
        <x:v>C — Còn điểm chưa chốt</x:v>
      </x:c>
      <x:c r="J219" s="11" t="str">
        <x:v>Chưa có chứng cứ HVDic trong lượt này</x:v>
      </x:c>
      <x:c r="K219" s="11" t="str">
        <x:v>sức [GH 力]
mạnh [?]
mềm [TV]</x:v>
      </x:c>
      <x:c r="L219" s="11" t="str">
        <x:v>소프트파워 [NL]</x:v>
      </x:c>
      <x:c r="M219" s="11" t="str">
        <x:v>Đã tách thành tố nhưng còn điểm từ nguyên/nghĩa chưa đủ bằng chứng; chưa đưa vào danh sách đã chốt.
Sức có đối chiếu lực 力 trong nghiên cứu lịch sử; mạnh được WOLD đánh giá probably borrowed từ mãnh. Mềm không có chứng cứ vay mượn trong WOLD. Chưa chốt toàn cụm.</x:v>
      </x:c>
      <x:c r="N219" s="11" t="str">
        <x:v>Đã tìm thấy nguồn mục từ/thành tố ghi nguyên dạng hoặc lớp từ cho toàn bộ thành tố quyết định kết luận.</x:v>
      </x:c>
      <x:c r="O219" s="11" t="str">
        <x:v>Ngoại lai khác</x:v>
      </x:c>
      <x:c r="P219" s="11" t="str"/>
      <x:c r="Q219" s="37" t="str">
        <x:v>ET072 (dòng 947)
ET206 (dòng 1081)
ET207 (dòng 1082)</x:v>
      </x:c>
      <x:c r="R219" s="37" t="str">
        <x:v>ET305 (dòng 1180)</x:v>
      </x:c>
      <x:c r="S219" s="11" t="str"/>
      <x:c r="T219" s="11" t="str">
        <x:v>Ứng viên — còn thiếu chứng cứ</x:v>
      </x:c>
      <x:c r="U219" s="11" t="str">
        <x:v>Cần xem xét</x:v>
      </x:c>
    </x:row>
    <x:row r="220" ht="100.5" customHeight="1">
      <x:c r="A220" s="14" t="n">
        <x:v>215</x:v>
      </x:c>
      <x:c r="B220" s="11" t="str">
        <x:v>C089</x:v>
      </x:c>
      <x:c r="C220" s="11" t="str">
        <x:v>tin cậy chính trị</x:v>
      </x:c>
      <x:c r="D220" s="11" t="str">
        <x:v>Chưa chốt</x:v>
      </x:c>
      <x:c r="E220" s="11" t="str">
        <x:v>C — Chưa chốt từ nguyên</x:v>
      </x:c>
      <x:c r="F220" s="11" t="str">
        <x:v>정치적 신뢰</x:v>
      </x:c>
      <x:c r="G220" s="11" t="str">
        <x:v>Hán Hàn</x:v>
      </x:c>
      <x:c r="H220" s="11" t="str">
        <x:v>B — Phân tích tạm</x:v>
      </x:c>
      <x:c r="I220" s="11" t="str">
        <x:f>IF(AND(LEFT(E220,1)="A",LEFT(H220,1)="A"),"A/A — Có chứng cứ hai phía",IF(OR(LEFT(E220,1)="C",LEFT(H220,1)="C"),"C — Còn điểm chưa chốt",IF(AND(OR(LEFT(E220,1)="A",LEFT(E220,1)="B"),OR(LEFT(H220,1)="A",LEFT(H220,1)="B")),"B — Cần bổ sung chứng cứ","Kiểm tra mức chứng cứ")))</x:f>
        <x:v>C — Còn điểm chưa chốt</x:v>
      </x:c>
      <x:c r="J220" s="11" t="str">
        <x:v>Có chứng cứ cho thành tố</x:v>
      </x:c>
      <x:c r="K220" s="11" t="str">
        <x:v>tin [?]
cậy [TV]
chính trị [HV 政治]</x:v>
      </x:c>
      <x:c r="L220" s="11" t="str">
        <x:v>정치적 [HH 政治的 *]
신뢰 [HH 信賴 *]</x:v>
      </x:c>
      <x:c r="M220" s="11" t="str">
        <x:v>Đã tách thành tố nhưng còn điểm từ nguyên/nghĩa chưa đủ bằng chứng; chưa đưa vào danh sách đã chốt.
Tin nghĩa tin tưởng được WOLD xếp probably borrowed và liên hệ tín; không xếp chắc chắn thuần Việt. Cậy đang là phân tích tạm.</x:v>
      </x:c>
      <x:c r="N22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0" s="11" t="str">
        <x:v>Hán Hàn</x:v>
      </x:c>
      <x:c r="P220" s="11" t="str"/>
      <x:c r="Q220" s="37" t="str">
        <x:v>ET147 (dòng 1022)
ET034 (dòng 909)</x:v>
      </x:c>
      <x:c r="R220" s="37" t="str">
        <x:v>ET264 (dòng 1139)</x:v>
      </x:c>
      <x:c r="S220" s="11" t="str"/>
      <x:c r="T220" s="11" t="str">
        <x:v>Ứng viên — còn thiếu chứng cứ</x:v>
      </x:c>
      <x:c r="U220" s="11" t="str">
        <x:v>Cần xem xét</x:v>
      </x:c>
    </x:row>
    <x:row r="221" ht="100.5" customHeight="1">
      <x:c r="A221" s="14" t="n">
        <x:v>216</x:v>
      </x:c>
      <x:c r="B221" s="11" t="str">
        <x:v>C091</x:v>
      </x:c>
      <x:c r="C221" s="11" t="str">
        <x:v>đa phương hóa</x:v>
      </x:c>
      <x:c r="D221" s="11" t="str">
        <x:v>Hán Việt</x:v>
      </x:c>
      <x:c r="E221" s="11" t="str">
        <x:v>A — Có chứng cứ thành tố</x:v>
      </x:c>
      <x:c r="F221" s="11" t="str">
        <x:v>다자화</x:v>
      </x:c>
      <x:c r="G221" s="11" t="str">
        <x:v>Hán Hàn</x:v>
      </x:c>
      <x:c r="H221" s="11" t="str">
        <x:v>B — Phân tích tạm</x:v>
      </x:c>
      <x:c r="I221" s="11" t="str">
        <x:f>IF(AND(LEFT(E221,1)="A",LEFT(H221,1)="A"),"A/A — Có chứng cứ hai phía",IF(OR(LEFT(E221,1)="C",LEFT(H221,1)="C"),"C — Còn điểm chưa chốt",IF(AND(OR(LEFT(E221,1)="A",LEFT(E221,1)="B"),OR(LEFT(H221,1)="A",LEFT(H221,1)="B")),"B — Cần bổ sung chứng cứ","Kiểm tra mức chứng cứ")))</x:f>
        <x:v>B — Cần bổ sung chứng cứ</x:v>
      </x:c>
      <x:c r="J221" s="11" t="str">
        <x:v>Có chứng cứ cho thành tố</x:v>
      </x:c>
      <x:c r="K221" s="11" t="str">
        <x:v>đa [HV 多]
phương [HV 方]
hóa [HV 化]</x:v>
      </x:c>
      <x:c r="L221" s="11" t="str">
        <x:v>다자화 [HH 多者化 *]</x:v>
      </x:c>
      <x:c r="M221" s="11" t="str">
        <x:v>Đã đối chiếu nguồn cho các thành tố Hán Việt cấu thành; nhãn toàn cụm là tổng hợp phân tích.</x:v>
      </x:c>
      <x:c r="N22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1" s="11" t="str">
        <x:v>Hán Hàn</x:v>
      </x:c>
      <x:c r="P221" s="11" t="str"/>
      <x:c r="Q221" s="37" t="str">
        <x:v>ET208 (dòng 1083)
ET209 (dòng 1084)
ET210 (dòng 1085)</x:v>
      </x:c>
      <x:c r="R221" s="37" t="str">
        <x:v>ET272 (dòng 1147)</x:v>
      </x:c>
      <x:c r="S221" s="11" t="str"/>
      <x:c r="T221" s="11" t="str">
        <x:v>Ứng viên — còn thiếu chứng cứ</x:v>
      </x:c>
      <x:c r="U221" s="11" t="str">
        <x:v>Cần xem xét</x:v>
      </x:c>
    </x:row>
    <x:row r="222" ht="85.5" customHeight="1">
      <x:c r="A222" s="14" t="n">
        <x:v>217</x:v>
      </x:c>
      <x:c r="B222" s="11" t="str">
        <x:v>C092</x:v>
      </x:c>
      <x:c r="C222" s="11" t="str">
        <x:v>đa dạng hóa</x:v>
      </x:c>
      <x:c r="D222" s="11" t="str">
        <x:v>Hán Việt</x:v>
      </x:c>
      <x:c r="E222" s="11" t="str">
        <x:v>A — Có chứng cứ thành tố</x:v>
      </x:c>
      <x:c r="F222" s="11" t="str">
        <x:v>다변화</x:v>
      </x:c>
      <x:c r="G222" s="11" t="str">
        <x:v>Hán Hàn</x:v>
      </x:c>
      <x:c r="H222" s="11" t="str">
        <x:v>A — Có chứng cứ thành tố</x:v>
      </x:c>
      <x:c r="I222" s="11" t="str">
        <x:f>IF(AND(LEFT(E222,1)="A",LEFT(H222,1)="A"),"A/A — Có chứng cứ hai phía",IF(OR(LEFT(E222,1)="C",LEFT(H222,1)="C"),"C — Còn điểm chưa chốt",IF(AND(OR(LEFT(E222,1)="A",LEFT(E222,1)="B"),OR(LEFT(H222,1)="A",LEFT(H222,1)="B")),"B — Cần bổ sung chứng cứ","Kiểm tra mức chứng cứ")))</x:f>
        <x:v>A/A — Có chứng cứ hai phía</x:v>
      </x:c>
      <x:c r="J222" s="11" t="str">
        <x:v>Có chứng cứ cho thành tố</x:v>
      </x:c>
      <x:c r="K222" s="11" t="str">
        <x:v>đa [HV 多]
dạng [HV 樣]
hóa [HV 化]</x:v>
      </x:c>
      <x:c r="L222" s="11" t="str">
        <x:v>다변화 [HH 多邊化]</x:v>
      </x:c>
      <x:c r="M222" s="11" t="str">
        <x:v>Đã đối chiếu nguồn cho các thành tố Hán Việt cấu thành; nhãn toàn cụm là tổng hợp phân tích.
Dạng 樣 đọc dạng/ dạng thức: đây là phân tích thành tố Hán Việt, không phải chép nguyên từ tiếng Hán đa dạng hóa.</x:v>
      </x:c>
      <x:c r="N222" s="11" t="str">
        <x:v>Đã tìm thấy nguồn mục từ/thành tố ghi nguyên dạng hoặc lớp từ cho toàn bộ thành tố quyết định kết luận.</x:v>
      </x:c>
      <x:c r="O222" s="11" t="str">
        <x:v>Hán Hàn</x:v>
      </x:c>
      <x:c r="P222" s="11" t="str"/>
      <x:c r="Q222" s="37" t="str">
        <x:v>ET208 (dòng 1083)
ET211 (dòng 1086)
ET210 (dòng 1085)</x:v>
      </x:c>
      <x:c r="R222" s="37" t="str">
        <x:v>ET306 (dòng 1181)</x:v>
      </x:c>
      <x:c r="S222" s="11" t="str"/>
      <x:c r="T222" s="11" t="str">
        <x:v>Ứng viên — còn thiếu chứng cứ</x:v>
      </x:c>
      <x:c r="U222" s="11" t="str">
        <x:v>Cần xem xét</x:v>
      </x:c>
    </x:row>
    <x:row r="223" ht="85.5" customHeight="1">
      <x:c r="A223" s="14" t="n">
        <x:v>218</x:v>
      </x:c>
      <x:c r="B223" s="11" t="str">
        <x:v>C097</x:v>
      </x:c>
      <x:c r="C223" s="11" t="str">
        <x:v>quản trị đại dương</x:v>
      </x:c>
      <x:c r="D223" s="11" t="str">
        <x:v>Hán Việt</x:v>
      </x:c>
      <x:c r="E223" s="11" t="str">
        <x:v>A — Có chứng cứ thành tố</x:v>
      </x:c>
      <x:c r="F223" s="11" t="str">
        <x:v>해양 거버넌스</x:v>
      </x:c>
      <x:c r="G223" s="11" t="str">
        <x:v>Hán Hàn + ngoại lai khác</x:v>
      </x:c>
      <x:c r="H223" s="11" t="str">
        <x:v>A — Có chứng cứ thành tố</x:v>
      </x:c>
      <x:c r="I223" s="11" t="str">
        <x:f>IF(AND(LEFT(E223,1)="A",LEFT(H223,1)="A"),"A/A — Có chứng cứ hai phía",IF(OR(LEFT(E223,1)="C",LEFT(H223,1)="C"),"C — Còn điểm chưa chốt",IF(AND(OR(LEFT(E223,1)="A",LEFT(E223,1)="B"),OR(LEFT(H223,1)="A",LEFT(H223,1)="B")),"B — Cần bổ sung chứng cứ","Kiểm tra mức chứng cứ")))</x:f>
        <x:v>A/A — Có chứng cứ hai phía</x:v>
      </x:c>
      <x:c r="J223" s="11" t="str">
        <x:v>Có chứng cứ cho thành tố</x:v>
      </x:c>
      <x:c r="K223" s="11" t="str">
        <x:v>quản trị [HV 管治]
đại dương [HV 大洋]</x:v>
      </x:c>
      <x:c r="L223" s="11" t="str">
        <x:v>해양 [HH 海洋]
거버넌스 [NL]</x:v>
      </x:c>
      <x:c r="M223" s="11" t="str">
        <x:v>Đã đối chiếu nguồn cho các thành tố Hán Việt cấu thành; nhãn toàn cụm là tổng hợp phân tích.</x:v>
      </x:c>
      <x:c r="N223" s="11" t="str">
        <x:v>Đã tìm thấy nguồn mục từ/thành tố ghi nguyên dạng hoặc lớp từ cho toàn bộ thành tố quyết định kết luận.</x:v>
      </x:c>
      <x:c r="O223" s="11" t="str">
        <x:v>Hán Hàn + ngoại lai khác</x:v>
      </x:c>
      <x:c r="P223" s="11" t="str"/>
      <x:c r="Q223" s="37" t="str">
        <x:v>ET142 (dòng 1017)
ET187 (dòng 1062)</x:v>
      </x:c>
      <x:c r="R223" s="37" t="str">
        <x:v>ET292 (dòng 1167)
ET290 (dòng 1165)</x:v>
      </x:c>
      <x:c r="S223" s="11" t="str"/>
      <x:c r="T223" s="11" t="str">
        <x:v>Xác nhận — cùng biểu thức Anh</x:v>
      </x:c>
      <x:c r="U223" s="11" t="str">
        <x:v>N4 — Quan hệ, hoạt động</x:v>
      </x:c>
    </x:row>
    <x:row r="224" ht="85.5" customHeight="1">
      <x:c r="A224" s="14" t="n">
        <x:v>219</x:v>
      </x:c>
      <x:c r="B224" s="11" t="str">
        <x:v>C099</x:v>
      </x:c>
      <x:c r="C224" s="11" t="str">
        <x:v>hợp tác song phương</x:v>
      </x:c>
      <x:c r="D224" s="11" t="str">
        <x:v>Hán Việt</x:v>
      </x:c>
      <x:c r="E224" s="11" t="str">
        <x:v>A — Có chứng cứ thành tố</x:v>
      </x:c>
      <x:c r="F224" s="11" t="str">
        <x:v>양자 협력</x:v>
      </x:c>
      <x:c r="G224" s="11" t="str">
        <x:v>Hán Hàn</x:v>
      </x:c>
      <x:c r="H224" s="11" t="str">
        <x:v>A — Có chứng cứ thành tố</x:v>
      </x:c>
      <x:c r="I224" s="11" t="str">
        <x:f>IF(AND(LEFT(E224,1)="A",LEFT(H224,1)="A"),"A/A — Có chứng cứ hai phía",IF(OR(LEFT(E224,1)="C",LEFT(H224,1)="C"),"C — Còn điểm chưa chốt",IF(AND(OR(LEFT(E224,1)="A",LEFT(E224,1)="B"),OR(LEFT(H224,1)="A",LEFT(H224,1)="B")),"B — Cần bổ sung chứng cứ","Kiểm tra mức chứng cứ")))</x:f>
        <x:v>A/A — Có chứng cứ hai phía</x:v>
      </x:c>
      <x:c r="J224" s="11" t="str">
        <x:v>Có chứng cứ cho thành tố</x:v>
      </x:c>
      <x:c r="K224" s="11" t="str">
        <x:v>hợp tác [HV 合作]
song phương [HV 雙方]</x:v>
      </x:c>
      <x:c r="L224" s="11" t="str">
        <x:v>양자 [HH 兩者]
협력 [HH 協力]</x:v>
      </x:c>
      <x:c r="M224" s="11" t="str">
        <x:v>Đã đối chiếu nguồn cho các thành tố Hán Việt cấu thành; nhãn toàn cụm là tổng hợp phân tích.</x:v>
      </x:c>
      <x:c r="N224" s="11" t="str">
        <x:v>Đã tìm thấy nguồn mục từ/thành tố ghi nguyên dạng hoặc lớp từ cho toàn bộ thành tố quyết định kết luận.</x:v>
      </x:c>
      <x:c r="O224" s="11" t="str">
        <x:v>Hán Hàn</x:v>
      </x:c>
      <x:c r="P224" s="11" t="str"/>
      <x:c r="Q224" s="37" t="str">
        <x:v>ET117 (dòng 992)
ET212 (dòng 1087)</x:v>
      </x:c>
      <x:c r="R224" s="37" t="str">
        <x:v>ET307 (dòng 1182)
ET282 (dòng 1157)</x:v>
      </x:c>
      <x:c r="S224" s="11" t="str"/>
      <x:c r="T224" s="11" t="str">
        <x:v>Ứng viên — còn thiếu chứng cứ</x:v>
      </x:c>
      <x:c r="U224" s="11" t="str">
        <x:v>N4 — Quan hệ, hoạt động</x:v>
      </x:c>
    </x:row>
    <x:row r="225" ht="85.5" customHeight="1">
      <x:c r="A225" s="14" t="n">
        <x:v>220</x:v>
      </x:c>
      <x:c r="B225" s="11" t="str">
        <x:v>C100</x:v>
      </x:c>
      <x:c r="C225" s="11" t="str">
        <x:v>Ủy ban liên chính phủ</x:v>
      </x:c>
      <x:c r="D225" s="11" t="str">
        <x:v>Hán Việt</x:v>
      </x:c>
      <x:c r="E225" s="11" t="str">
        <x:v>B — Phân tích tạm</x:v>
      </x:c>
      <x:c r="F225" s="11" t="str">
        <x:v>정부 간 위원회</x:v>
      </x:c>
      <x:c r="G225" s="11" t="str">
        <x:v>Hán Hàn</x:v>
      </x:c>
      <x:c r="H225" s="11" t="str">
        <x:v>A — Có chứng cứ thành tố</x:v>
      </x:c>
      <x:c r="I225" s="11" t="str">
        <x:f>IF(AND(LEFT(E225,1)="A",LEFT(H225,1)="A"),"A/A — Có chứng cứ hai phía",IF(OR(LEFT(E225,1)="C",LEFT(H225,1)="C"),"C — Còn điểm chưa chốt",IF(AND(OR(LEFT(E225,1)="A",LEFT(E225,1)="B"),OR(LEFT(H225,1)="A",LEFT(H225,1)="B")),"B — Cần bổ sung chứng cứ","Kiểm tra mức chứng cứ")))</x:f>
        <x:v>B — Cần bổ sung chứng cứ</x:v>
      </x:c>
      <x:c r="J225" s="11" t="str">
        <x:v>Có chứng cứ cho thành tố</x:v>
      </x:c>
      <x:c r="K225" s="11" t="str">
        <x:v>Ủy [HV 委]
ban [HV 班]
liên [HV 聯 *]
chính phủ [HV 政府]</x:v>
      </x:c>
      <x:c r="L225" s="11" t="str">
        <x:v>정부 [HH 政府]
간 [HH 間]
위원회 [HH 委員會]</x:v>
      </x:c>
      <x:c r="M225" s="11" t="str">
        <x:v>Phân tích cấu tạo của người rà soát; nguồn đã kiểm tra chỉ xác nhận các thành tố được gắn mã nguồn, không phải mọi thành tố.</x:v>
      </x:c>
      <x:c r="N225" s="11" t="str">
        <x:v>Đã tìm thấy nguồn mục từ/thành tố ghi nguyên dạng hoặc lớp từ cho toàn bộ thành tố quyết định kết luận.
간 trong 정부 간 là danh từ phụ thuộc gốc Hán 間, không phải trợ từ thuần Hàn.</x:v>
      </x:c>
      <x:c r="O225" s="11" t="str">
        <x:v>Hán Hàn</x:v>
      </x:c>
      <x:c r="P225" s="11" t="str"/>
      <x:c r="Q225" s="37" t="str">
        <x:v>ET012 (dòng 887)
ET013 (dòng 888)
ET045 (dòng 920)</x:v>
      </x:c>
      <x:c r="R225" s="37" t="str">
        <x:v>ET266 (dòng 1141)
ET308 (dòng 1183)
ET256 (dòng 1131)
ET255 (dòng 1130)</x:v>
      </x:c>
      <x:c r="S225" s="11" t="str"/>
      <x:c r="T225" s="11" t="str">
        <x:v>Ứng viên — còn thiếu chứng cứ</x:v>
      </x:c>
      <x:c r="U225" s="11" t="str">
        <x:v>N2 — Cơ quan, tổ chức</x:v>
      </x:c>
    </x:row>
    <x:row r="226" ht="100.5" customHeight="1">
      <x:c r="A226" s="14" t="n">
        <x:v>221</x:v>
      </x:c>
      <x:c r="B226" s="11" t="str">
        <x:v>C101</x:v>
      </x:c>
      <x:c r="C226" s="11" t="str">
        <x:v>Ủy ban hỗn hợp</x:v>
      </x:c>
      <x:c r="D226" s="11" t="str">
        <x:v>Hán Việt</x:v>
      </x:c>
      <x:c r="E226" s="11" t="str">
        <x:v>A — Có chứng cứ thành tố</x:v>
      </x:c>
      <x:c r="F226" s="11" t="str">
        <x:v>공동위원회</x:v>
      </x:c>
      <x:c r="G226" s="11" t="str">
        <x:v>Hán Hàn</x:v>
      </x:c>
      <x:c r="H226" s="11" t="str">
        <x:v>B — Phân tích tạm</x:v>
      </x:c>
      <x:c r="I226" s="11" t="str">
        <x:f>IF(AND(LEFT(E226,1)="A",LEFT(H226,1)="A"),"A/A — Có chứng cứ hai phía",IF(OR(LEFT(E226,1)="C",LEFT(H226,1)="C"),"C — Còn điểm chưa chốt",IF(AND(OR(LEFT(E226,1)="A",LEFT(E226,1)="B"),OR(LEFT(H226,1)="A",LEFT(H226,1)="B")),"B — Cần bổ sung chứng cứ","Kiểm tra mức chứng cứ")))</x:f>
        <x:v>B — Cần bổ sung chứng cứ</x:v>
      </x:c>
      <x:c r="J226" s="11" t="str">
        <x:v>Có chứng cứ cho thành tố</x:v>
      </x:c>
      <x:c r="K226" s="11" t="str">
        <x:v>Ủy [HV 委]
ban [HV 班]
hỗn hợp [HV 混合]</x:v>
      </x:c>
      <x:c r="L226" s="11" t="str">
        <x:v>공동위원회 [HH 共同委員會 *]</x:v>
      </x:c>
      <x:c r="M226" s="11" t="str">
        <x:v>Đã đối chiếu nguồn cho các thành tố Hán Việt cấu thành; nhãn toàn cụm là tổng hợp phân tích.</x:v>
      </x:c>
      <x:c r="N22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6" s="11" t="str">
        <x:v>Hán Hàn</x:v>
      </x:c>
      <x:c r="P226" s="11" t="str"/>
      <x:c r="Q226" s="37" t="str">
        <x:v>ET012 (dòng 887)
ET013 (dòng 888)
ET213 (dòng 1088)</x:v>
      </x:c>
      <x:c r="R226" s="37" t="str">
        <x:v>ET256 (dòng 1131)
ET255 (dòng 1130)
ET242 (dòng 1117)</x:v>
      </x:c>
      <x:c r="S226" s="11" t="str"/>
      <x:c r="T226" s="11" t="str">
        <x:v>Ứng viên — còn thiếu chứng cứ</x:v>
      </x:c>
      <x:c r="U226" s="11" t="str">
        <x:v>N2 — Cơ quan, tổ chức</x:v>
      </x:c>
    </x:row>
    <x:row r="227" ht="100.5" customHeight="1">
      <x:c r="A227" s="14" t="n">
        <x:v>222</x:v>
      </x:c>
      <x:c r="B227" s="11" t="str">
        <x:v>C102</x:v>
      </x:c>
      <x:c r="C227" s="11" t="str">
        <x:v>Tham khảo chính trị</x:v>
      </x:c>
      <x:c r="D227" s="11" t="str">
        <x:v>Hán Việt</x:v>
      </x:c>
      <x:c r="E227" s="11" t="str">
        <x:v>A — Có chứng cứ thành tố</x:v>
      </x:c>
      <x:c r="F227" s="11" t="str">
        <x:v>정치 협의</x:v>
      </x:c>
      <x:c r="G227" s="11" t="str">
        <x:v>Hán Hàn</x:v>
      </x:c>
      <x:c r="H227" s="11" t="str">
        <x:v>B — Phân tích tạm</x:v>
      </x:c>
      <x:c r="I227" s="11" t="str">
        <x:f>IF(AND(LEFT(E227,1)="A",LEFT(H227,1)="A"),"A/A — Có chứng cứ hai phía",IF(OR(LEFT(E227,1)="C",LEFT(H227,1)="C"),"C — Còn điểm chưa chốt",IF(AND(OR(LEFT(E227,1)="A",LEFT(E227,1)="B"),OR(LEFT(H227,1)="A",LEFT(H227,1)="B")),"B — Cần bổ sung chứng cứ","Kiểm tra mức chứng cứ")))</x:f>
        <x:v>B — Cần bổ sung chứng cứ</x:v>
      </x:c>
      <x:c r="J227" s="11" t="str">
        <x:v>Có chứng cứ cho thành tố</x:v>
      </x:c>
      <x:c r="K227" s="11" t="str">
        <x:v>Tham khảo [HV 參考]
chính trị [HV 政治]</x:v>
      </x:c>
      <x:c r="L227" s="11" t="str">
        <x:v>정치 [HH 政治]
협의 [HH 協議 *]</x:v>
      </x:c>
      <x:c r="M227" s="11" t="str">
        <x:v>Đã đối chiếu nguồn cho các thành tố Hán Việt cấu thành; nhãn toàn cụm là tổng hợp phân tích.</x:v>
      </x:c>
      <x:c r="N22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7" s="11" t="str">
        <x:v>Hán Hàn</x:v>
      </x:c>
      <x:c r="P227" s="11" t="str"/>
      <x:c r="Q227" s="37" t="str">
        <x:v>ET214 (dòng 1089)
ET034 (dòng 909)</x:v>
      </x:c>
      <x:c r="R227" s="37" t="str">
        <x:v>ET264 (dòng 1139)</x:v>
      </x:c>
      <x:c r="S227" s="11" t="str"/>
      <x:c r="T227" s="11" t="str">
        <x:v>Ứng viên — còn thiếu chứng cứ</x:v>
      </x:c>
      <x:c r="U227" s="11" t="str">
        <x:v>N4 — Quan hệ, hoạt động</x:v>
      </x:c>
    </x:row>
    <x:row r="228" ht="100.5" customHeight="1">
      <x:c r="A228" s="14" t="n">
        <x:v>223</x:v>
      </x:c>
      <x:c r="B228" s="11" t="str">
        <x:v>C104</x:v>
      </x:c>
      <x:c r="C228" s="11" t="str">
        <x:v>Cộng đồng ASEAN</x:v>
      </x:c>
      <x:c r="D228" s="11" t="str">
        <x:v>Hán Việt + ngoại lai khác</x:v>
      </x:c>
      <x:c r="E228" s="11" t="str">
        <x:v>B — Phân tích tạm</x:v>
      </x:c>
      <x:c r="F228" s="11" t="str">
        <x:v>아세안 공동체</x:v>
      </x:c>
      <x:c r="G228" s="11" t="str">
        <x:v>Hán Hàn + ngoại lai khác</x:v>
      </x:c>
      <x:c r="H228" s="11" t="str">
        <x:v>B — Phân tích tạm</x:v>
      </x:c>
      <x:c r="I228" s="11" t="str">
        <x:f>IF(AND(LEFT(E228,1)="A",LEFT(H228,1)="A"),"A/A — Có chứng cứ hai phía",IF(OR(LEFT(E228,1)="C",LEFT(H228,1)="C"),"C — Còn điểm chưa chốt",IF(AND(OR(LEFT(E228,1)="A",LEFT(E228,1)="B"),OR(LEFT(H228,1)="A",LEFT(H228,1)="B")),"B — Cần bổ sung chứng cứ","Kiểm tra mức chứng cứ")))</x:f>
        <x:v>B — Cần bổ sung chứng cứ</x:v>
      </x:c>
      <x:c r="J228" s="11" t="str">
        <x:v>Có chứng cứ cho thành tố</x:v>
      </x:c>
      <x:c r="K228" s="11" t="str">
        <x:v>Cộng đồng [HV 共同]
ASEAN [VT]</x:v>
      </x:c>
      <x:c r="L228" s="11" t="str">
        <x:v>아세안 [NL]
공동체 [HH 共同體 *]</x:v>
      </x:c>
      <x:c r="M228" s="11" t="str">
        <x:v>Phân tích cấu tạo của người rà soát; nguồn đã kiểm tra chỉ xác nhận các thành tố được gắn mã nguồn, không phải mọi thành tố.
ASEAN là chữ viết tắt nước ngoài, không phải thành tố Hán Việt.</x:v>
      </x:c>
      <x:c r="N22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28" s="11" t="str">
        <x:v>Hán Hàn + ngoại lai khác</x:v>
      </x:c>
      <x:c r="P228" s="11" t="str">
        <x:v>Việt: ASEAN — viết tắt tên tổ chức nước ngoài
Hàn: 아세안
Việt: ASEAN</x:v>
      </x:c>
      <x:c r="Q228" s="37" t="str">
        <x:v>ET215 (dòng 1090)</x:v>
      </x:c>
      <x:c r="R228" s="37" t="str">
        <x:v>ET280 (dòng 1155)</x:v>
      </x:c>
      <x:c r="S228" s="11" t="str"/>
      <x:c r="T228" s="11" t="str">
        <x:v>Ứng viên — còn thiếu chứng cứ</x:v>
      </x:c>
      <x:c r="U228" s="11" t="str">
        <x:v>N3 — Thể chế, tư tưởng</x:v>
      </x:c>
    </x:row>
    <x:row r="229" ht="85.5" customHeight="1">
      <x:c r="A229" s="14" t="n">
        <x:v>224</x:v>
      </x:c>
      <x:c r="B229" s="11" t="str">
        <x:v>C105</x:v>
      </x:c>
      <x:c r="C229" s="11" t="str">
        <x:v>Đối thoại Shangri-la</x:v>
      </x:c>
      <x:c r="D229" s="11" t="str">
        <x:v>Hán Việt + ngoại lai khác</x:v>
      </x:c>
      <x:c r="E229" s="11" t="str">
        <x:v>B — Phân tích tạm</x:v>
      </x:c>
      <x:c r="F229" s="11" t="str">
        <x:v>샹그릴라 대화</x:v>
      </x:c>
      <x:c r="G229" s="11" t="str">
        <x:v>Hán Hàn + ngoại lai khác</x:v>
      </x:c>
      <x:c r="H229" s="11" t="str">
        <x:v>B — Phân tích tạm</x:v>
      </x:c>
      <x:c r="I229" s="11" t="str">
        <x:f>IF(AND(LEFT(E229,1)="A",LEFT(H229,1)="A"),"A/A — Có chứng cứ hai phía",IF(OR(LEFT(E229,1)="C",LEFT(H229,1)="C"),"C — Còn điểm chưa chốt",IF(AND(OR(LEFT(E229,1)="A",LEFT(E229,1)="B"),OR(LEFT(H229,1)="A",LEFT(H229,1)="B")),"B — Cần bổ sung chứng cứ","Kiểm tra mức chứng cứ")))</x:f>
        <x:v>B — Cần bổ sung chứng cứ</x:v>
      </x:c>
      <x:c r="J229" s="11" t="str">
        <x:v>Có chứng cứ cho thành tố</x:v>
      </x:c>
      <x:c r="K229" s="11" t="str">
        <x:v>Đối thoại [HV 對話]
Shangri-la [NL]</x:v>
      </x:c>
      <x:c r="L229" s="11" t="str">
        <x:v>샹그릴라 [NL]
대화 [HH 對話]</x:v>
      </x:c>
      <x:c r="M229" s="11" t="str">
        <x:v>Phân tích cấu tạo của người rà soát; nguồn đã kiểm tra chỉ xác nhận các thành tố được gắn mã nguồn, không phải mọi thành tố.
Shangri-la là tên riêng mượn; không tự chuyển sang 香格里拉 rồi gọi là Hán Việt.</x:v>
      </x:c>
      <x:c r="N229" s="11" t="str">
        <x:v>Phân tích cấu tạo của người rà soát; nguồn dưới đây chỉ chứng thực các thành tố được nêu. Chưa đối chiếu từ nguyên riêng cho toàn bộ thành tố.</x:v>
      </x:c>
      <x:c r="O229" s="11" t="str">
        <x:v>Hán Hàn + ngoại lai khác</x:v>
      </x:c>
      <x:c r="P229" s="11" t="str">
        <x:v>Việt: Shangri-la — tên riêng dạng vay mượn
Hàn: 샹그릴라</x:v>
      </x:c>
      <x:c r="Q229" s="37" t="str">
        <x:v>ET118 (dòng 993)</x:v>
      </x:c>
      <x:c r="R229" s="37" t="str">
        <x:v>ET283 (dòng 1158)</x:v>
      </x:c>
      <x:c r="S229" s="11" t="str"/>
      <x:c r="T229" s="11" t="str">
        <x:v>Ứng viên — còn thiếu chứng cứ</x:v>
      </x:c>
      <x:c r="U229" s="11" t="str">
        <x:v>N4 — Quan hệ, hoạt động</x:v>
      </x:c>
    </x:row>
    <x:row r="230" ht="100.5" customHeight="1">
      <x:c r="A230" s="14" t="n">
        <x:v>225</x:v>
      </x:c>
      <x:c r="B230" s="11" t="str">
        <x:v>C107</x:v>
      </x:c>
      <x:c r="C230" s="11" t="str">
        <x:v>hợp tác Mekong-Lan Thương</x:v>
      </x:c>
      <x:c r="D230" s="11" t="str">
        <x:v>Hán Việt + ngoại lai khác</x:v>
      </x:c>
      <x:c r="E230" s="11" t="str">
        <x:v>B — Phân tích tạm</x:v>
      </x:c>
      <x:c r="F230" s="11" t="str">
        <x:v>메콩-란창 협력</x:v>
      </x:c>
      <x:c r="G230" s="11" t="str">
        <x:v>Hán Hàn + ngoại lai khác</x:v>
      </x:c>
      <x:c r="H230" s="11" t="str">
        <x:v>B — Phân tích tạm</x:v>
      </x:c>
      <x:c r="I230" s="11" t="str">
        <x:f>IF(AND(LEFT(E230,1)="A",LEFT(H230,1)="A"),"A/A — Có chứng cứ hai phía",IF(OR(LEFT(E230,1)="C",LEFT(H230,1)="C"),"C — Còn điểm chưa chốt",IF(AND(OR(LEFT(E230,1)="A",LEFT(E230,1)="B"),OR(LEFT(H230,1)="A",LEFT(H230,1)="B")),"B — Cần bổ sung chứng cứ","Kiểm tra mức chứng cứ")))</x:f>
        <x:v>B — Cần bổ sung chứng cứ</x:v>
      </x:c>
      <x:c r="J230" s="11" t="str">
        <x:v>Có chứng cứ cho thành tố</x:v>
      </x:c>
      <x:c r="K230" s="11" t="str">
        <x:v>hợp tác [HV 合作]
Mekong [NL]
Lan Thương [HV 瀾滄 *]</x:v>
      </x:c>
      <x:c r="L230" s="11" t="str">
        <x:v>메콩 [NL]
란창 [NL]
협력 [HH 協力]</x:v>
      </x:c>
      <x:c r="M230" s="11" t="str">
        <x:v>Phân tích cấu tạo của người rà soát; nguồn đã kiểm tra chỉ xác nhận các thành tố được gắn mã nguồn, không phải mọi thành tố.
Mekong là dạng tên riêng mượn; Lan Thương là tên riêng đọc Hán Việt (瀾滄), còn dạng chữ này chưa tra trực tiếp trong lượt này.</x:v>
      </x:c>
      <x:c r="N230" s="11" t="str">
        <x:v>Phân tích cấu tạo của người rà soát; nguồn dưới đây chỉ chứng thực các thành tố được nêu. Chưa đối chiếu từ nguyên riêng cho toàn bộ thành tố.
메콩 và 란창 là địa danh phiên âm; hợp tác 協力 là phần Hán Hàn.</x:v>
      </x:c>
      <x:c r="O230" s="11" t="str">
        <x:v>Hán Hàn + ngoại lai khác</x:v>
      </x:c>
      <x:c r="P230" s="11" t="str">
        <x:v>Việt: Mekong — tên sông dạng vay mượn
Việt: Lan Thương — tên sông, dạng Hán Việt; chữ đề xuất 瀾滄
Hàn: 메콩
Hàn: 란창</x:v>
      </x:c>
      <x:c r="Q230" s="37" t="str">
        <x:v>ET117 (dòng 992)</x:v>
      </x:c>
      <x:c r="R230" s="37" t="str">
        <x:v>ET282 (dòng 1157)</x:v>
      </x:c>
      <x:c r="S230" s="11" t="str"/>
      <x:c r="T230" s="11" t="str">
        <x:v>Ứng viên — còn thiếu chứng cứ</x:v>
      </x:c>
      <x:c r="U230" s="11" t="str">
        <x:v>N3 — Thể chế, tư tưởng</x:v>
      </x:c>
    </x:row>
    <x:row r="231" ht="100.5" customHeight="1">
      <x:c r="A231" s="14" t="n">
        <x:v>226</x:v>
      </x:c>
      <x:c r="B231" s="11" t="str">
        <x:v>C108</x:v>
      </x:c>
      <x:c r="C231" s="11" t="str">
        <x:v>Ủy ban chỉ đạo hợp tác song phương</x:v>
      </x:c>
      <x:c r="D231" s="11" t="str">
        <x:v>Hán Việt</x:v>
      </x:c>
      <x:c r="E231" s="11" t="str">
        <x:v>B — Phân tích tạm</x:v>
      </x:c>
      <x:c r="F231" s="11" t="str">
        <x:v>양자협력지도위원회</x:v>
      </x:c>
      <x:c r="G231" s="11" t="str">
        <x:v>Hán Hàn</x:v>
      </x:c>
      <x:c r="H231" s="11" t="str">
        <x:v>B — Phân tích tạm</x:v>
      </x:c>
      <x:c r="I231" s="11" t="str">
        <x:f>IF(AND(LEFT(E231,1)="A",LEFT(H231,1)="A"),"A/A — Có chứng cứ hai phía",IF(OR(LEFT(E231,1)="C",LEFT(H231,1)="C"),"C — Còn điểm chưa chốt",IF(AND(OR(LEFT(E231,1)="A",LEFT(E231,1)="B"),OR(LEFT(H231,1)="A",LEFT(H231,1)="B")),"B — Cần bổ sung chứng cứ","Kiểm tra mức chứng cứ")))</x:f>
        <x:v>B — Cần bổ sung chứng cứ</x:v>
      </x:c>
      <x:c r="J231" s="11" t="str">
        <x:v>Có chứng cứ cho thành tố</x:v>
      </x:c>
      <x:c r="K231" s="11" t="str">
        <x:v>Ủy [HV 委]
ban [HV 班]
chỉ đạo [HV 指導 *]
hợp tác [HV 合作]
song phương [HV 雙方]</x:v>
      </x:c>
      <x:c r="L231" s="11" t="str">
        <x:v>양자협력지도위원회 [HH 兩者協力指導委員會 *]</x:v>
      </x:c>
      <x:c r="M231" s="11" t="str">
        <x:v>Phân tích cấu tạo của người rà soát; nguồn đã kiểm tra chỉ xác nhận các thành tố được gắn mã nguồn, không phải mọi thành tố.</x:v>
      </x:c>
      <x:c r="N23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31" s="11" t="str">
        <x:v>Hán Hàn</x:v>
      </x:c>
      <x:c r="P231" s="11" t="str"/>
      <x:c r="Q231" s="37" t="str">
        <x:v>ET012 (dòng 887)
ET013 (dòng 888)
ET117 (dòng 992)
ET212 (dòng 1087)</x:v>
      </x:c>
      <x:c r="R231" s="37" t="str">
        <x:v>ET256 (dòng 1131)
ET255 (dòng 1130)
ET242 (dòng 1117)
ET282 (dòng 1157)
ET307 (dòng 1182)</x:v>
      </x:c>
      <x:c r="S231" s="11" t="str"/>
      <x:c r="T231" s="11" t="str">
        <x:v>Ứng viên — còn thiếu chứng cứ</x:v>
      </x:c>
      <x:c r="U231" s="11" t="str">
        <x:v>N2 — Cơ quan, tổ chức</x:v>
      </x:c>
    </x:row>
    <x:row r="232" ht="100.5" customHeight="1">
      <x:c r="A232" s="14" t="n">
        <x:v>227</x:v>
      </x:c>
      <x:c r="B232" s="11" t="str">
        <x:v>C109</x:v>
      </x:c>
      <x:c r="C232" s="11" t="str">
        <x:v>đàm phán</x:v>
      </x:c>
      <x:c r="D232" s="11" t="str">
        <x:v>Hán Việt</x:v>
      </x:c>
      <x:c r="E232" s="11" t="str">
        <x:v>A — Có chứng cứ thành tố</x:v>
      </x:c>
      <x:c r="F232" s="11" t="str">
        <x:v>협상</x:v>
      </x:c>
      <x:c r="G232" s="11" t="str">
        <x:v>Hán Hàn</x:v>
      </x:c>
      <x:c r="H232" s="11" t="str">
        <x:v>B — Phân tích tạm</x:v>
      </x:c>
      <x:c r="I232" s="11" t="str">
        <x:f>IF(AND(LEFT(E232,1)="A",LEFT(H232,1)="A"),"A/A — Có chứng cứ hai phía",IF(OR(LEFT(E232,1)="C",LEFT(H232,1)="C"),"C — Còn điểm chưa chốt",IF(AND(OR(LEFT(E232,1)="A",LEFT(E232,1)="B"),OR(LEFT(H232,1)="A",LEFT(H232,1)="B")),"B — Cần bổ sung chứng cứ","Kiểm tra mức chứng cứ")))</x:f>
        <x:v>B — Cần bổ sung chứng cứ</x:v>
      </x:c>
      <x:c r="J232" s="11" t="str">
        <x:v>Có chứng cứ cho thành tố</x:v>
      </x:c>
      <x:c r="K232" s="11" t="str">
        <x:v>đàm phán [HV 談判]</x:v>
      </x:c>
      <x:c r="L232" s="11" t="str">
        <x:v>협상 [HH 協商 *]</x:v>
      </x:c>
      <x:c r="M232" s="11" t="str">
        <x:v>Đã đối chiếu nguồn cho các thành tố Hán Việt cấu thành; nhãn toàn cụm là tổng hợp phân tích.</x:v>
      </x:c>
      <x:c r="N232"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32" s="11" t="str">
        <x:v>Hán Hàn</x:v>
      </x:c>
      <x:c r="P232" s="11" t="str"/>
      <x:c r="Q232" s="37" t="str">
        <x:v>ET216 (dòng 1091)</x:v>
      </x:c>
      <x:c r="R232" s="37" t="str">
        <x:v>Chưa có nguồn từ nguyên cụ thể trong lượt này</x:v>
      </x:c>
      <x:c r="S232" s="11" t="str"/>
      <x:c r="T232" s="11" t="str">
        <x:v>Tương ứng — biến thể Anh</x:v>
      </x:c>
      <x:c r="U232" s="11" t="str">
        <x:v>N4 — Quan hệ, hoạt động</x:v>
      </x:c>
    </x:row>
    <x:row r="233" ht="85.5" customHeight="1">
      <x:c r="A233" s="14" t="n">
        <x:v>228</x:v>
      </x:c>
      <x:c r="B233" s="11" t="str">
        <x:v>C110</x:v>
      </x:c>
      <x:c r="C233" s="11" t="str">
        <x:v>phê chuẩn</x:v>
      </x:c>
      <x:c r="D233" s="11" t="str">
        <x:v>Hán Việt</x:v>
      </x:c>
      <x:c r="E233" s="11" t="str">
        <x:v>A — Có chứng cứ thành tố</x:v>
      </x:c>
      <x:c r="F233" s="11" t="str">
        <x:v>비준</x:v>
      </x:c>
      <x:c r="G233" s="11" t="str">
        <x:v>Hán Hàn</x:v>
      </x:c>
      <x:c r="H233" s="11" t="str">
        <x:v>A — Có chứng cứ thành tố</x:v>
      </x:c>
      <x:c r="I233" s="11" t="str">
        <x:f>IF(AND(LEFT(E233,1)="A",LEFT(H233,1)="A"),"A/A — Có chứng cứ hai phía",IF(OR(LEFT(E233,1)="C",LEFT(H233,1)="C"),"C — Còn điểm chưa chốt",IF(AND(OR(LEFT(E233,1)="A",LEFT(E233,1)="B"),OR(LEFT(H233,1)="A",LEFT(H233,1)="B")),"B — Cần bổ sung chứng cứ","Kiểm tra mức chứng cứ")))</x:f>
        <x:v>A/A — Có chứng cứ hai phía</x:v>
      </x:c>
      <x:c r="J233" s="11" t="str">
        <x:v>Có chứng cứ cho thành tố</x:v>
      </x:c>
      <x:c r="K233" s="11" t="str">
        <x:v>phê chuẩn [HV 批准]</x:v>
      </x:c>
      <x:c r="L233" s="11" t="str">
        <x:v>비준 [HH 批准]</x:v>
      </x:c>
      <x:c r="M233" s="11" t="str">
        <x:v>Đã đối chiếu nguồn cho các thành tố Hán Việt cấu thành; nhãn toàn cụm là tổng hợp phân tích.</x:v>
      </x:c>
      <x:c r="N233" s="11" t="str">
        <x:v>Đã tìm thấy nguồn mục từ/thành tố ghi nguyên dạng hoặc lớp từ cho toàn bộ thành tố quyết định kết luận.</x:v>
      </x:c>
      <x:c r="O233" s="11" t="str">
        <x:v>Hán Hàn</x:v>
      </x:c>
      <x:c r="P233" s="11" t="str"/>
      <x:c r="Q233" s="37" t="str">
        <x:v>ET217 (dòng 1092)</x:v>
      </x:c>
      <x:c r="R233" s="37" t="str">
        <x:v>ET309 (dòng 1184)</x:v>
      </x:c>
      <x:c r="S233" s="11" t="str"/>
      <x:c r="T233" s="11" t="str">
        <x:v>Xác nhận — cùng biểu thức Anh</x:v>
      </x:c>
      <x:c r="U233" s="11" t="str">
        <x:v>N4 — Quan hệ, hoạt động</x:v>
      </x:c>
    </x:row>
    <x:row r="234" ht="100.5" customHeight="1">
      <x:c r="A234" s="14" t="n">
        <x:v>229</x:v>
      </x:c>
      <x:c r="B234" s="11" t="str">
        <x:v>C114</x:v>
      </x:c>
      <x:c r="C234" s="11" t="str">
        <x:v>hoạt động gìn giữ hòa bình</x:v>
      </x:c>
      <x:c r="D234" s="11" t="str">
        <x:v>Chưa chốt</x:v>
      </x:c>
      <x:c r="E234" s="11" t="str">
        <x:v>C — Chưa chốt từ nguyên</x:v>
      </x:c>
      <x:c r="F234" s="11" t="str">
        <x:v>평화유지활동</x:v>
      </x:c>
      <x:c r="G234" s="11" t="str">
        <x:v>Hán Hàn</x:v>
      </x:c>
      <x:c r="H234" s="11" t="str">
        <x:v>B — Phân tích tạm</x:v>
      </x:c>
      <x:c r="I234" s="11" t="str">
        <x:f>IF(AND(LEFT(E234,1)="A",LEFT(H234,1)="A"),"A/A — Có chứng cứ hai phía",IF(OR(LEFT(E234,1)="C",LEFT(H234,1)="C"),"C — Còn điểm chưa chốt",IF(AND(OR(LEFT(E234,1)="A",LEFT(E234,1)="B"),OR(LEFT(H234,1)="A",LEFT(H234,1)="B")),"B — Cần bổ sung chứng cứ","Kiểm tra mức chứng cứ")))</x:f>
        <x:v>C — Còn điểm chưa chốt</x:v>
      </x:c>
      <x:c r="J234" s="11" t="str">
        <x:v>Có chứng cứ cho thành tố</x:v>
      </x:c>
      <x:c r="K234" s="11" t="str">
        <x:v>hoạt động [HV 活動]
gìn [?]
giữ [TV]
hòa bình [HV 和平]</x:v>
      </x:c>
      <x:c r="L234" s="11" t="str">
        <x:v>평화유지활동 [HH 平和維持活動 *]</x:v>
      </x:c>
      <x:c r="M234" s="11" t="str">
        <x:v>Đã tách thành tố nhưng còn điểm từ nguyên/nghĩa chưa đủ bằng chứng; chưa đưa vào danh sách đã chốt.
Gìn có các giả thuyết lịch sử và biến thể cổ ghín; chưa đồng nhất với cẩn 謹 chỉ nhờ gần âm. Giữ có căn cứ Proto-Vietic trong WOLD.</x:v>
      </x:c>
      <x:c r="N23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34" s="11" t="str">
        <x:v>Hán Hàn</x:v>
      </x:c>
      <x:c r="P234" s="11" t="str"/>
      <x:c r="Q234" s="37" t="str">
        <x:v>ET218 (dòng 1093)
ET219 (dòng 1094)
ET191 (dòng 1066)</x:v>
      </x:c>
      <x:c r="R234" s="37" t="str">
        <x:v>Chưa có nguồn từ nguyên cụ thể trong lượt này</x:v>
      </x:c>
      <x:c r="S234" s="11" t="str"/>
      <x:c r="T234" s="11" t="str">
        <x:v>Ứng viên — còn thiếu chứng cứ</x:v>
      </x:c>
      <x:c r="U234" s="11" t="str">
        <x:v>N4 — Quan hệ, hoạt động</x:v>
      </x:c>
    </x:row>
    <x:row r="235" ht="100.5" customHeight="1">
      <x:c r="A235" s="14" t="n">
        <x:v>230</x:v>
      </x:c>
      <x:c r="B235" s="11" t="str">
        <x:v>C117</x:v>
      </x:c>
      <x:c r="C235" s="11" t="str">
        <x:v>bảo hộ công dân</x:v>
      </x:c>
      <x:c r="D235" s="11" t="str">
        <x:v>Hán Việt</x:v>
      </x:c>
      <x:c r="E235" s="11" t="str">
        <x:v>A — Có chứng cứ thành tố</x:v>
      </x:c>
      <x:c r="F235" s="11" t="str">
        <x:v>영사 보호</x:v>
      </x:c>
      <x:c r="G235" s="11" t="str">
        <x:v>Hán Hàn</x:v>
      </x:c>
      <x:c r="H235" s="11" t="str">
        <x:v>B — Phân tích tạm</x:v>
      </x:c>
      <x:c r="I235" s="11" t="str">
        <x:f>IF(AND(LEFT(E235,1)="A",LEFT(H235,1)="A"),"A/A — Có chứng cứ hai phía",IF(OR(LEFT(E235,1)="C",LEFT(H235,1)="C"),"C — Còn điểm chưa chốt",IF(AND(OR(LEFT(E235,1)="A",LEFT(E235,1)="B"),OR(LEFT(H235,1)="A",LEFT(H235,1)="B")),"B — Cần bổ sung chứng cứ","Kiểm tra mức chứng cứ")))</x:f>
        <x:v>B — Cần bổ sung chứng cứ</x:v>
      </x:c>
      <x:c r="J235" s="11" t="str">
        <x:v>Có chứng cứ cho thành tố</x:v>
      </x:c>
      <x:c r="K235" s="11" t="str">
        <x:v>bảo hộ [HV 保護]
công dân [HV 公民]</x:v>
      </x:c>
      <x:c r="L235" s="11" t="str">
        <x:v>영사 [HH 領事 *]
보호 [HH 保護 *]</x:v>
      </x:c>
      <x:c r="M235" s="11" t="str">
        <x:v>Đã đối chiếu nguồn cho các thành tố Hán Việt cấu thành; nhãn toàn cụm là tổng hợp phân tích.</x:v>
      </x:c>
      <x:c r="N235"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35" s="11" t="str">
        <x:v>Hán Hàn</x:v>
      </x:c>
      <x:c r="P235" s="11" t="str"/>
      <x:c r="Q235" s="37" t="str">
        <x:v>ET220 (dòng 1095)
ET105 (dòng 980)</x:v>
      </x:c>
      <x:c r="R235" s="37" t="str">
        <x:v>Chưa có nguồn từ nguyên cụ thể trong lượt này</x:v>
      </x:c>
      <x:c r="S235" s="11" t="str"/>
      <x:c r="T235" s="11" t="str">
        <x:v>Lệch nghĩa / phạm vi</x:v>
      </x:c>
      <x:c r="U235" s="11" t="str">
        <x:v>N4 — Quan hệ, hoạt động</x:v>
      </x:c>
    </x:row>
    <x:row r="236" ht="100.5" customHeight="1">
      <x:c r="A236" s="14" t="n">
        <x:v>231</x:v>
      </x:c>
      <x:c r="B236" s="11" t="str">
        <x:v>C122</x:v>
      </x:c>
      <x:c r="C236" s="11" t="str">
        <x:v>lễ mở ký</x:v>
      </x:c>
      <x:c r="D236" s="11" t="str">
        <x:v>Hán Việt + thuần Việt</x:v>
      </x:c>
      <x:c r="E236" s="11" t="str">
        <x:v>B — Phân tích tạm</x:v>
      </x:c>
      <x:c r="F236" s="11" t="str">
        <x:v>서명식</x:v>
      </x:c>
      <x:c r="G236" s="11" t="str">
        <x:v>Hán Hàn</x:v>
      </x:c>
      <x:c r="H236" s="11" t="str">
        <x:v>B — Phân tích tạm</x:v>
      </x:c>
      <x:c r="I236" s="11" t="str">
        <x:f>IF(AND(LEFT(E236,1)="A",LEFT(H236,1)="A"),"A/A — Có chứng cứ hai phía",IF(OR(LEFT(E236,1)="C",LEFT(H236,1)="C"),"C — Còn điểm chưa chốt",IF(AND(OR(LEFT(E236,1)="A",LEFT(E236,1)="B"),OR(LEFT(H236,1)="A",LEFT(H236,1)="B")),"B — Cần bổ sung chứng cứ","Kiểm tra mức chứng cứ")))</x:f>
        <x:v>B — Cần bổ sung chứng cứ</x:v>
      </x:c>
      <x:c r="J236" s="11" t="str">
        <x:v>Có chứng cứ cho thành tố</x:v>
      </x:c>
      <x:c r="K236" s="11" t="str">
        <x:v>lễ [HV 禮]
mở [TV]
ký [HV 記 *]</x:v>
      </x:c>
      <x:c r="L236" s="11" t="str">
        <x:v>서명식 [HH 署名式 *]</x:v>
      </x:c>
      <x:c r="M236" s="11" t="str">
        <x:v>Phân tích cấu tạo của người rà soát; nguồn đã kiểm tra chỉ xác nhận các thành tố được gắn mã nguồn, không phải mọi thành tố.
Lễ 禮 và ký 記 là Hán Việt; mở là từ Việt. Từ nguyên không xác nhận tính đúng đắn của cặp dịch lễ mở ký–서명식.</x:v>
      </x:c>
      <x:c r="N236"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36" s="11" t="str">
        <x:v>Hán Hàn</x:v>
      </x:c>
      <x:c r="P236" s="11" t="str"/>
      <x:c r="Q236" s="37" t="str">
        <x:v>ET135 (dòng 1010)
ET221 (dòng 1096)</x:v>
      </x:c>
      <x:c r="R236" s="37" t="str">
        <x:v>Chưa có nguồn từ nguyên cụ thể trong lượt này</x:v>
      </x:c>
      <x:c r="S236" s="11" t="str"/>
      <x:c r="T236" s="11" t="str">
        <x:v>Lệch nghĩa / phạm vi</x:v>
      </x:c>
      <x:c r="U236" s="11" t="str">
        <x:v>N4 — Quan hệ, hoạt động</x:v>
      </x:c>
    </x:row>
    <x:row r="237" ht="100.5" customHeight="1">
      <x:c r="A237" s="14" t="n">
        <x:v>232</x:v>
      </x:c>
      <x:c r="B237" s="11" t="str">
        <x:v>C123</x:v>
      </x:c>
      <x:c r="C237" s="11" t="str">
        <x:v>tương trợ tư pháp</x:v>
      </x:c>
      <x:c r="D237" s="11" t="str">
        <x:v>Hán Việt</x:v>
      </x:c>
      <x:c r="E237" s="11" t="str">
        <x:v>B — Phân tích tạm</x:v>
      </x:c>
      <x:c r="F237" s="11" t="str">
        <x:v>사법공조</x:v>
      </x:c>
      <x:c r="G237" s="11" t="str">
        <x:v>Hán Hàn</x:v>
      </x:c>
      <x:c r="H237" s="11" t="str">
        <x:v>B — Phân tích tạm</x:v>
      </x:c>
      <x:c r="I237" s="11" t="str">
        <x:f>IF(AND(LEFT(E237,1)="A",LEFT(H237,1)="A"),"A/A — Có chứng cứ hai phía",IF(OR(LEFT(E237,1)="C",LEFT(H237,1)="C"),"C — Còn điểm chưa chốt",IF(AND(OR(LEFT(E237,1)="A",LEFT(E237,1)="B"),OR(LEFT(H237,1)="A",LEFT(H237,1)="B")),"B — Cần bổ sung chứng cứ","Kiểm tra mức chứng cứ")))</x:f>
        <x:v>B — Cần bổ sung chứng cứ</x:v>
      </x:c>
      <x:c r="J237" s="11" t="str">
        <x:v>Có chứng cứ cho thành tố</x:v>
      </x:c>
      <x:c r="K237" s="11" t="str">
        <x:v>tương trợ [HV 相助 *]
tư pháp [HV 司法]</x:v>
      </x:c>
      <x:c r="L237" s="11" t="str">
        <x:v>사법공조 [HH 司法共助 *]</x:v>
      </x:c>
      <x:c r="M237" s="11" t="str">
        <x:v>Phân tích cấu tạo của người rà soát; nguồn đã kiểm tra chỉ xác nhận các thành tố được gắn mã nguồn, không phải mọi thành tố.</x:v>
      </x:c>
      <x:c r="N23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37" s="11" t="str">
        <x:v>Hán Hàn</x:v>
      </x:c>
      <x:c r="P237" s="11" t="str"/>
      <x:c r="Q237" s="37" t="str">
        <x:v>ET110 (dòng 985)</x:v>
      </x:c>
      <x:c r="R237" s="37" t="str">
        <x:v>ET279 (dòng 1154)</x:v>
      </x:c>
      <x:c r="S237" s="11" t="str"/>
      <x:c r="T237" s="11" t="str">
        <x:v>Có điều kiện — chưa chốt</x:v>
      </x:c>
      <x:c r="U237" s="11" t="str">
        <x:v>N4 — Quan hệ, hoạt động</x:v>
      </x:c>
    </x:row>
    <x:row r="238" ht="100.5" customHeight="1">
      <x:c r="A238" s="14" t="n">
        <x:v>233</x:v>
      </x:c>
      <x:c r="B238" s="11" t="str">
        <x:v>C125</x:v>
      </x:c>
      <x:c r="C238" s="11" t="str">
        <x:v>viện trợ không hoàn lại</x:v>
      </x:c>
      <x:c r="D238" s="11" t="str">
        <x:v>Chưa chốt</x:v>
      </x:c>
      <x:c r="E238" s="11" t="str">
        <x:v>C — Chưa chốt từ nguyên</x:v>
      </x:c>
      <x:c r="F238" s="11" t="str">
        <x:v>무상원조</x:v>
      </x:c>
      <x:c r="G238" s="11" t="str">
        <x:v>Hán Hàn</x:v>
      </x:c>
      <x:c r="H238" s="11" t="str">
        <x:v>B — Phân tích tạm</x:v>
      </x:c>
      <x:c r="I238" s="11" t="str">
        <x:f>IF(AND(LEFT(E238,1)="A",LEFT(H238,1)="A"),"A/A — Có chứng cứ hai phía",IF(OR(LEFT(E238,1)="C",LEFT(H238,1)="C"),"C — Còn điểm chưa chốt",IF(AND(OR(LEFT(E238,1)="A",LEFT(E238,1)="B"),OR(LEFT(H238,1)="A",LEFT(H238,1)="B")),"B — Cần bổ sung chứng cứ","Kiểm tra mức chứng cứ")))</x:f>
        <x:v>C — Còn điểm chưa chốt</x:v>
      </x:c>
      <x:c r="J238" s="11" t="str">
        <x:v>Có chứng cứ cho thành tố</x:v>
      </x:c>
      <x:c r="K238" s="11" t="str">
        <x:v>viện trợ [HV 援助]
không [?]
hoàn [HV 還 *]
lại [TV]</x:v>
      </x:c>
      <x:c r="L238" s="11" t="str">
        <x:v>무상원조 [HH 無償援助 *]</x:v>
      </x:c>
      <x:c r="M238" s="11" t="str">
        <x:v>Đã tách thành tố nhưng còn điểm từ nguyên/nghĩa chưa đủ bằng chứng; chưa đưa vào danh sách đã chốt.
Không được WOLD đánh giá có khả năng vay mượn; chưa chốt ở lớp chuẩn. Hoàn là Hán Việt, lại là yếu tố Việt trong hoàn lại, cần đọc đúng nghĩa.</x:v>
      </x:c>
      <x:c r="N238"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38" s="11" t="str">
        <x:v>Hán Hàn</x:v>
      </x:c>
      <x:c r="P238" s="11" t="str"/>
      <x:c r="Q238" s="37" t="str">
        <x:v>ET222 (dòng 1097)
ET192 (dòng 1067)</x:v>
      </x:c>
      <x:c r="R238" s="37" t="str">
        <x:v>Chưa có nguồn từ nguyên cụ thể trong lượt này</x:v>
      </x:c>
      <x:c r="S238" s="11" t="str"/>
      <x:c r="T238" s="11" t="str">
        <x:v>Có điều kiện — chưa chốt</x:v>
      </x:c>
      <x:c r="U238" s="11" t="str">
        <x:v>N4 — Quan hệ, hoạt động</x:v>
      </x:c>
    </x:row>
    <x:row r="239" ht="100.5" customHeight="1">
      <x:c r="A239" s="14" t="n">
        <x:v>234</x:v>
      </x:c>
      <x:c r="B239" s="11" t="str">
        <x:v>C127</x:v>
      </x:c>
      <x:c r="C239" s="11" t="str">
        <x:v>trao đổi đoàn</x:v>
      </x:c>
      <x:c r="D239" s="11" t="str">
        <x:v>Hán Việt + thuần Việt</x:v>
      </x:c>
      <x:c r="E239" s="11" t="str">
        <x:v>B — Phân tích tạm</x:v>
      </x:c>
      <x:c r="F239" s="11" t="str">
        <x:v>대표단 교류</x:v>
      </x:c>
      <x:c r="G239" s="11" t="str">
        <x:v>Hán Hàn</x:v>
      </x:c>
      <x:c r="H239" s="11" t="str">
        <x:v>B — Phân tích tạm</x:v>
      </x:c>
      <x:c r="I239" s="11" t="str">
        <x:f>IF(AND(LEFT(E239,1)="A",LEFT(H239,1)="A"),"A/A — Có chứng cứ hai phía",IF(OR(LEFT(E239,1)="C",LEFT(H239,1)="C"),"C — Còn điểm chưa chốt",IF(AND(OR(LEFT(E239,1)="A",LEFT(E239,1)="B"),OR(LEFT(H239,1)="A",LEFT(H239,1)="B")),"B — Cần bổ sung chứng cứ","Kiểm tra mức chứng cứ")))</x:f>
        <x:v>B — Cần bổ sung chứng cứ</x:v>
      </x:c>
      <x:c r="J239" s="11" t="str">
        <x:v>Có chứng cứ cho thành tố</x:v>
      </x:c>
      <x:c r="K239" s="11" t="str">
        <x:v>trao [TV]
đổi [TV]
đoàn [HV 團]</x:v>
      </x:c>
      <x:c r="L239" s="11" t="str">
        <x:v>대표단 [HH 代表團]
교류 [HH 交流 *]</x:v>
      </x:c>
      <x:c r="M239" s="11" t="str">
        <x:v>Phân tích cấu tạo của người rà soát; nguồn đã kiểm tra chỉ xác nhận các thành tố được gắn mã nguồn, không phải mọi thành tố.</x:v>
      </x:c>
      <x:c r="N23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39" s="11" t="str">
        <x:v>Hán Hàn</x:v>
      </x:c>
      <x:c r="P239" s="11" t="str"/>
      <x:c r="Q239" s="37" t="str">
        <x:v>ET129 (dòng 1004)
ET152 (dòng 1027)</x:v>
      </x:c>
      <x:c r="R239" s="37" t="str">
        <x:v>ET293 (dòng 1168)</x:v>
      </x:c>
      <x:c r="S239" s="11" t="str"/>
      <x:c r="T239" s="11" t="str">
        <x:v>Ứng viên — còn thiếu chứng cứ</x:v>
      </x:c>
      <x:c r="U239" s="11" t="str">
        <x:v>N4 — Quan hệ, hoạt động</x:v>
      </x:c>
    </x:row>
    <x:row r="240" ht="100.5" customHeight="1">
      <x:c r="A240" s="14" t="n">
        <x:v>235</x:v>
      </x:c>
      <x:c r="B240" s="11" t="str">
        <x:v>C128</x:v>
      </x:c>
      <x:c r="C240" s="11" t="str">
        <x:v>hợp tác địa phương</x:v>
      </x:c>
      <x:c r="D240" s="11" t="str">
        <x:v>Hán Việt</x:v>
      </x:c>
      <x:c r="E240" s="11" t="str">
        <x:v>A — Có chứng cứ thành tố</x:v>
      </x:c>
      <x:c r="F240" s="11" t="str">
        <x:v>지방 협력</x:v>
      </x:c>
      <x:c r="G240" s="11" t="str">
        <x:v>Hán Hàn</x:v>
      </x:c>
      <x:c r="H240" s="11" t="str">
        <x:v>B — Phân tích tạm</x:v>
      </x:c>
      <x:c r="I240" s="11" t="str">
        <x:f>IF(AND(LEFT(E240,1)="A",LEFT(H240,1)="A"),"A/A — Có chứng cứ hai phía",IF(OR(LEFT(E240,1)="C",LEFT(H240,1)="C"),"C — Còn điểm chưa chốt",IF(AND(OR(LEFT(E240,1)="A",LEFT(E240,1)="B"),OR(LEFT(H240,1)="A",LEFT(H240,1)="B")),"B — Cần bổ sung chứng cứ","Kiểm tra mức chứng cứ")))</x:f>
        <x:v>B — Cần bổ sung chứng cứ</x:v>
      </x:c>
      <x:c r="J240" s="11" t="str">
        <x:v>Có chứng cứ cho thành tố</x:v>
      </x:c>
      <x:c r="K240" s="11" t="str">
        <x:v>hợp tác [HV 合作]
địa phương [HV 地方]</x:v>
      </x:c>
      <x:c r="L240" s="11" t="str">
        <x:v>지방 [HH 地方 *]
협력 [HH 協力]</x:v>
      </x:c>
      <x:c r="M240" s="11" t="str">
        <x:v>Đã đối chiếu nguồn cho các thành tố Hán Việt cấu thành; nhãn toàn cụm là tổng hợp phân tích.</x:v>
      </x:c>
      <x:c r="N24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40" s="11" t="str">
        <x:v>Hán Hàn</x:v>
      </x:c>
      <x:c r="P240" s="11" t="str"/>
      <x:c r="Q240" s="37" t="str">
        <x:v>ET117 (dòng 992)
ET081 (dòng 956)</x:v>
      </x:c>
      <x:c r="R240" s="37" t="str">
        <x:v>ET282 (dòng 1157)</x:v>
      </x:c>
      <x:c r="S240" s="11" t="str"/>
      <x:c r="T240" s="11" t="str">
        <x:v>Ứng viên — còn thiếu chứng cứ</x:v>
      </x:c>
      <x:c r="U240" s="11" t="str">
        <x:v>N4 — Quan hệ, hoạt động</x:v>
      </x:c>
    </x:row>
    <x:row r="241" ht="175.5" customHeight="1">
      <x:c r="A241" s="14" t="n">
        <x:v>236</x:v>
      </x:c>
      <x:c r="B241" s="11" t="str">
        <x:v>C129</x:v>
      </x:c>
      <x:c r="C241" s="11" t="str">
        <x:v>những cuộc gặp gỡ giữa các vị lãnh đạo cấp cao hai bên</x:v>
      </x:c>
      <x:c r="D241" s="11" t="str">
        <x:v>Chưa chốt</x:v>
      </x:c>
      <x:c r="E241" s="11" t="str">
        <x:v>C — Chưa chốt từ nguyên</x:v>
      </x:c>
      <x:c r="F241" s="11" t="str">
        <x:v>고위급 회담</x:v>
      </x:c>
      <x:c r="G241" s="11" t="str">
        <x:v>Hán Hàn</x:v>
      </x:c>
      <x:c r="H241" s="11" t="str">
        <x:v>B — Phân tích tạm</x:v>
      </x:c>
      <x:c r="I241" s="11" t="str">
        <x:f>IF(AND(LEFT(E241,1)="A",LEFT(H241,1)="A"),"A/A — Có chứng cứ hai phía",IF(OR(LEFT(E241,1)="C",LEFT(H241,1)="C"),"C — Còn điểm chưa chốt",IF(AND(OR(LEFT(E241,1)="A",LEFT(E241,1)="B"),OR(LEFT(H241,1)="A",LEFT(H241,1)="B")),"B — Cần bổ sung chứng cứ","Kiểm tra mức chứng cứ")))</x:f>
        <x:v>C — Còn điểm chưa chốt</x:v>
      </x:c>
      <x:c r="J241" s="11" t="str">
        <x:v>Có chứng cứ cho thành tố</x:v>
      </x:c>
      <x:c r="K241" s="11" t="str">
        <x:v>những [TV]
cuộc [?]
gặp gỡ [TV]
giữa [TV]
các [HV 各]
vị [HV 位 *]
lãnh đạo [HV 領導]
cấp [HV 級]
cao [HV 高]
hai [TV]
bên [GH 邊]</x:v>
      </x:c>
      <x:c r="L241" s="11" t="str">
        <x:v>고위급 [HH 高位級 *]
회담 [HH 會談 *]</x:v>
      </x:c>
      <x:c r="M241" s="11" t="str">
        <x:v>Đã tách thành tố nhưng còn điểm từ nguyên/nghĩa chưa đủ bằng chứng; chưa đưa vào danh sách đã chốt.
Đây là nguyên chuỗi miêu tả có nhiều hư từ, không phải một từ ghép đơn. Các 各 và vị 位 là yếu tố Hán Việt; bên có đối chiếu với biên 邊; cuộc cần kiểm chứng. Chưa chốt cấu tạo toàn chuỗi.</x:v>
      </x:c>
      <x:c r="N24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41" s="11" t="str">
        <x:v>Hán Hàn</x:v>
      </x:c>
      <x:c r="P241" s="11" t="str"/>
      <x:c r="Q241" s="37" t="str">
        <x:v>ET223 (dòng 1098)
ET224 (dòng 1099)
ET057 (dòng 932)
ET101 (dòng 976)
ET083 (dòng 958)
ET120 (dòng 995)
ET082 (dòng 957)
ET072 (dòng 947)</x:v>
      </x:c>
      <x:c r="R241" s="37" t="str">
        <x:v>Chưa có nguồn từ nguyên cụ thể trong lượt này</x:v>
      </x:c>
      <x:c r="S241" s="11" t="str"/>
      <x:c r="T241" s="11" t="str">
        <x:v>Lệch nghĩa / phạm vi</x:v>
      </x:c>
      <x:c r="U241" s="11" t="str">
        <x:v>N4 — Quan hệ, hoạt động</x:v>
      </x:c>
    </x:row>
    <x:row r="242" ht="85.5" customHeight="1">
      <x:c r="A242" s="14" t="n">
        <x:v>237</x:v>
      </x:c>
      <x:c r="B242" s="11" t="str">
        <x:v>C130</x:v>
      </x:c>
      <x:c r="C242" s="11" t="str">
        <x:v>Hợp tác kênh Đảng</x:v>
      </x:c>
      <x:c r="D242" s="11" t="str">
        <x:v>Chưa chốt</x:v>
      </x:c>
      <x:c r="E242" s="11" t="str">
        <x:v>C — Chưa chốt từ nguyên</x:v>
      </x:c>
      <x:c r="F242" s="11" t="str">
        <x:v>당 대 당 협력</x:v>
      </x:c>
      <x:c r="G242" s="11" t="str">
        <x:v>Hán Hàn</x:v>
      </x:c>
      <x:c r="H242" s="11" t="str">
        <x:v>A — Có chứng cứ thành tố</x:v>
      </x:c>
      <x:c r="I242" s="11" t="str">
        <x:f>IF(AND(LEFT(E242,1)="A",LEFT(H242,1)="A"),"A/A — Có chứng cứ hai phía",IF(OR(LEFT(E242,1)="C",LEFT(H242,1)="C"),"C — Còn điểm chưa chốt",IF(AND(OR(LEFT(E242,1)="A",LEFT(E242,1)="B"),OR(LEFT(H242,1)="A",LEFT(H242,1)="B")),"B — Cần bổ sung chứng cứ","Kiểm tra mức chứng cứ")))</x:f>
        <x:v>C — Còn điểm chưa chốt</x:v>
      </x:c>
      <x:c r="J242" s="11" t="str">
        <x:v>Có chứng cứ cho thành tố</x:v>
      </x:c>
      <x:c r="K242" s="11" t="str">
        <x:v>Hợp tác [HV 合作]
kênh [?]
Đảng [HV 黨]</x:v>
      </x:c>
      <x:c r="L242" s="11" t="str">
        <x:v>당 [HH 黨]
대 [HH 對]
당 [HH 黨]
협력 [HH 協力]</x:v>
      </x:c>
      <x:c r="M242" s="11" t="str">
        <x:v>Đã tách thành tố nhưng còn điểm từ nguyên/nghĩa chưa đủ bằng chứng; chưa đưa vào danh sách đã chốt.
Chưa tìm được nguồn từ nguyên đủ mạnh cho kênh ở nghĩa kênh hợp tác; không gán thuần Việt hoặc từ Pháp chỉ dựa vào bản dịch channel.</x:v>
      </x:c>
      <x:c r="N242" s="11" t="str">
        <x:v>Đã tìm thấy nguồn mục từ/thành tố ghi nguyên dạng hoặc lớp từ cho toàn bộ thành tố quyết định kết luận.
대 trong 당 대 당 là 對 (đối/so với), thuộc Hán Hàn; không tự động coi là hư từ thuần Hàn.</x:v>
      </x:c>
      <x:c r="O242" s="11" t="str">
        <x:v>Hán Hàn</x:v>
      </x:c>
      <x:c r="P242" s="11" t="str"/>
      <x:c r="Q242" s="37" t="str">
        <x:v>ET117 (dòng 992)
ET003 (dòng 878)</x:v>
      </x:c>
      <x:c r="R242" s="37" t="str">
        <x:v>ET238 (dòng 1113)
ET239 (dòng 1114)
ET275 (dòng 1150)
ET282 (dòng 1157)</x:v>
      </x:c>
      <x:c r="S242" s="11" t="str"/>
      <x:c r="T242" s="11" t="str">
        <x:v>Ứng viên — còn thiếu chứng cứ</x:v>
      </x:c>
      <x:c r="U242" s="11" t="str">
        <x:v>N4 — Quan hệ, hoạt động</x:v>
      </x:c>
    </x:row>
    <x:row r="243" ht="85.5" customHeight="1">
      <x:c r="A243" s="14" t="n">
        <x:v>238</x:v>
      </x:c>
      <x:c r="B243" s="11" t="str">
        <x:v>C132</x:v>
      </x:c>
      <x:c r="C243" s="11" t="str">
        <x:v>ngoại giao Nhà nước</x:v>
      </x:c>
      <x:c r="D243" s="11" t="str">
        <x:v>Hán Việt + thuần Việt</x:v>
      </x:c>
      <x:c r="E243" s="11" t="str">
        <x:v>B — Phân tích tạm</x:v>
      </x:c>
      <x:c r="F243" s="11" t="str">
        <x:v>국가 외교</x:v>
      </x:c>
      <x:c r="G243" s="11" t="str">
        <x:v>Hán Hàn</x:v>
      </x:c>
      <x:c r="H243" s="11" t="str">
        <x:v>A — Có chứng cứ thành tố</x:v>
      </x:c>
      <x:c r="I243" s="11" t="str">
        <x:f>IF(AND(LEFT(E243,1)="A",LEFT(H243,1)="A"),"A/A — Có chứng cứ hai phía",IF(OR(LEFT(E243,1)="C",LEFT(H243,1)="C"),"C — Còn điểm chưa chốt",IF(AND(OR(LEFT(E243,1)="A",LEFT(E243,1)="B"),OR(LEFT(H243,1)="A",LEFT(H243,1)="B")),"B — Cần bổ sung chứng cứ","Kiểm tra mức chứng cứ")))</x:f>
        <x:v>B — Cần bổ sung chứng cứ</x:v>
      </x:c>
      <x:c r="J243" s="11" t="str">
        <x:v>Có chứng cứ cho thành tố</x:v>
      </x:c>
      <x:c r="K243" s="11" t="str">
        <x:v>ngoại giao [HV 外交]
Nhà nước [TV]</x:v>
      </x:c>
      <x:c r="L243" s="11" t="str">
        <x:v>국가 [HH 國家]
외교 [HH 外交]</x:v>
      </x:c>
      <x:c r="M243" s="11" t="str">
        <x:v>Phân tích cấu tạo của người rà soát; nguồn đã kiểm tra chỉ xác nhận các thành tố được gắn mã nguồn, không phải mọi thành tố.</x:v>
      </x:c>
      <x:c r="N243" s="11" t="str">
        <x:v>Đã tìm thấy nguồn mục từ/thành tố ghi nguyên dạng hoặc lớp từ cho toàn bộ thành tố quyết định kết luận.</x:v>
      </x:c>
      <x:c r="O243" s="11" t="str">
        <x:v>Hán Hàn</x:v>
      </x:c>
      <x:c r="P243" s="11" t="str"/>
      <x:c r="Q243" s="37" t="str">
        <x:v>ET007 (dòng 882)
ET040 (dòng 915)</x:v>
      </x:c>
      <x:c r="R243" s="37" t="str">
        <x:v>ET246 (dòng 1121)
ET247 (dòng 1122)
ET269 (dòng 1144)
ET268 (dòng 1143)</x:v>
      </x:c>
      <x:c r="S243" s="11" t="str"/>
      <x:c r="T243" s="11" t="str">
        <x:v>Ứng viên — còn thiếu chứng cứ</x:v>
      </x:c>
      <x:c r="U243" s="11" t="str">
        <x:v>N4 — Quan hệ, hoạt động</x:v>
      </x:c>
    </x:row>
    <x:row r="244" ht="100.5" customHeight="1">
      <x:c r="A244" s="14" t="n">
        <x:v>239</x:v>
      </x:c>
      <x:c r="B244" s="11" t="str">
        <x:v>C133</x:v>
      </x:c>
      <x:c r="C244" s="11" t="str">
        <x:v>ngoại giao láng giềng</x:v>
      </x:c>
      <x:c r="D244" s="11" t="str">
        <x:v>Chưa chốt</x:v>
      </x:c>
      <x:c r="E244" s="11" t="str">
        <x:v>C — Chưa chốt từ nguyên</x:v>
      </x:c>
      <x:c r="F244" s="11" t="str">
        <x:v>주변 외교</x:v>
      </x:c>
      <x:c r="G244" s="11" t="str">
        <x:v>Hán Hàn</x:v>
      </x:c>
      <x:c r="H244" s="11" t="str">
        <x:v>B — Phân tích tạm</x:v>
      </x:c>
      <x:c r="I244" s="11" t="str">
        <x:f>IF(AND(LEFT(E244,1)="A",LEFT(H244,1)="A"),"A/A — Có chứng cứ hai phía",IF(OR(LEFT(E244,1)="C",LEFT(H244,1)="C"),"C — Còn điểm chưa chốt",IF(AND(OR(LEFT(E244,1)="A",LEFT(E244,1)="B"),OR(LEFT(H244,1)="A",LEFT(H244,1)="B")),"B — Cần bổ sung chứng cứ","Kiểm tra mức chứng cứ")))</x:f>
        <x:v>C — Còn điểm chưa chốt</x:v>
      </x:c>
      <x:c r="J244" s="11" t="str">
        <x:v>Có chứng cứ cho thành tố</x:v>
      </x:c>
      <x:c r="K244" s="11" t="str">
        <x:v>ngoại giao [HV 外交]
láng giềng [?]</x:v>
      </x:c>
      <x:c r="L244" s="11" t="str">
        <x:v>주변 [HH 周邊 *]
외교 [HH 外交]</x:v>
      </x:c>
      <x:c r="M244" s="11" t="str">
        <x:v>Đã tách thành tố nhưng còn điểm từ nguyên/nghĩa chưa đủ bằng chứng; chưa đưa vào danh sách đã chốt.
Láng giềng là tổ hợp Việt thông dụng nhưng chưa đủ nguồn từ nguyên lịch sử để chốt thuần Việt trong lượt này; âm Nôm ghi bằng chữ Hán không chứng minh từ Hán Việt.</x:v>
      </x:c>
      <x:c r="N24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44" s="11" t="str">
        <x:v>Hán Hàn</x:v>
      </x:c>
      <x:c r="P244" s="11" t="str"/>
      <x:c r="Q244" s="37" t="str">
        <x:v>ET007 (dòng 882)
ET225 (dòng 1100)</x:v>
      </x:c>
      <x:c r="R244" s="37" t="str">
        <x:v>ET269 (dòng 1144)
ET268 (dòng 1143)</x:v>
      </x:c>
      <x:c r="S244" s="11" t="str"/>
      <x:c r="T244" s="11" t="str">
        <x:v>Ứng viên — còn thiếu chứng cứ</x:v>
      </x:c>
      <x:c r="U244" s="11" t="str">
        <x:v>N4 — Quan hệ, hoạt động</x:v>
      </x:c>
    </x:row>
    <x:row r="245" ht="85.5" customHeight="1">
      <x:c r="A245" s="14" t="n">
        <x:v>240</x:v>
      </x:c>
      <x:c r="B245" s="11" t="str">
        <x:v>C134</x:v>
      </x:c>
      <x:c r="C245" s="11" t="str">
        <x:v>hợp tác tư pháp</x:v>
      </x:c>
      <x:c r="D245" s="11" t="str">
        <x:v>Hán Việt</x:v>
      </x:c>
      <x:c r="E245" s="11" t="str">
        <x:v>A — Có chứng cứ thành tố</x:v>
      </x:c>
      <x:c r="F245" s="11" t="str">
        <x:v>사법 협력</x:v>
      </x:c>
      <x:c r="G245" s="11" t="str">
        <x:v>Hán Hàn</x:v>
      </x:c>
      <x:c r="H245" s="11" t="str">
        <x:v>A — Có chứng cứ thành tố</x:v>
      </x:c>
      <x:c r="I245" s="11" t="str">
        <x:f>IF(AND(LEFT(E245,1)="A",LEFT(H245,1)="A"),"A/A — Có chứng cứ hai phía",IF(OR(LEFT(E245,1)="C",LEFT(H245,1)="C"),"C — Còn điểm chưa chốt",IF(AND(OR(LEFT(E245,1)="A",LEFT(E245,1)="B"),OR(LEFT(H245,1)="A",LEFT(H245,1)="B")),"B — Cần bổ sung chứng cứ","Kiểm tra mức chứng cứ")))</x:f>
        <x:v>A/A — Có chứng cứ hai phía</x:v>
      </x:c>
      <x:c r="J245" s="11" t="str">
        <x:v>Có chứng cứ cho thành tố</x:v>
      </x:c>
      <x:c r="K245" s="11" t="str">
        <x:v>hợp tác [HV 合作]
tư pháp [HV 司法]</x:v>
      </x:c>
      <x:c r="L245" s="11" t="str">
        <x:v>사법 [HH 司法]
협력 [HH 協力]</x:v>
      </x:c>
      <x:c r="M245" s="11" t="str">
        <x:v>Đã đối chiếu nguồn cho các thành tố Hán Việt cấu thành; nhãn toàn cụm là tổng hợp phân tích.</x:v>
      </x:c>
      <x:c r="N245" s="11" t="str">
        <x:v>Đã tìm thấy nguồn mục từ/thành tố ghi nguyên dạng hoặc lớp từ cho toàn bộ thành tố quyết định kết luận.</x:v>
      </x:c>
      <x:c r="O245" s="11" t="str">
        <x:v>Hán Hàn</x:v>
      </x:c>
      <x:c r="P245" s="11" t="str"/>
      <x:c r="Q245" s="37" t="str">
        <x:v>ET117 (dòng 992)
ET110 (dòng 985)</x:v>
      </x:c>
      <x:c r="R245" s="37" t="str">
        <x:v>ET279 (dòng 1154)
ET282 (dòng 1157)</x:v>
      </x:c>
      <x:c r="S245" s="11" t="str"/>
      <x:c r="T245" s="11" t="str">
        <x:v>Ứng viên — còn thiếu chứng cứ</x:v>
      </x:c>
      <x:c r="U245" s="11" t="str">
        <x:v>N4 — Quan hệ, hoạt động</x:v>
      </x:c>
    </x:row>
    <x:row r="246" ht="100.5" customHeight="1">
      <x:c r="A246" s="14" t="n">
        <x:v>241</x:v>
      </x:c>
      <x:c r="B246" s="11" t="str">
        <x:v>C135</x:v>
      </x:c>
      <x:c r="C246" s="11" t="str">
        <x:v>hợp tác phát triển</x:v>
      </x:c>
      <x:c r="D246" s="11" t="str">
        <x:v>Hán Việt</x:v>
      </x:c>
      <x:c r="E246" s="11" t="str">
        <x:v>A — Có chứng cứ thành tố</x:v>
      </x:c>
      <x:c r="F246" s="11" t="str">
        <x:v>개발 협력</x:v>
      </x:c>
      <x:c r="G246" s="11" t="str">
        <x:v>Hán Hàn</x:v>
      </x:c>
      <x:c r="H246" s="11" t="str">
        <x:v>B — Phân tích tạm</x:v>
      </x:c>
      <x:c r="I246" s="11" t="str">
        <x:f>IF(AND(LEFT(E246,1)="A",LEFT(H246,1)="A"),"A/A — Có chứng cứ hai phía",IF(OR(LEFT(E246,1)="C",LEFT(H246,1)="C"),"C — Còn điểm chưa chốt",IF(AND(OR(LEFT(E246,1)="A",LEFT(E246,1)="B"),OR(LEFT(H246,1)="A",LEFT(H246,1)="B")),"B — Cần bổ sung chứng cứ","Kiểm tra mức chứng cứ")))</x:f>
        <x:v>B — Cần bổ sung chứng cứ</x:v>
      </x:c>
      <x:c r="J246" s="11" t="str">
        <x:v>Có chứng cứ cho thành tố</x:v>
      </x:c>
      <x:c r="K246" s="11" t="str">
        <x:v>hợp tác [HV 合作]
phát triển [HV 發展]</x:v>
      </x:c>
      <x:c r="L246" s="11" t="str">
        <x:v>개발 [HH 開發 *]
협력 [HH 協力]</x:v>
      </x:c>
      <x:c r="M246" s="11" t="str">
        <x:v>Đã đối chiếu nguồn cho các thành tố Hán Việt cấu thành; nhãn toàn cụm là tổng hợp phân tích.</x:v>
      </x:c>
      <x:c r="N24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46" s="11" t="str">
        <x:v>Hán Hàn</x:v>
      </x:c>
      <x:c r="P246" s="11" t="str"/>
      <x:c r="Q246" s="37" t="str">
        <x:v>ET117 (dòng 992)
ET190 (dòng 1065)</x:v>
      </x:c>
      <x:c r="R246" s="37" t="str">
        <x:v>ET282 (dòng 1157)</x:v>
      </x:c>
      <x:c r="S246" s="11" t="str"/>
      <x:c r="T246" s="11" t="str">
        <x:v>Xác nhận — cùng biểu thức Anh</x:v>
      </x:c>
      <x:c r="U246" s="11" t="str">
        <x:v>N4 — Quan hệ, hoạt động</x:v>
      </x:c>
    </x:row>
    <x:row r="247" ht="100.5" customHeight="1">
      <x:c r="A247" s="14" t="n">
        <x:v>242</x:v>
      </x:c>
      <x:c r="B247" s="11" t="str">
        <x:v>C137</x:v>
      </x:c>
      <x:c r="C247" s="11" t="str">
        <x:v>Tuyên bố chung</x:v>
      </x:c>
      <x:c r="D247" s="11" t="str">
        <x:v>Chưa chốt</x:v>
      </x:c>
      <x:c r="E247" s="11" t="str">
        <x:v>C — Chưa chốt từ nguyên</x:v>
      </x:c>
      <x:c r="F247" s="11" t="str">
        <x:v>공동성명</x:v>
      </x:c>
      <x:c r="G247" s="11" t="str">
        <x:v>Hán Hàn</x:v>
      </x:c>
      <x:c r="H247" s="11" t="str">
        <x:v>B — Phân tích tạm</x:v>
      </x:c>
      <x:c r="I247" s="11" t="str">
        <x:f>IF(AND(LEFT(E247,1)="A",LEFT(H247,1)="A"),"A/A — Có chứng cứ hai phía",IF(OR(LEFT(E247,1)="C",LEFT(H247,1)="C"),"C — Còn điểm chưa chốt",IF(AND(OR(LEFT(E247,1)="A",LEFT(E247,1)="B"),OR(LEFT(H247,1)="A",LEFT(H247,1)="B")),"B — Cần bổ sung chứng cứ","Kiểm tra mức chứng cứ")))</x:f>
        <x:v>C — Còn điểm chưa chốt</x:v>
      </x:c>
      <x:c r="J247" s="11" t="str">
        <x:v>Có chứng cứ cho thành tố</x:v>
      </x:c>
      <x:c r="K247" s="11" t="str">
        <x:v>Tuyên bố [HV 宣佈]
chung [?]</x:v>
      </x:c>
      <x:c r="L247" s="11" t="str">
        <x:v>공동성명 [HH 共同聲明 *]</x:v>
      </x:c>
      <x:c r="M247" s="11" t="str">
        <x:v>Đã tách thành tố nhưng còn điểm từ nguyên/nghĩa chưa đủ bằng chứng; chưa đưa vào danh sách đã chốt.
Chung nghĩa dùng/cùng thực hiện chung khác chung 終 nghĩa kết thúc. Không gán 終 cho chung trong tuyên bố chung.</x:v>
      </x:c>
      <x:c r="N247"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47" s="11" t="str">
        <x:v>Hán Hàn</x:v>
      </x:c>
      <x:c r="P247" s="11" t="str"/>
      <x:c r="Q247" s="37" t="str">
        <x:v>ET226 (dòng 1101)
ET227 (dòng 1102)</x:v>
      </x:c>
      <x:c r="R247" s="37" t="str">
        <x:v>Chưa có nguồn từ nguyên cụ thể trong lượt này</x:v>
      </x:c>
      <x:c r="S247" s="11" t="str"/>
      <x:c r="T247" s="11" t="str">
        <x:v>Xác nhận — cùng biểu thức Anh</x:v>
      </x:c>
      <x:c r="U247" s="11" t="str">
        <x:v>N5 — Văn bản</x:v>
      </x:c>
    </x:row>
    <x:row r="248" ht="100.5" customHeight="1">
      <x:c r="A248" s="14" t="n">
        <x:v>243</x:v>
      </x:c>
      <x:c r="B248" s="11" t="str">
        <x:v>C139</x:v>
      </x:c>
      <x:c r="C248" s="11" t="str">
        <x:v>Thư ủy nhiệm</x:v>
      </x:c>
      <x:c r="D248" s="11" t="str">
        <x:v>Hán Việt</x:v>
      </x:c>
      <x:c r="E248" s="11" t="str">
        <x:v>A — Có chứng cứ thành tố</x:v>
      </x:c>
      <x:c r="F248" s="11" t="str">
        <x:v>신임장</x:v>
      </x:c>
      <x:c r="G248" s="11" t="str">
        <x:v>Hán Hàn</x:v>
      </x:c>
      <x:c r="H248" s="11" t="str">
        <x:v>B — Phân tích tạm</x:v>
      </x:c>
      <x:c r="I248" s="11" t="str">
        <x:f>IF(AND(LEFT(E248,1)="A",LEFT(H248,1)="A"),"A/A — Có chứng cứ hai phía",IF(OR(LEFT(E248,1)="C",LEFT(H248,1)="C"),"C — Còn điểm chưa chốt",IF(AND(OR(LEFT(E248,1)="A",LEFT(E248,1)="B"),OR(LEFT(H248,1)="A",LEFT(H248,1)="B")),"B — Cần bổ sung chứng cứ","Kiểm tra mức chứng cứ")))</x:f>
        <x:v>B — Cần bổ sung chứng cứ</x:v>
      </x:c>
      <x:c r="J248" s="11" t="str">
        <x:v>Có chứng cứ cho thành tố</x:v>
      </x:c>
      <x:c r="K248" s="11" t="str">
        <x:v>Thư [HV 書]
ủy nhiệm [HV 委任]</x:v>
      </x:c>
      <x:c r="L248" s="11" t="str">
        <x:v>신임장 [HH 信任狀 *]</x:v>
      </x:c>
      <x:c r="M248" s="11" t="str">
        <x:v>Đã đối chiếu nguồn cho các thành tố Hán Việt cấu thành; nhãn toàn cụm là tổng hợp phân tích.</x:v>
      </x:c>
      <x:c r="N248"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48" s="11" t="str">
        <x:v>Hán Hàn</x:v>
      </x:c>
      <x:c r="P248" s="11" t="str"/>
      <x:c r="Q248" s="37" t="str">
        <x:v>ET228 (dòng 1103)
ET229 (dòng 1104)</x:v>
      </x:c>
      <x:c r="R248" s="37" t="str">
        <x:v>Chưa có nguồn từ nguyên cụ thể trong lượt này</x:v>
      </x:c>
      <x:c r="S248" s="11" t="str"/>
      <x:c r="T248" s="11" t="str">
        <x:v>Ứng viên — còn thiếu chứng cứ</x:v>
      </x:c>
      <x:c r="U248" s="11" t="str">
        <x:v>N5 — Văn bản</x:v>
      </x:c>
    </x:row>
    <x:row r="249" ht="100.5" customHeight="1">
      <x:c r="A249" s="14" t="n">
        <x:v>244</x:v>
      </x:c>
      <x:c r="B249" s="11" t="str">
        <x:v>C141</x:v>
      </x:c>
      <x:c r="C249" s="11" t="str">
        <x:v>điều ước quốc tế</x:v>
      </x:c>
      <x:c r="D249" s="11" t="str">
        <x:v>Hán Việt</x:v>
      </x:c>
      <x:c r="E249" s="11" t="str">
        <x:v>A — Có chứng cứ thành tố</x:v>
      </x:c>
      <x:c r="F249" s="11" t="str">
        <x:v>국제조약</x:v>
      </x:c>
      <x:c r="G249" s="11" t="str">
        <x:v>Hán Hàn</x:v>
      </x:c>
      <x:c r="H249" s="11" t="str">
        <x:v>B — Phân tích tạm</x:v>
      </x:c>
      <x:c r="I249" s="11" t="str">
        <x:f>IF(AND(LEFT(E249,1)="A",LEFT(H249,1)="A"),"A/A — Có chứng cứ hai phía",IF(OR(LEFT(E249,1)="C",LEFT(H249,1)="C"),"C — Còn điểm chưa chốt",IF(AND(OR(LEFT(E249,1)="A",LEFT(E249,1)="B"),OR(LEFT(H249,1)="A",LEFT(H249,1)="B")),"B — Cần bổ sung chứng cứ","Kiểm tra mức chứng cứ")))</x:f>
        <x:v>B — Cần bổ sung chứng cứ</x:v>
      </x:c>
      <x:c r="J249" s="11" t="str">
        <x:v>Có chứng cứ cho thành tố</x:v>
      </x:c>
      <x:c r="K249" s="11" t="str">
        <x:v>điều ước [HV 條約]
quốc tế [HV 國際]</x:v>
      </x:c>
      <x:c r="L249" s="11" t="str">
        <x:v>국제조약 [HH 國際條約 *]</x:v>
      </x:c>
      <x:c r="M249" s="11" t="str">
        <x:v>Đã đối chiếu nguồn cho các thành tố Hán Việt cấu thành; nhãn toàn cụm là tổng hợp phân tích.</x:v>
      </x:c>
      <x:c r="N24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49" s="11" t="str">
        <x:v>Hán Hàn</x:v>
      </x:c>
      <x:c r="P249" s="11" t="str"/>
      <x:c r="Q249" s="37" t="str">
        <x:v>ET230 (dòng 1105)
ET089 (dòng 964)</x:v>
      </x:c>
      <x:c r="R249" s="37" t="str">
        <x:v>ET268 (dòng 1143)</x:v>
      </x:c>
      <x:c r="S249" s="11" t="str"/>
      <x:c r="T249" s="11" t="str">
        <x:v>Ứng viên — còn thiếu chứng cứ</x:v>
      </x:c>
      <x:c r="U249" s="11" t="str">
        <x:v>N5 — Văn bản</x:v>
      </x:c>
    </x:row>
    <x:row r="250" ht="85.5" customHeight="1">
      <x:c r="A250" s="14" t="n">
        <x:v>245</x:v>
      </x:c>
      <x:c r="B250" s="11" t="str">
        <x:v>C142</x:v>
      </x:c>
      <x:c r="C250" s="11" t="str">
        <x:v>thỏa thuận hợp tác</x:v>
      </x:c>
      <x:c r="D250" s="11" t="str">
        <x:v>Hán Việt</x:v>
      </x:c>
      <x:c r="E250" s="11" t="str">
        <x:v>A — Có chứng cứ thành tố</x:v>
      </x:c>
      <x:c r="F250" s="11" t="str">
        <x:v>협정</x:v>
      </x:c>
      <x:c r="G250" s="11" t="str">
        <x:v>Hán Hàn</x:v>
      </x:c>
      <x:c r="H250" s="11" t="str">
        <x:v>A — Có chứng cứ thành tố</x:v>
      </x:c>
      <x:c r="I250" s="11" t="str">
        <x:f>IF(AND(LEFT(E250,1)="A",LEFT(H250,1)="A"),"A/A — Có chứng cứ hai phía",IF(OR(LEFT(E250,1)="C",LEFT(H250,1)="C"),"C — Còn điểm chưa chốt",IF(AND(OR(LEFT(E250,1)="A",LEFT(E250,1)="B"),OR(LEFT(H250,1)="A",LEFT(H250,1)="B")),"B — Cần bổ sung chứng cứ","Kiểm tra mức chứng cứ")))</x:f>
        <x:v>A/A — Có chứng cứ hai phía</x:v>
      </x:c>
      <x:c r="J250" s="11" t="str">
        <x:v>Có chứng cứ cho thành tố</x:v>
      </x:c>
      <x:c r="K250" s="11" t="str">
        <x:v>thỏa [HV 妥]
thuận [HV 順]
hợp tác [HV 合作]</x:v>
      </x:c>
      <x:c r="L250" s="11" t="str">
        <x:v>협정 [HH 協定]</x:v>
      </x:c>
      <x:c r="M250" s="11" t="str">
        <x:v>Đã đối chiếu nguồn cho các thành tố Hán Việt cấu thành; nhãn toàn cụm là tổng hợp phân tích.
Thỏa 妥 + thuận 順 đều có âm Hán Việt. Toàn tổ hợp được phân tích thành tố, không khẳng định vay nguyên một từ tiếng Trung.</x:v>
      </x:c>
      <x:c r="N250" s="11" t="str">
        <x:v>Đã tìm thấy nguồn mục từ/thành tố ghi nguyên dạng hoặc lớp từ cho toàn bộ thành tố quyết định kết luận.</x:v>
      </x:c>
      <x:c r="O250" s="11" t="str">
        <x:v>Hán Hàn</x:v>
      </x:c>
      <x:c r="P250" s="11" t="str"/>
      <x:c r="Q250" s="37" t="str">
        <x:v>ET231 (dòng 1106)
ET232 (dòng 1107)
ET117 (dòng 992)</x:v>
      </x:c>
      <x:c r="R250" s="37" t="str">
        <x:v>ET310 (dòng 1185)</x:v>
      </x:c>
      <x:c r="S250" s="11" t="str"/>
      <x:c r="T250" s="11" t="str">
        <x:v>Lệch nghĩa / phạm vi</x:v>
      </x:c>
      <x:c r="U250" s="11" t="str">
        <x:v>N5 — Văn bản</x:v>
      </x:c>
    </x:row>
    <x:row r="251" ht="100.5" customHeight="1">
      <x:c r="A251" s="14" t="n">
        <x:v>246</x:v>
      </x:c>
      <x:c r="B251" s="11" t="str">
        <x:v>C143</x:v>
      </x:c>
      <x:c r="C251" s="11" t="str">
        <x:v>Nghị định thư</x:v>
      </x:c>
      <x:c r="D251" s="11" t="str">
        <x:v>Hán Việt</x:v>
      </x:c>
      <x:c r="E251" s="11" t="str">
        <x:v>B — Phân tích tạm</x:v>
      </x:c>
      <x:c r="F251" s="11" t="str">
        <x:v>의정서</x:v>
      </x:c>
      <x:c r="G251" s="11" t="str">
        <x:v>Hán Hàn</x:v>
      </x:c>
      <x:c r="H251" s="11" t="str">
        <x:v>B — Phân tích tạm</x:v>
      </x:c>
      <x:c r="I251" s="11" t="str">
        <x:f>IF(AND(LEFT(E251,1)="A",LEFT(H251,1)="A"),"A/A — Có chứng cứ hai phía",IF(OR(LEFT(E251,1)="C",LEFT(H251,1)="C"),"C — Còn điểm chưa chốt",IF(AND(OR(LEFT(E251,1)="A",LEFT(E251,1)="B"),OR(LEFT(H251,1)="A",LEFT(H251,1)="B")),"B — Cần bổ sung chứng cứ","Kiểm tra mức chứng cứ")))</x:f>
        <x:v>B — Cần bổ sung chứng cứ</x:v>
      </x:c>
      <x:c r="J251" s="11" t="str">
        <x:v>Có chứng cứ cho thành tố</x:v>
      </x:c>
      <x:c r="K251" s="11" t="str">
        <x:v>Nghị [HV 議]
định [HV 定 *]
thư [HV 書]</x:v>
      </x:c>
      <x:c r="L251" s="11" t="str">
        <x:v>의정서 [HH 議定書 *]</x:v>
      </x:c>
      <x:c r="M251" s="11" t="str">
        <x:v>Phân tích cấu tạo của người rà soát; nguồn đã kiểm tra chỉ xác nhận các thành tố được gắn mã nguồn, không phải mọi thành tố.</x:v>
      </x:c>
      <x:c r="N25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51" s="11" t="str">
        <x:v>Hán Hàn</x:v>
      </x:c>
      <x:c r="P251" s="11" t="str"/>
      <x:c r="Q251" s="37" t="str">
        <x:v>ET165 (dòng 1040)
ET228 (dòng 1103)</x:v>
      </x:c>
      <x:c r="R251" s="37" t="str">
        <x:v>Chưa có nguồn từ nguyên cụ thể trong lượt này</x:v>
      </x:c>
      <x:c r="S251" s="11" t="str"/>
      <x:c r="T251" s="11" t="str">
        <x:v>Xác nhận — cùng biểu thức Anh</x:v>
      </x:c>
      <x:c r="U251" s="11" t="str">
        <x:v>N5 — Văn bản</x:v>
      </x:c>
    </x:row>
    <x:row r="252" ht="100.5" customHeight="1">
      <x:c r="A252" s="14" t="n">
        <x:v>247</x:v>
      </x:c>
      <x:c r="B252" s="11" t="str">
        <x:v>C144</x:v>
      </x:c>
      <x:c r="C252" s="11" t="str">
        <x:v>Hiệp định Thương mại tự do</x:v>
      </x:c>
      <x:c r="D252" s="11" t="str">
        <x:v>Hán Việt</x:v>
      </x:c>
      <x:c r="E252" s="11" t="str">
        <x:v>A — Có chứng cứ thành tố</x:v>
      </x:c>
      <x:c r="F252" s="11" t="str">
        <x:v>자유무역협정</x:v>
      </x:c>
      <x:c r="G252" s="11" t="str">
        <x:v>Hán Hàn</x:v>
      </x:c>
      <x:c r="H252" s="11" t="str">
        <x:v>B — Phân tích tạm</x:v>
      </x:c>
      <x:c r="I252" s="11" t="str">
        <x:f>IF(AND(LEFT(E252,1)="A",LEFT(H252,1)="A"),"A/A — Có chứng cứ hai phía",IF(OR(LEFT(E252,1)="C",LEFT(H252,1)="C"),"C — Còn điểm chưa chốt",IF(AND(OR(LEFT(E252,1)="A",LEFT(E252,1)="B"),OR(LEFT(H252,1)="A",LEFT(H252,1)="B")),"B — Cần bổ sung chứng cứ","Kiểm tra mức chứng cứ")))</x:f>
        <x:v>B — Cần bổ sung chứng cứ</x:v>
      </x:c>
      <x:c r="J252" s="11" t="str">
        <x:v>Có chứng cứ cho thành tố</x:v>
      </x:c>
      <x:c r="K252" s="11" t="str">
        <x:v>Hiệp định [HV 協定]
Thương mại [HV 商賣]
tự do [HV 自由]</x:v>
      </x:c>
      <x:c r="L252" s="11" t="str">
        <x:v>자유무역협정 [HH 自由貿易協定 *]</x:v>
      </x:c>
      <x:c r="M252" s="11" t="str">
        <x:v>Đã đối chiếu nguồn cho các thành tố Hán Việt cấu thành; nhãn toàn cụm là tổng hợp phân tích.</x:v>
      </x:c>
      <x:c r="N25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52" s="11" t="str">
        <x:v>Hán Hàn</x:v>
      </x:c>
      <x:c r="P252" s="11" t="str"/>
      <x:c r="Q252" s="37" t="str">
        <x:v>ET233 (dòng 1108)
ET185 (dòng 1060)
ET197 (dòng 1072)</x:v>
      </x:c>
      <x:c r="R252" s="37" t="str">
        <x:v>ET310 (dòng 1185)</x:v>
      </x:c>
      <x:c r="S252" s="11" t="str"/>
      <x:c r="T252" s="11" t="str">
        <x:v>Xác nhận — cùng biểu thức Anh</x:v>
      </x:c>
      <x:c r="U252" s="11" t="str">
        <x:v>N5 — Văn bản</x:v>
      </x:c>
    </x:row>
    <x:row r="253" ht="100.5" customHeight="1">
      <x:c r="A253" s="14" t="n">
        <x:v>248</x:v>
      </x:c>
      <x:c r="B253" s="11" t="str">
        <x:v>C145</x:v>
      </x:c>
      <x:c r="C253" s="11" t="str">
        <x:v>Hiệp định Bảo hộ đầu tư</x:v>
      </x:c>
      <x:c r="D253" s="11" t="str">
        <x:v>Hán Việt</x:v>
      </x:c>
      <x:c r="E253" s="11" t="str">
        <x:v>A — Có chứng cứ thành tố</x:v>
      </x:c>
      <x:c r="F253" s="11" t="str">
        <x:v>투자보호협정</x:v>
      </x:c>
      <x:c r="G253" s="11" t="str">
        <x:v>Hán Hàn</x:v>
      </x:c>
      <x:c r="H253" s="11" t="str">
        <x:v>B — Phân tích tạm</x:v>
      </x:c>
      <x:c r="I253" s="11" t="str">
        <x:f>IF(AND(LEFT(E253,1)="A",LEFT(H253,1)="A"),"A/A — Có chứng cứ hai phía",IF(OR(LEFT(E253,1)="C",LEFT(H253,1)="C"),"C — Còn điểm chưa chốt",IF(AND(OR(LEFT(E253,1)="A",LEFT(E253,1)="B"),OR(LEFT(H253,1)="A",LEFT(H253,1)="B")),"B — Cần bổ sung chứng cứ","Kiểm tra mức chứng cứ")))</x:f>
        <x:v>B — Cần bổ sung chứng cứ</x:v>
      </x:c>
      <x:c r="J253" s="11" t="str">
        <x:v>Có chứng cứ cho thành tố</x:v>
      </x:c>
      <x:c r="K253" s="11" t="str">
        <x:v>Hiệp định [HV 協定]
Bảo hộ [HV 保護]
đầu tư [HV 投資]</x:v>
      </x:c>
      <x:c r="L253" s="11" t="str">
        <x:v>투자보호협정 [HH 投資保護協定 *]</x:v>
      </x:c>
      <x:c r="M253" s="11" t="str">
        <x:v>Đã đối chiếu nguồn cho các thành tố Hán Việt cấu thành; nhãn toàn cụm là tổng hợp phân tích.</x:v>
      </x:c>
      <x:c r="N25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53" s="11" t="str">
        <x:v>Hán Hàn</x:v>
      </x:c>
      <x:c r="P253" s="11" t="str"/>
      <x:c r="Q253" s="37" t="str">
        <x:v>ET233 (dòng 1108)
ET220 (dòng 1095)
ET234 (dòng 1109)</x:v>
      </x:c>
      <x:c r="R253" s="37" t="str">
        <x:v>ET310 (dòng 1185)</x:v>
      </x:c>
      <x:c r="S253" s="11" t="str"/>
      <x:c r="T253" s="11" t="str">
        <x:v>Ứng viên — còn thiếu chứng cứ</x:v>
      </x:c>
      <x:c r="U253" s="11" t="str">
        <x:v>N5 — Văn bản</x:v>
      </x:c>
    </x:row>
    <x:row r="254" ht="115.5" customHeight="1">
      <x:c r="A254" s="14" t="n">
        <x:v>249</x:v>
      </x:c>
      <x:c r="B254" s="11" t="str">
        <x:v>C151</x:v>
      </x:c>
      <x:c r="C254" s="11" t="str">
        <x:v>Công ước Hà Nội</x:v>
      </x:c>
      <x:c r="D254" s="11" t="str">
        <x:v>Hán Việt</x:v>
      </x:c>
      <x:c r="E254" s="11" t="str">
        <x:v>A — Có chứng cứ thành tố</x:v>
      </x:c>
      <x:c r="F254" s="11" t="str">
        <x:v>하노이협약</x:v>
      </x:c>
      <x:c r="G254" s="11" t="str">
        <x:v>Hán Hàn + ngoại lai khác</x:v>
      </x:c>
      <x:c r="H254" s="11" t="str">
        <x:v>B — Phân tích tạm</x:v>
      </x:c>
      <x:c r="I254" s="11" t="str">
        <x:f>IF(AND(LEFT(E254,1)="A",LEFT(H254,1)="A"),"A/A — Có chứng cứ hai phía",IF(OR(LEFT(E254,1)="C",LEFT(H254,1)="C"),"C — Còn điểm chưa chốt",IF(AND(OR(LEFT(E254,1)="A",LEFT(E254,1)="B"),OR(LEFT(H254,1)="A",LEFT(H254,1)="B")),"B — Cần bổ sung chứng cứ","Kiểm tra mức chứng cứ")))</x:f>
        <x:v>B — Cần bổ sung chứng cứ</x:v>
      </x:c>
      <x:c r="J254" s="11" t="str">
        <x:v>Có chứng cứ cho thành tố</x:v>
      </x:c>
      <x:c r="K254" s="11" t="str">
        <x:v>Công ước [HV 公約]
Hà Nội [HV 河內]</x:v>
      </x:c>
      <x:c r="L254" s="11" t="str">
        <x:v>하노이 [NL]
협약 [HH 協約 *]</x:v>
      </x:c>
      <x:c r="M254" s="11" t="str">
        <x:v>Đã đối chiếu nguồn cho các thành tố Hán Việt cấu thành; nhãn toàn cụm là tổng hợp phân tích.
Hà Nội 河內 là tên riêng dạng Hán Việt; không xem mọi tên riêng là yếu tố phi Hán.</x:v>
      </x:c>
      <x:c r="N254"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 하노이 là phiên âm của Hà Nội; không gán âm Hán Hàn chỉ vì Hà Nội có dạng Hán Việt 河內.</x:v>
      </x:c>
      <x:c r="O254" s="11" t="str">
        <x:v>Hán Hàn + ngoại lai khác</x:v>
      </x:c>
      <x:c r="P254" s="11" t="str">
        <x:v>Việt: Hà Nội — tên thành phố, dạng Hán Việt 河內
Hàn: 하노이</x:v>
      </x:c>
      <x:c r="Q254" s="37" t="str">
        <x:v>ET157 (dòng 1032)
ET235 (dòng 1110)</x:v>
      </x:c>
      <x:c r="R254" s="37" t="str">
        <x:v>Chưa có nguồn từ nguyên cụ thể trong lượt này</x:v>
      </x:c>
      <x:c r="S254" s="11" t="str"/>
      <x:c r="T254" s="11" t="str">
        <x:v>Có điều kiện — chưa chốt</x:v>
      </x:c>
      <x:c r="U254" s="11" t="str">
        <x:v>N5 — Văn bản</x:v>
      </x:c>
    </x:row>
    <x:row r="255" ht="85.5" customHeight="1">
      <x:c r="A255" s="14" t="n">
        <x:v>250</x:v>
      </x:c>
      <x:c r="B255" s="11" t="str">
        <x:v>C154</x:v>
      </x:c>
      <x:c r="C255" s="11" t="str">
        <x:v>Thỏa thuận Paris</x:v>
      </x:c>
      <x:c r="D255" s="11" t="str">
        <x:v>Hán Việt + ngoại lai khác</x:v>
      </x:c>
      <x:c r="E255" s="11" t="str">
        <x:v>B — Phân tích tạm</x:v>
      </x:c>
      <x:c r="F255" s="11" t="str">
        <x:v>파리협정</x:v>
      </x:c>
      <x:c r="G255" s="11" t="str">
        <x:v>Hán Hàn + ngoại lai khác</x:v>
      </x:c>
      <x:c r="H255" s="11" t="str">
        <x:v>B — Phân tích tạm</x:v>
      </x:c>
      <x:c r="I255" s="11" t="str">
        <x:f>IF(AND(LEFT(E255,1)="A",LEFT(H255,1)="A"),"A/A — Có chứng cứ hai phía",IF(OR(LEFT(E255,1)="C",LEFT(H255,1)="C"),"C — Còn điểm chưa chốt",IF(AND(OR(LEFT(E255,1)="A",LEFT(E255,1)="B"),OR(LEFT(H255,1)="A",LEFT(H255,1)="B")),"B — Cần bổ sung chứng cứ","Kiểm tra mức chứng cứ")))</x:f>
        <x:v>B — Cần bổ sung chứng cứ</x:v>
      </x:c>
      <x:c r="J255" s="11" t="str">
        <x:v>Có chứng cứ cho thành tố</x:v>
      </x:c>
      <x:c r="K255" s="11" t="str">
        <x:v>Thỏa [HV 妥]
thuận [HV 順]
Paris [NL]</x:v>
      </x:c>
      <x:c r="L255" s="11" t="str">
        <x:v>파리 [NL]
협정 [HH 協定]</x:v>
      </x:c>
      <x:c r="M255" s="11" t="str">
        <x:v>Phân tích cấu tạo của người rà soát; nguồn đã kiểm tra chỉ xác nhận các thành tố được gắn mã nguồn, không phải mọi thành tố.
Paris là tên riêng dạng ngoại ngữ. Không dùng âm Hán Việt Ba Lê thay cho dạng Paris trong dữ liệu.</x:v>
      </x:c>
      <x:c r="N255" s="11" t="str">
        <x:v>Phân tích cấu tạo của người rà soát; nguồn dưới đây chỉ chứng thực các thành tố được nêu. Chưa đối chiếu từ nguyên riêng cho toàn bộ thành tố.</x:v>
      </x:c>
      <x:c r="O255" s="11" t="str">
        <x:v>Hán Hàn + ngoại lai khác</x:v>
      </x:c>
      <x:c r="P255" s="11" t="str">
        <x:v>Việt: Paris — tên thành phố dạng ngoại ngữ
Hàn: 파리</x:v>
      </x:c>
      <x:c r="Q255" s="37" t="str">
        <x:v>ET231 (dòng 1106)
ET232 (dòng 1107)</x:v>
      </x:c>
      <x:c r="R255" s="37" t="str">
        <x:v>ET310 (dòng 1185)</x:v>
      </x:c>
      <x:c r="S255" s="11" t="str"/>
      <x:c r="T255" s="11" t="str">
        <x:v>Có điều kiện — chưa chốt</x:v>
      </x:c>
      <x:c r="U255" s="11" t="str">
        <x:v>N5 — Văn bản</x:v>
      </x:c>
    </x:row>
    <x:row r="256" ht="115.5" customHeight="1">
      <x:c r="A256" s="14" t="n">
        <x:v>251</x:v>
      </x:c>
      <x:c r="B256" s="11" t="str">
        <x:v>C155</x:v>
      </x:c>
      <x:c r="C256" s="11" t="str">
        <x:v>Nghị định thư Kyoto</x:v>
      </x:c>
      <x:c r="D256" s="11" t="str">
        <x:v>Hán Việt + ngoại lai khác</x:v>
      </x:c>
      <x:c r="E256" s="11" t="str">
        <x:v>B — Phân tích tạm</x:v>
      </x:c>
      <x:c r="F256" s="11" t="str">
        <x:v>교토의정서</x:v>
      </x:c>
      <x:c r="G256" s="11" t="str">
        <x:v>Hán Hàn + ngoại lai khác</x:v>
      </x:c>
      <x:c r="H256" s="11" t="str">
        <x:v>B — Phân tích tạm</x:v>
      </x:c>
      <x:c r="I256" s="11" t="str">
        <x:f>IF(AND(LEFT(E256,1)="A",LEFT(H256,1)="A"),"A/A — Có chứng cứ hai phía",IF(OR(LEFT(E256,1)="C",LEFT(H256,1)="C"),"C — Còn điểm chưa chốt",IF(AND(OR(LEFT(E256,1)="A",LEFT(E256,1)="B"),OR(LEFT(H256,1)="A",LEFT(H256,1)="B")),"B — Cần bổ sung chứng cứ","Kiểm tra mức chứng cứ")))</x:f>
        <x:v>B — Cần bổ sung chứng cứ</x:v>
      </x:c>
      <x:c r="J256" s="11" t="str">
        <x:v>Có chứng cứ cho thành tố</x:v>
      </x:c>
      <x:c r="K256" s="11" t="str">
        <x:v>Nghị [HV 議]
định [HV 定 *]
thư [HV 書]
Kyoto [NL]</x:v>
      </x:c>
      <x:c r="L256" s="11" t="str">
        <x:v>교토 [NL]
의정서 [HH 議定書 *]</x:v>
      </x:c>
      <x:c r="M256" s="11" t="str">
        <x:v>Phân tích cấu tạo của người rà soát; nguồn đã kiểm tra chỉ xác nhận các thành tố được gắn mã nguồn, không phải mọi thành tố.
Kyoto là tên riêng dạng ngoại ngữ. Có chữ Nhật 京都 không biến dạng Kyoto thành âm Hán Việt Kinh Đô.</x:v>
      </x:c>
      <x:c r="N25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교토 dùng âm tiếng Nhật. Chữ gốc 京都 không khiến 교토 trở thành Hán Hàn; dạng đọc Hán Hàn là 경도.</x:v>
      </x:c>
      <x:c r="O256" s="11" t="str">
        <x:v>Hán Hàn + ngoại lai khác</x:v>
      </x:c>
      <x:c r="P256" s="11" t="str">
        <x:v>Việt: Kyoto — tên thành phố dạng ngoại ngữ
Hàn: 교토</x:v>
      </x:c>
      <x:c r="Q256" s="37" t="str">
        <x:v>ET165 (dòng 1040)
ET228 (dòng 1103)</x:v>
      </x:c>
      <x:c r="R256" s="37" t="str">
        <x:v>ET301 (dòng 1176)</x:v>
      </x:c>
      <x:c r="S256" s="11" t="str"/>
      <x:c r="T256" s="11" t="str">
        <x:v>Xác nhận — cùng biểu thức Anh</x:v>
      </x:c>
      <x:c r="U256" s="11" t="str">
        <x:v>N5 — Văn bản</x:v>
      </x:c>
    </x:row>
    <x:row r="257" ht="115.5" customHeight="1">
      <x:c r="A257" s="14" t="n">
        <x:v>252</x:v>
      </x:c>
      <x:c r="B257" s="11" t="str">
        <x:v>C157</x:v>
      </x:c>
      <x:c r="C257" s="11" t="str">
        <x:v>Hiệp định Đối tác Toàn diện và tiến bộ xuyên Thái Bình Dương</x:v>
      </x:c>
      <x:c r="D257" s="11" t="str">
        <x:v>Chưa chốt</x:v>
      </x:c>
      <x:c r="E257" s="11" t="str">
        <x:v>C — Chưa chốt từ nguyên</x:v>
      </x:c>
      <x:c r="F257" s="11" t="str">
        <x:v>포괄적·점진적 환태평양경제동반자협정</x:v>
      </x:c>
      <x:c r="G257" s="11" t="str">
        <x:v>Hán Hàn</x:v>
      </x:c>
      <x:c r="H257" s="11" t="str">
        <x:v>B — Phân tích tạm</x:v>
      </x:c>
      <x:c r="I257" s="11" t="str">
        <x:f>IF(AND(LEFT(E257,1)="A",LEFT(H257,1)="A"),"A/A — Có chứng cứ hai phía",IF(OR(LEFT(E257,1)="C",LEFT(H257,1)="C"),"C — Còn điểm chưa chốt",IF(AND(OR(LEFT(E257,1)="A",LEFT(E257,1)="B"),OR(LEFT(H257,1)="A",LEFT(H257,1)="B")),"B — Cần bổ sung chứng cứ","Kiểm tra mức chứng cứ")))</x:f>
        <x:v>C — Còn điểm chưa chốt</x:v>
      </x:c>
      <x:c r="J257" s="11" t="str">
        <x:v>Có chứng cứ cho thành tố</x:v>
      </x:c>
      <x:c r="K257" s="11" t="str">
        <x:v>Hiệp định [HV 協定]
Đối tác [HV 對作 *]
Toàn diện [HV 全面]
và [?]
tiến bộ [HV 進步 *]
xuyên [HV 穿 *]
Thái Bình Dương [HV 太平洋]</x:v>
      </x:c>
      <x:c r="L257" s="11" t="str">
        <x:v>포괄적 [HH 包括的 *]
점진적 [HH 漸進的 *]
환태평양경제동반자협정 [HH 環太平洋經濟同伴者協定 *]</x:v>
      </x:c>
      <x:c r="M257" s="11" t="str">
        <x:v>Đã tách thành tố nhưng còn điểm từ nguyên/nghĩa chưa đủ bằng chứng; chưa đưa vào danh sách đã chốt.
Phải tính cả liên từ và trong đúng tên văn bản. WOLD đánh giá và có khả năng vay mượn, liên hệ hòa 和, nên chưa chốt là thuần Việt hoặc Hán Việt chuẩn. Thái Bình Dương là tên riêng dạng Hán Việt.</x:v>
      </x:c>
      <x:c r="N25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57" s="11" t="str">
        <x:v>Hán Hàn</x:v>
      </x:c>
      <x:c r="P257" s="11" t="str">
        <x:v>Việt: Thái Bình Dương — tên địa lý, dạng Hán Việt 太平洋</x:v>
      </x:c>
      <x:c r="Q257" s="37" t="str">
        <x:v>ET233 (dòng 1108)
ET116 (dòng 991)
ET026 (dòng 901)
ET170 (dòng 1045)</x:v>
      </x:c>
      <x:c r="R257" s="37" t="str">
        <x:v>ET310 (dòng 1185)</x:v>
      </x:c>
      <x:c r="S257" s="11" t="str"/>
      <x:c r="T257" s="11" t="str">
        <x:v>Xác nhận — cùng biểu thức Anh</x:v>
      </x:c>
      <x:c r="U257" s="11" t="str">
        <x:v>N5 — Văn bản</x:v>
      </x:c>
    </x:row>
    <x:row r="258" ht="100.5" customHeight="1">
      <x:c r="A258" s="14" t="n">
        <x:v>253</x:v>
      </x:c>
      <x:c r="B258" s="11" t="str">
        <x:v>C159</x:v>
      </x:c>
      <x:c r="C258" s="11" t="str">
        <x:v>Chương trình hành động</x:v>
      </x:c>
      <x:c r="D258" s="11" t="str">
        <x:v>Hán Việt</x:v>
      </x:c>
      <x:c r="E258" s="11" t="str">
        <x:v>B — Phân tích tạm</x:v>
      </x:c>
      <x:c r="F258" s="11" t="str">
        <x:v>행동계획</x:v>
      </x:c>
      <x:c r="G258" s="11" t="str">
        <x:v>Hán Hàn</x:v>
      </x:c>
      <x:c r="H258" s="11" t="str">
        <x:v>B — Phân tích tạm</x:v>
      </x:c>
      <x:c r="I258" s="11" t="str">
        <x:f>IF(AND(LEFT(E258,1)="A",LEFT(H258,1)="A"),"A/A — Có chứng cứ hai phía",IF(OR(LEFT(E258,1)="C",LEFT(H258,1)="C"),"C — Còn điểm chưa chốt",IF(AND(OR(LEFT(E258,1)="A",LEFT(E258,1)="B"),OR(LEFT(H258,1)="A",LEFT(H258,1)="B")),"B — Cần bổ sung chứng cứ","Kiểm tra mức chứng cứ")))</x:f>
        <x:v>B — Cần bổ sung chứng cứ</x:v>
      </x:c>
      <x:c r="J258" s="11" t="str">
        <x:v>Có chứng cứ cho thành tố</x:v>
      </x:c>
      <x:c r="K258" s="11" t="str">
        <x:v>Chương trình [HV 章程 *]
hành động [HV 行動]</x:v>
      </x:c>
      <x:c r="L258" s="11" t="str">
        <x:v>행동계획 [HH 行動計劃 *]</x:v>
      </x:c>
      <x:c r="M258" s="11" t="str">
        <x:v>Phân tích cấu tạo của người rà soát; nguồn đã kiểm tra chỉ xác nhận các thành tố được gắn mã nguồn, không phải mọi thành tố.</x:v>
      </x:c>
      <x:c r="N258"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58" s="11" t="str">
        <x:v>Hán Hàn</x:v>
      </x:c>
      <x:c r="P258" s="11" t="str"/>
      <x:c r="Q258" s="37" t="str">
        <x:v>ET189 (dòng 1064)
ET164 (dòng 1039)</x:v>
      </x:c>
      <x:c r="R258" s="37" t="str">
        <x:v>Chưa có nguồn từ nguyên cụ thể trong lượt này</x:v>
      </x:c>
      <x:c r="S258" s="11" t="str"/>
      <x:c r="T258" s="11" t="str">
        <x:v>Ứng viên — còn thiếu chứng cứ</x:v>
      </x:c>
      <x:c r="U258" s="11" t="str">
        <x:v>N5 — Văn bản</x:v>
      </x:c>
    </x:row>
    <x:row r="259" ht="85.5" customHeight="1">
      <x:c r="A259" s="14" t="n">
        <x:v>254</x:v>
      </x:c>
      <x:c r="B259" s="11" t="str">
        <x:v>C160</x:v>
      </x:c>
      <x:c r="C259" s="11" t="str">
        <x:v>Hiệp định liên Chính phủ</x:v>
      </x:c>
      <x:c r="D259" s="11" t="str">
        <x:v>Hán Việt</x:v>
      </x:c>
      <x:c r="E259" s="11" t="str">
        <x:v>B — Phân tích tạm</x:v>
      </x:c>
      <x:c r="F259" s="11" t="str">
        <x:v>정부 간 협정</x:v>
      </x:c>
      <x:c r="G259" s="11" t="str">
        <x:v>Hán Hàn</x:v>
      </x:c>
      <x:c r="H259" s="11" t="str">
        <x:v>A — Có chứng cứ thành tố</x:v>
      </x:c>
      <x:c r="I259" s="11" t="str">
        <x:f>IF(AND(LEFT(E259,1)="A",LEFT(H259,1)="A"),"A/A — Có chứng cứ hai phía",IF(OR(LEFT(E259,1)="C",LEFT(H259,1)="C"),"C — Còn điểm chưa chốt",IF(AND(OR(LEFT(E259,1)="A",LEFT(E259,1)="B"),OR(LEFT(H259,1)="A",LEFT(H259,1)="B")),"B — Cần bổ sung chứng cứ","Kiểm tra mức chứng cứ")))</x:f>
        <x:v>B — Cần bổ sung chứng cứ</x:v>
      </x:c>
      <x:c r="J259" s="11" t="str">
        <x:v>Có chứng cứ cho thành tố</x:v>
      </x:c>
      <x:c r="K259" s="11" t="str">
        <x:v>Hiệp định [HV 協定]
liên [HV 聯 *]
Chính phủ [HV 政府]</x:v>
      </x:c>
      <x:c r="L259" s="11" t="str">
        <x:v>정부 [HH 政府]
간 [HH 間]
협정 [HH 協定]</x:v>
      </x:c>
      <x:c r="M259" s="11" t="str">
        <x:v>Phân tích cấu tạo của người rà soát; nguồn đã kiểm tra chỉ xác nhận các thành tố được gắn mã nguồn, không phải mọi thành tố.</x:v>
      </x:c>
      <x:c r="N259" s="11" t="str">
        <x:v>Đã tìm thấy nguồn mục từ/thành tố ghi nguyên dạng hoặc lớp từ cho toàn bộ thành tố quyết định kết luận.
간 trong 정부 간 là danh từ phụ thuộc gốc Hán 間, không phải trợ từ thuần Hàn.</x:v>
      </x:c>
      <x:c r="O259" s="11" t="str">
        <x:v>Hán Hàn</x:v>
      </x:c>
      <x:c r="P259" s="11" t="str"/>
      <x:c r="Q259" s="37" t="str">
        <x:v>ET233 (dòng 1108)
ET045 (dòng 920)</x:v>
      </x:c>
      <x:c r="R259" s="37" t="str">
        <x:v>ET266 (dòng 1141)
ET308 (dòng 1183)
ET310 (dòng 1185)</x:v>
      </x:c>
      <x:c r="S259" s="11" t="str"/>
      <x:c r="T259" s="11" t="str">
        <x:v>Ứng viên — còn thiếu chứng cứ</x:v>
      </x:c>
      <x:c r="U259" s="11" t="str">
        <x:v>N5 — Văn bản</x:v>
      </x:c>
    </x:row>
    <x:row r="260" ht="100.5" customHeight="1">
      <x:c r="A260" s="14" t="n">
        <x:v>255</x:v>
      </x:c>
      <x:c r="B260" s="11" t="str">
        <x:v>C161</x:v>
      </x:c>
      <x:c r="C260" s="11" t="str">
        <x:v>Công ước Liên hợp quốc về chống tội phạm mạng</x:v>
      </x:c>
      <x:c r="D260" s="11" t="str">
        <x:v>Chưa chốt</x:v>
      </x:c>
      <x:c r="E260" s="11" t="str">
        <x:v>C — Chưa chốt từ nguyên</x:v>
      </x:c>
      <x:c r="F260" s="11" t="str">
        <x:v>유엔 사이버범죄 방지 협약</x:v>
      </x:c>
      <x:c r="G260" s="11" t="str">
        <x:v>Hán Hàn + ngoại lai khác</x:v>
      </x:c>
      <x:c r="H260" s="11" t="str">
        <x:v>B — Phân tích tạm</x:v>
      </x:c>
      <x:c r="I260" s="11" t="str">
        <x:f>IF(AND(LEFT(E260,1)="A",LEFT(H260,1)="A"),"A/A — Có chứng cứ hai phía",IF(OR(LEFT(E260,1)="C",LEFT(H260,1)="C"),"C — Còn điểm chưa chốt",IF(AND(OR(LEFT(E260,1)="A",LEFT(E260,1)="B"),OR(LEFT(H260,1)="A",LEFT(H260,1)="B")),"B — Cần bổ sung chứng cứ","Kiểm tra mức chứng cứ")))</x:f>
        <x:v>C — Còn điểm chưa chốt</x:v>
      </x:c>
      <x:c r="J260" s="11" t="str">
        <x:v>Có chứng cứ cho thành tố</x:v>
      </x:c>
      <x:c r="K260" s="11" t="str">
        <x:v>Công ước [HV 公約]
Liên hợp quốc [HV 聯合國 *]
về [?]
chống [TV]
tội phạm [HV 罪犯 *]
mạng [?]</x:v>
      </x:c>
      <x:c r="L260" s="11" t="str">
        <x:v>유엔 [NL]
사이버 [NL]
범죄 [HH 犯罪 *]
방지 [HH 防止 *]
협약 [HH 協約 *]</x:v>
      </x:c>
      <x:c r="M260" s="11" t="str">
        <x:v>Đã tách thành tố nhưng còn điểm từ nguyên/nghĩa chưa đủ bằng chứng; chưa đưa vào danh sách đã chốt.
Phải tính cả về, chống, mạng; chưa chốt lịch sử giới từ về và mạng ở nghĩa mạng máy tính.</x:v>
      </x:c>
      <x:c r="N260"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0" s="11" t="str">
        <x:v>Hán Hàn + ngoại lai khác</x:v>
      </x:c>
      <x:c r="P260" s="11" t="str">
        <x:v>Hàn: 유엔</x:v>
      </x:c>
      <x:c r="Q260" s="37" t="str">
        <x:v>ET157 (dòng 1032)
ET158 (dòng 1033)
ET203 (dòng 1078)</x:v>
      </x:c>
      <x:c r="R260" s="37" t="str">
        <x:v>ET257 (dòng 1132)
ET303 (dòng 1178)</x:v>
      </x:c>
      <x:c r="S260" s="11" t="str"/>
      <x:c r="T260" s="11" t="str">
        <x:v>Xác nhận — cùng biểu thức Anh</x:v>
      </x:c>
      <x:c r="U260" s="11" t="str">
        <x:v>N5 — Văn bản</x:v>
      </x:c>
    </x:row>
    <x:row r="261" ht="100.5" customHeight="1">
      <x:c r="A261" s="14" t="n">
        <x:v>256</x:v>
      </x:c>
      <x:c r="B261" s="11" t="str">
        <x:v>C163</x:v>
      </x:c>
      <x:c r="C261" s="11" t="str">
        <x:v>Đối thoại chiến lược</x:v>
      </x:c>
      <x:c r="D261" s="11" t="str">
        <x:v>Hán Việt</x:v>
      </x:c>
      <x:c r="E261" s="11" t="str">
        <x:v>A — Có chứng cứ thành tố</x:v>
      </x:c>
      <x:c r="F261" s="11" t="str">
        <x:v>전략적 대화</x:v>
      </x:c>
      <x:c r="G261" s="11" t="str">
        <x:v>Hán Hàn</x:v>
      </x:c>
      <x:c r="H261" s="11" t="str">
        <x:v>B — Phân tích tạm</x:v>
      </x:c>
      <x:c r="I261" s="11" t="str">
        <x:f>IF(AND(LEFT(E261,1)="A",LEFT(H261,1)="A"),"A/A — Có chứng cứ hai phía",IF(OR(LEFT(E261,1)="C",LEFT(H261,1)="C"),"C — Còn điểm chưa chốt",IF(AND(OR(LEFT(E261,1)="A",LEFT(E261,1)="B"),OR(LEFT(H261,1)="A",LEFT(H261,1)="B")),"B — Cần bổ sung chứng cứ","Kiểm tra mức chứng cứ")))</x:f>
        <x:v>B — Cần bổ sung chứng cứ</x:v>
      </x:c>
      <x:c r="J261" s="11" t="str">
        <x:v>Có chứng cứ cho thành tố</x:v>
      </x:c>
      <x:c r="K261" s="11" t="str">
        <x:v>Đối thoại [HV 對話]
chiến lược [HV 戰略]</x:v>
      </x:c>
      <x:c r="L261" s="11" t="str">
        <x:v>전략적 [HH 戰略的 *]
대화 [HH 對話]</x:v>
      </x:c>
      <x:c r="M261" s="11" t="str">
        <x:v>Đã đối chiếu nguồn cho các thành tố Hán Việt cấu thành; nhãn toàn cụm là tổng hợp phân tích.</x:v>
      </x:c>
      <x:c r="N261"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1" s="11" t="str">
        <x:v>Hán Hàn</x:v>
      </x:c>
      <x:c r="P261" s="11" t="str"/>
      <x:c r="Q261" s="37" t="str">
        <x:v>ET118 (dòng 993)
ET109 (dòng 984)</x:v>
      </x:c>
      <x:c r="R261" s="37" t="str">
        <x:v>ET283 (dòng 1158)</x:v>
      </x:c>
      <x:c r="S261" s="11" t="str"/>
      <x:c r="T261" s="11" t="str">
        <x:v>Ứng viên — còn thiếu chứng cứ</x:v>
      </x:c>
      <x:c r="U261" s="11" t="str">
        <x:v>Cần xem xét</x:v>
      </x:c>
    </x:row>
    <x:row r="262" ht="100.5" customHeight="1">
      <x:c r="A262" s="14" t="n">
        <x:v>257</x:v>
      </x:c>
      <x:c r="B262" s="11" t="str">
        <x:v>C164</x:v>
      </x:c>
      <x:c r="C262" s="11" t="str">
        <x:v>Thứ trưởng Ngoại giao</x:v>
      </x:c>
      <x:c r="D262" s="11" t="str">
        <x:v>Hán Việt</x:v>
      </x:c>
      <x:c r="E262" s="11" t="str">
        <x:v>B — Phân tích tạm</x:v>
      </x:c>
      <x:c r="F262" s="11" t="str">
        <x:v>외교차관</x:v>
      </x:c>
      <x:c r="G262" s="11" t="str">
        <x:v>Hán Hàn</x:v>
      </x:c>
      <x:c r="H262" s="11" t="str">
        <x:v>B — Phân tích tạm</x:v>
      </x:c>
      <x:c r="I262" s="11" t="str">
        <x:f>IF(AND(LEFT(E262,1)="A",LEFT(H262,1)="A"),"A/A — Có chứng cứ hai phía",IF(OR(LEFT(E262,1)="C",LEFT(H262,1)="C"),"C — Còn điểm chưa chốt",IF(AND(OR(LEFT(E262,1)="A",LEFT(E262,1)="B"),OR(LEFT(H262,1)="A",LEFT(H262,1)="B")),"B — Cần bổ sung chứng cứ","Kiểm tra mức chứng cứ")))</x:f>
        <x:v>B — Cần bổ sung chứng cứ</x:v>
      </x:c>
      <x:c r="J262" s="11" t="str">
        <x:v>Có chứng cứ cho thành tố</x:v>
      </x:c>
      <x:c r="K262" s="11" t="str">
        <x:v>Thứ trưởng [HV 次長 *]
Ngoại giao [HV 外交]</x:v>
      </x:c>
      <x:c r="L262" s="11" t="str">
        <x:v>외교차관 [HH 外交次官 *]</x:v>
      </x:c>
      <x:c r="M262" s="11" t="str">
        <x:v>Phân tích cấu tạo của người rà soát; nguồn đã kiểm tra chỉ xác nhận các thành tố được gắn mã nguồn, không phải mọi thành tố.</x:v>
      </x:c>
      <x:c r="N262"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2" s="11" t="str">
        <x:v>Hán Hàn</x:v>
      </x:c>
      <x:c r="P262" s="11" t="str"/>
      <x:c r="Q262" s="37" t="str">
        <x:v>ET025 (dòng 900)
ET007 (dòng 882)</x:v>
      </x:c>
      <x:c r="R262" s="37" t="str">
        <x:v>ET242 (dòng 1117)
ET269 (dòng 1144)
ET268 (dòng 1143)</x:v>
      </x:c>
      <x:c r="S262" s="11" t="str"/>
      <x:c r="T262" s="11" t="str">
        <x:v>Chưa đủ căn cứ đối chiếu</x:v>
      </x:c>
      <x:c r="U262" s="11" t="str">
        <x:v>N1 — Cá nhân</x:v>
      </x:c>
    </x:row>
    <x:row r="263" ht="100.5" customHeight="1">
      <x:c r="A263" s="14" t="n">
        <x:v>258</x:v>
      </x:c>
      <x:c r="B263" s="11" t="str">
        <x:v>C165</x:v>
      </x:c>
      <x:c r="C263" s="11" t="str">
        <x:v>Tổng Bí thư</x:v>
      </x:c>
      <x:c r="D263" s="11" t="str">
        <x:v>Hán Việt</x:v>
      </x:c>
      <x:c r="E263" s="11" t="str">
        <x:v>A — Có chứng cứ thành tố</x:v>
      </x:c>
      <x:c r="F263" s="11" t="str">
        <x:v>당서기장</x:v>
      </x:c>
      <x:c r="G263" s="11" t="str">
        <x:v>Hán Hàn</x:v>
      </x:c>
      <x:c r="H263" s="11" t="str">
        <x:v>B — Phân tích tạm</x:v>
      </x:c>
      <x:c r="I263" s="11" t="str">
        <x:f>IF(AND(LEFT(E263,1)="A",LEFT(H263,1)="A"),"A/A — Có chứng cứ hai phía",IF(OR(LEFT(E263,1)="C",LEFT(H263,1)="C"),"C — Còn điểm chưa chốt",IF(AND(OR(LEFT(E263,1)="A",LEFT(E263,1)="B"),OR(LEFT(H263,1)="A",LEFT(H263,1)="B")),"B — Cần bổ sung chứng cứ","Kiểm tra mức chứng cứ")))</x:f>
        <x:v>B — Cần bổ sung chứng cứ</x:v>
      </x:c>
      <x:c r="J263" s="11" t="str">
        <x:v>Có chứng cứ cho thành tố</x:v>
      </x:c>
      <x:c r="K263" s="11" t="str">
        <x:v>Tổng [HV 總]
Bí thư [HV 祕書]</x:v>
      </x:c>
      <x:c r="L263" s="11" t="str">
        <x:v>당서기장 [HH 黨書記長 *]</x:v>
      </x:c>
      <x:c r="M263" s="11" t="str">
        <x:v>Đã đối chiếu nguồn cho các thành tố Hán Việt cấu thành; nhãn toàn cụm là tổng hợp phân tích.</x:v>
      </x:c>
      <x:c r="N263"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3" s="11" t="str">
        <x:v>Hán Hàn</x:v>
      </x:c>
      <x:c r="P263" s="11" t="str"/>
      <x:c r="Q263" s="37" t="str">
        <x:v>ET031 (dòng 906)
ET001 (dòng 876)</x:v>
      </x:c>
      <x:c r="R263" s="37" t="str">
        <x:v>ET240 (dòng 1115)
ET238 (dòng 1113)
ET239 (dòng 1114)
ET242 (dòng 1117)</x:v>
      </x:c>
      <x:c r="S263" s="11" t="str"/>
      <x:c r="T263" s="11" t="str">
        <x:v>Xác nhận — cùng biểu thức Anh</x:v>
      </x:c>
      <x:c r="U263" s="11" t="str">
        <x:v>N1 — Cá nhân</x:v>
      </x:c>
    </x:row>
    <x:row r="264" ht="100.5" customHeight="1">
      <x:c r="A264" s="14" t="n">
        <x:v>259</x:v>
      </x:c>
      <x:c r="B264" s="11" t="str">
        <x:v>C166</x:v>
      </x:c>
      <x:c r="C264" s="11" t="str">
        <x:v>Ủy viên Trung ương Đảng</x:v>
      </x:c>
      <x:c r="D264" s="11" t="str">
        <x:v>Hán Việt</x:v>
      </x:c>
      <x:c r="E264" s="11" t="str">
        <x:v>A — Có chứng cứ thành tố</x:v>
      </x:c>
      <x:c r="F264" s="11" t="str">
        <x:v>당 중앙위원</x:v>
      </x:c>
      <x:c r="G264" s="11" t="str">
        <x:v>Hán Hàn</x:v>
      </x:c>
      <x:c r="H264" s="11" t="str">
        <x:v>B — Phân tích tạm</x:v>
      </x:c>
      <x:c r="I264" s="11" t="str">
        <x:f>IF(AND(LEFT(E264,1)="A",LEFT(H264,1)="A"),"A/A — Có chứng cứ hai phía",IF(OR(LEFT(E264,1)="C",LEFT(H264,1)="C"),"C — Còn điểm chưa chốt",IF(AND(OR(LEFT(E264,1)="A",LEFT(E264,1)="B"),OR(LEFT(H264,1)="A",LEFT(H264,1)="B")),"B — Cần bổ sung chứng cứ","Kiểm tra mức chứng cứ")))</x:f>
        <x:v>B — Cần bổ sung chứng cứ</x:v>
      </x:c>
      <x:c r="J264" s="11" t="str">
        <x:v>Có chứng cứ cho thành tố</x:v>
      </x:c>
      <x:c r="K264" s="11" t="str">
        <x:v>Ủy viên [HV 委員]
Trung ương [HV 中央]
Đảng [HV 黨]</x:v>
      </x:c>
      <x:c r="L264" s="11" t="str">
        <x:v>당 [HH 黨]
중앙위원 [HH 中央委員 *]</x:v>
      </x:c>
      <x:c r="M264" s="11" t="str">
        <x:v>Đã đối chiếu nguồn cho các thành tố Hán Việt cấu thành; nhãn toàn cụm là tổng hợp phân tích.</x:v>
      </x:c>
      <x:c r="N264"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4" s="11" t="str">
        <x:v>Hán Hàn</x:v>
      </x:c>
      <x:c r="P264" s="11" t="str"/>
      <x:c r="Q264" s="37" t="str">
        <x:v>ET033 (dòng 908)
ET002 (dòng 877)
ET003 (dòng 878)</x:v>
      </x:c>
      <x:c r="R264" s="37" t="str">
        <x:v>ET238 (dòng 1113)
ET239 (dòng 1114)
ET242 (dòng 1117)</x:v>
      </x:c>
      <x:c r="S264" s="11" t="str"/>
      <x:c r="T264" s="11" t="str">
        <x:v>Xác nhận — cùng biểu thức Anh</x:v>
      </x:c>
      <x:c r="U264" s="11" t="str">
        <x:v>N1 — Cá nhân</x:v>
      </x:c>
    </x:row>
    <x:row r="265" ht="85.5" customHeight="1">
      <x:c r="A265" s="14" t="n">
        <x:v>260</x:v>
      </x:c>
      <x:c r="B265" s="11" t="str">
        <x:v>C167</x:v>
      </x:c>
      <x:c r="C265" s="11" t="str">
        <x:v>Đảng Cộng sản Việt Nam</x:v>
      </x:c>
      <x:c r="D265" s="11" t="str">
        <x:v>Hán Việt</x:v>
      </x:c>
      <x:c r="E265" s="11" t="str">
        <x:v>A — Có chứng cứ thành tố</x:v>
      </x:c>
      <x:c r="F265" s="11" t="str">
        <x:v>베트남공산당</x:v>
      </x:c>
      <x:c r="G265" s="11" t="str">
        <x:v>Hán Hàn + ngoại lai khác</x:v>
      </x:c>
      <x:c r="H265" s="11" t="str">
        <x:v>A — Có chứng cứ thành tố</x:v>
      </x:c>
      <x:c r="I265" s="11" t="str">
        <x:f>IF(AND(LEFT(E265,1)="A",LEFT(H265,1)="A"),"A/A — Có chứng cứ hai phía",IF(OR(LEFT(E265,1)="C",LEFT(H265,1)="C"),"C — Còn điểm chưa chốt",IF(AND(OR(LEFT(E265,1)="A",LEFT(E265,1)="B"),OR(LEFT(H265,1)="A",LEFT(H265,1)="B")),"B — Cần bổ sung chứng cứ","Kiểm tra mức chứng cứ")))</x:f>
        <x:v>A/A — Có chứng cứ hai phía</x:v>
      </x:c>
      <x:c r="J265" s="11" t="str">
        <x:v>Có chứng cứ cho thành tố</x:v>
      </x:c>
      <x:c r="K265" s="11" t="str">
        <x:v>Đảng [HV 黨]
Cộng sản [HV 共產]
Việt Nam [HV 越南]</x:v>
      </x:c>
      <x:c r="L265" s="11" t="str">
        <x:v>베트남 [NL]
공산당 [HH 共産黨]</x:v>
      </x:c>
      <x:c r="M265" s="11" t="str">
        <x:v>Đã đối chiếu nguồn cho các thành tố Hán Việt cấu thành; nhãn toàn cụm là tổng hợp phân tích.</x:v>
      </x:c>
      <x:c r="N265" s="11" t="str">
        <x:v>Đã tìm thấy nguồn mục từ/thành tố ghi nguyên dạng hoặc lớp từ cho toàn bộ thành tố quyết định kết luận.</x:v>
      </x:c>
      <x:c r="O265" s="11" t="str">
        <x:v>Hán Hàn + ngoại lai khác</x:v>
      </x:c>
      <x:c r="P265" s="11" t="str">
        <x:v>Việt: Việt Nam — tên quốc gia, dạng Hán Việt 越南
Hàn: 베트남</x:v>
      </x:c>
      <x:c r="Q265" s="37" t="str">
        <x:v>ET003 (dòng 878)
ET052 (dòng 927)
ET044 (dòng 919)</x:v>
      </x:c>
      <x:c r="R265" s="37" t="str">
        <x:v>ET262 (dòng 1137)
ET263 (dòng 1138)</x:v>
      </x:c>
      <x:c r="S265" s="11" t="str"/>
      <x:c r="T265" s="11" t="str">
        <x:v>Tương ứng — biến thể Anh</x:v>
      </x:c>
      <x:c r="U265" s="11" t="str">
        <x:v>N2 — Cơ quan, tổ chức</x:v>
      </x:c>
    </x:row>
    <x:row r="266" ht="100.5" customHeight="1">
      <x:c r="A266" s="14" t="n">
        <x:v>261</x:v>
      </x:c>
      <x:c r="B266" s="11" t="str">
        <x:v>C168</x:v>
      </x:c>
      <x:c r="C266" s="11" t="str">
        <x:v>Ban Chấp hành Trung ương</x:v>
      </x:c>
      <x:c r="D266" s="11" t="str">
        <x:v>Hán Việt</x:v>
      </x:c>
      <x:c r="E266" s="11" t="str">
        <x:v>A — Có chứng cứ thành tố</x:v>
      </x:c>
      <x:c r="F266" s="11" t="str">
        <x:v>중앙집행위원회</x:v>
      </x:c>
      <x:c r="G266" s="11" t="str">
        <x:v>Hán Hàn</x:v>
      </x:c>
      <x:c r="H266" s="11" t="str">
        <x:v>B — Phân tích tạm</x:v>
      </x:c>
      <x:c r="I266" s="11" t="str">
        <x:f>IF(AND(LEFT(E266,1)="A",LEFT(H266,1)="A"),"A/A — Có chứng cứ hai phía",IF(OR(LEFT(E266,1)="C",LEFT(H266,1)="C"),"C — Còn điểm chưa chốt",IF(AND(OR(LEFT(E266,1)="A",LEFT(E266,1)="B"),OR(LEFT(H266,1)="A",LEFT(H266,1)="B")),"B — Cần bổ sung chứng cứ","Kiểm tra mức chứng cứ")))</x:f>
        <x:v>B — Cần bổ sung chứng cứ</x:v>
      </x:c>
      <x:c r="J266" s="11" t="str">
        <x:v>Có chứng cứ cho thành tố</x:v>
      </x:c>
      <x:c r="K266" s="11" t="str">
        <x:v>Ban [HV 班]
Chấp hành [HV 執行]
Trung ương [HV 中央]</x:v>
      </x:c>
      <x:c r="L266" s="11" t="str">
        <x:v>중앙집행위원회 [HH 中央執行委員會 *]</x:v>
      </x:c>
      <x:c r="M266" s="11" t="str">
        <x:v>Đã đối chiếu nguồn cho các thành tố Hán Việt cấu thành; nhãn toàn cụm là tổng hợp phân tích.</x:v>
      </x:c>
      <x:c r="N266"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6" s="11" t="str">
        <x:v>Hán Hàn</x:v>
      </x:c>
      <x:c r="P266" s="11" t="str"/>
      <x:c r="Q266" s="37" t="str">
        <x:v>ET013 (dòng 888)
ET035 (dòng 910)
ET002 (dòng 877)</x:v>
      </x:c>
      <x:c r="R266" s="37" t="str">
        <x:v>ET256 (dòng 1131)
ET255 (dòng 1130)
ET242 (dòng 1117)
ET239 (dòng 1114)</x:v>
      </x:c>
      <x:c r="S266" s="11" t="str"/>
      <x:c r="T266" s="11" t="str">
        <x:v>Ứng viên — còn thiếu chứng cứ</x:v>
      </x:c>
      <x:c r="U266" s="11" t="str">
        <x:v>N2 — Cơ quan, tổ chức</x:v>
      </x:c>
    </x:row>
    <x:row r="267" ht="115.5" customHeight="1">
      <x:c r="A267" s="14" t="n">
        <x:v>262</x:v>
      </x:c>
      <x:c r="B267" s="11" t="str">
        <x:v>C169</x:v>
      </x:c>
      <x:c r="C267" s="11" t="str">
        <x:v>Hội đồng Bảo an Liên hợp quốc</x:v>
      </x:c>
      <x:c r="D267" s="11" t="str">
        <x:v>Hán Việt</x:v>
      </x:c>
      <x:c r="E267" s="11" t="str">
        <x:v>A — Có chứng cứ thành tố</x:v>
      </x:c>
      <x:c r="F267" s="11" t="str">
        <x:v>유엔안보리</x:v>
      </x:c>
      <x:c r="G267" s="11" t="str">
        <x:v>Hán Hàn + ngoại lai khác</x:v>
      </x:c>
      <x:c r="H267" s="11" t="str">
        <x:v>B — Phân tích tạm</x:v>
      </x:c>
      <x:c r="I267" s="11" t="str">
        <x:f>IF(AND(LEFT(E267,1)="A",LEFT(H267,1)="A"),"A/A — Có chứng cứ hai phía",IF(OR(LEFT(E267,1)="C",LEFT(H267,1)="C"),"C — Còn điểm chưa chốt",IF(AND(OR(LEFT(E267,1)="A",LEFT(E267,1)="B"),OR(LEFT(H267,1)="A",LEFT(H267,1)="B")),"B — Cần bổ sung chứng cứ","Kiểm tra mức chứng cứ")))</x:f>
        <x:v>B — Cần bổ sung chứng cứ</x:v>
      </x:c>
      <x:c r="J267" s="11" t="str">
        <x:v>Có chứng cứ cho thành tố</x:v>
      </x:c>
      <x:c r="K267" s="11" t="str">
        <x:v>Hội đồng [HV 會同]
Bảo an [HV 保安]
Liên hợp [HV 聯合]
quốc [HV 國]</x:v>
      </x:c>
      <x:c r="L267" s="11" t="str">
        <x:v>유엔 [NL]
안보리 [HH 安保理 *]</x:v>
      </x:c>
      <x:c r="M267" s="11" t="str">
        <x:v>Có nguồn âm/chữ hoặc nguồn từ nguyên cho các thành tố dùng để quyết định nhãn; việc ghép thành thuật ngữ là phân tích của nghiên cứu.</x:v>
      </x:c>
      <x:c r="N267"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 안보리 là rút gọn gốc Hán của 안전보장이사회; 유엔 là phần chữ viết tắt tiếng Anh, do đó cả chuỗi hỗn hợp.</x:v>
      </x:c>
      <x:c r="O267" s="11" t="str">
        <x:v>Hán Hàn + ngoại lai khác</x:v>
      </x:c>
      <x:c r="P267" s="11" t="str">
        <x:v>Hàn: 유엔</x:v>
      </x:c>
      <x:c r="Q267" s="37" t="str">
        <x:v>ET016 (dòng 891)
ET061 (dòng 936)
ET049 (dòng 924)
ET050 (dòng 925)</x:v>
      </x:c>
      <x:c r="R267" s="37" t="str">
        <x:v>ET257 (dòng 1132)
ET299 (dòng 1174)
ET246 (dòng 1121)
ET280 (dòng 1155)</x:v>
      </x:c>
      <x:c r="S267" s="11" t="str"/>
      <x:c r="T267" s="11" t="str">
        <x:v>Xác nhận — cùng biểu thức Anh</x:v>
      </x:c>
      <x:c r="U267" s="11" t="str">
        <x:v>N2 — Cơ quan, tổ chức</x:v>
      </x:c>
    </x:row>
    <x:row r="268" ht="100.5" customHeight="1">
      <x:c r="A268" s="14" t="n">
        <x:v>263</x:v>
      </x:c>
      <x:c r="B268" s="11" t="str">
        <x:v>C170</x:v>
      </x:c>
      <x:c r="C268" s="11" t="str">
        <x:v>ngoại giao kinh tế</x:v>
      </x:c>
      <x:c r="D268" s="11" t="str">
        <x:v>Hán Việt</x:v>
      </x:c>
      <x:c r="E268" s="11" t="str">
        <x:v>A — Có chứng cứ thành tố</x:v>
      </x:c>
      <x:c r="F268" s="11" t="str">
        <x:v>경제외교</x:v>
      </x:c>
      <x:c r="G268" s="11" t="str">
        <x:v>Hán Hàn</x:v>
      </x:c>
      <x:c r="H268" s="11" t="str">
        <x:v>B — Phân tích tạm</x:v>
      </x:c>
      <x:c r="I268" s="11" t="str">
        <x:f>IF(AND(LEFT(E268,1)="A",LEFT(H268,1)="A"),"A/A — Có chứng cứ hai phía",IF(OR(LEFT(E268,1)="C",LEFT(H268,1)="C"),"C — Còn điểm chưa chốt",IF(AND(OR(LEFT(E268,1)="A",LEFT(E268,1)="B"),OR(LEFT(H268,1)="A",LEFT(H268,1)="B")),"B — Cần bổ sung chứng cứ","Kiểm tra mức chứng cứ")))</x:f>
        <x:v>B — Cần bổ sung chứng cứ</x:v>
      </x:c>
      <x:c r="J268" s="11" t="str">
        <x:v>Có chứng cứ cho thành tố</x:v>
      </x:c>
      <x:c r="K268" s="11" t="str">
        <x:v>ngoại giao [HV 外交]
kinh tế [HV 經濟]</x:v>
      </x:c>
      <x:c r="L268" s="11" t="str">
        <x:v>경제외교 [HH 經濟外交 *]</x:v>
      </x:c>
      <x:c r="M268" s="11" t="str">
        <x:v>Đã đối chiếu nguồn cho các thành tố Hán Việt cấu thành; nhãn toàn cụm là tổng hợp phân tích.</x:v>
      </x:c>
      <x:c r="N268"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8" s="11" t="str">
        <x:v>Hán Hàn</x:v>
      </x:c>
      <x:c r="P268" s="11" t="str"/>
      <x:c r="Q268" s="37" t="str">
        <x:v>ET007 (dòng 882)
ET138 (dòng 1013)</x:v>
      </x:c>
      <x:c r="R268" s="37" t="str">
        <x:v>ET269 (dòng 1144)
ET268 (dòng 1143)</x:v>
      </x:c>
      <x:c r="S268" s="11" t="str"/>
      <x:c r="T268" s="11" t="str">
        <x:v>Xác nhận — cùng biểu thức Anh</x:v>
      </x:c>
      <x:c r="U268" s="11" t="str">
        <x:v>N4 — Quan hệ, hoạt động</x:v>
      </x:c>
    </x:row>
    <x:row r="269" ht="100.5" customHeight="1">
      <x:c r="A269" s="14" t="n">
        <x:v>264</x:v>
      </x:c>
      <x:c r="B269" s="11" t="str">
        <x:v>C175</x:v>
      </x:c>
      <x:c r="C269" s="11" t="str">
        <x:v>hội nhập quốc tế</x:v>
      </x:c>
      <x:c r="D269" s="11" t="str">
        <x:v>Hán Việt</x:v>
      </x:c>
      <x:c r="E269" s="11" t="str">
        <x:v>B — Phân tích tạm</x:v>
      </x:c>
      <x:c r="F269" s="11" t="str">
        <x:v>국제통합</x:v>
      </x:c>
      <x:c r="G269" s="11" t="str">
        <x:v>Hán Hàn</x:v>
      </x:c>
      <x:c r="H269" s="11" t="str">
        <x:v>B — Phân tích tạm</x:v>
      </x:c>
      <x:c r="I269" s="11" t="str">
        <x:f>IF(AND(LEFT(E269,1)="A",LEFT(H269,1)="A"),"A/A — Có chứng cứ hai phía",IF(OR(LEFT(E269,1)="C",LEFT(H269,1)="C"),"C — Còn điểm chưa chốt",IF(AND(OR(LEFT(E269,1)="A",LEFT(E269,1)="B"),OR(LEFT(H269,1)="A",LEFT(H269,1)="B")),"B — Cần bổ sung chứng cứ","Kiểm tra mức chứng cứ")))</x:f>
        <x:v>B — Cần bổ sung chứng cứ</x:v>
      </x:c>
      <x:c r="J269" s="11" t="str">
        <x:v>Có chứng cứ cho thành tố</x:v>
      </x:c>
      <x:c r="K269" s="11" t="str">
        <x:v>hội nhập [HV 會入 *]
quốc tế [HV 國際]</x:v>
      </x:c>
      <x:c r="L269" s="11" t="str">
        <x:v>국제통합 [HH 國際統合 *]</x:v>
      </x:c>
      <x:c r="M269" s="11" t="str">
        <x:v>Phân tích cấu tạo của người rà soát; nguồn đã kiểm tra chỉ xác nhận các thành tố được gắn mã nguồn, không phải mọi thành tố.
Hội nhập phân tích hội 會 + nhập 入; đây có thể là cấu tạo trong tiếng Việt, không khẳng định mượn nguyên một từ tiếng Hán.</x:v>
      </x:c>
      <x:c r="N269" s="11" t="str">
        <x:v>Phân tích cấu tạo của người rà soát; nguồn dưới đây chỉ chứng thực các thành tố được nêu. Chưa đối chiếu từ nguyên riêng cho toàn bộ thành tố.
Chữ Hán ở thành tố mang trạng thái analysis là đề xuất đối chiếu, chưa được xác nhận bằng mục từ trong lượt rà soát.</x:v>
      </x:c>
      <x:c r="O269" s="11" t="str">
        <x:v>Hán Hàn</x:v>
      </x:c>
      <x:c r="P269" s="11" t="str"/>
      <x:c r="Q269" s="37" t="str">
        <x:v>ET089 (dòng 964)</x:v>
      </x:c>
      <x:c r="R269" s="37" t="str">
        <x:v>ET268 (dòng 1143)</x:v>
      </x:c>
      <x:c r="S269" s="11" t="str"/>
      <x:c r="T269" s="11" t="str">
        <x:v>Ứng viên — còn thiếu chứng cứ</x:v>
      </x:c>
      <x:c r="U269" s="11" t="str">
        <x:v>N4 — Quan hệ, hoạt động</x:v>
      </x:c>
    </x:row>
    <x:row r="270" ht="100.5" customHeight="1">
      <x:c r="A270" s="14" t="n">
        <x:v>265</x:v>
      </x:c>
      <x:c r="B270" s="11" t="str">
        <x:v>C182</x:v>
      </x:c>
      <x:c r="C270" s="11" t="str">
        <x:v>Hiệp ước Biển cả</x:v>
      </x:c>
      <x:c r="D270" s="11" t="str">
        <x:v>Hán Việt + thuần Việt</x:v>
      </x:c>
      <x:c r="E270" s="11" t="str">
        <x:v>B — Phân tích tạm</x:v>
      </x:c>
      <x:c r="F270" s="11" t="str">
        <x:v>공해조약</x:v>
      </x:c>
      <x:c r="G270" s="11" t="str">
        <x:v>Hán Hàn</x:v>
      </x:c>
      <x:c r="H270" s="11" t="str">
        <x:v>B — Phân tích tạm</x:v>
      </x:c>
      <x:c r="I270" s="11" t="str">
        <x:f>IF(AND(LEFT(E270,1)="A",LEFT(H270,1)="A"),"A/A — Có chứng cứ hai phía",IF(OR(LEFT(E270,1)="C",LEFT(H270,1)="C"),"C — Còn điểm chưa chốt",IF(AND(OR(LEFT(E270,1)="A",LEFT(E270,1)="B"),OR(LEFT(H270,1)="A",LEFT(H270,1)="B")),"B — Cần bổ sung chứng cứ","Kiểm tra mức chứng cứ")))</x:f>
        <x:v>B — Cần bổ sung chứng cứ</x:v>
      </x:c>
      <x:c r="J270" s="11" t="str">
        <x:v>Có chứng cứ cho thành tố</x:v>
      </x:c>
      <x:c r="K270" s="11" t="str">
        <x:v>Hiệp ước [HV 協約]
Biển [TV]
cả [TV]</x:v>
      </x:c>
      <x:c r="L270" s="11" t="str">
        <x:v>공해조약 [HH 公海條約 *]</x:v>
      </x:c>
      <x:c r="M270" s="11" t="str">
        <x:v>Phân tích cấu tạo của người rà soát; nguồn đã kiểm tra chỉ xác nhận các thành tố được gắn mã nguồn, không phải mọi thành tố.
Hiệp ước là Hán Việt; biển cả là tổ hợp Việt. Không thay bằng công hải để làm cả thuật ngữ thành Hán Việt.</x:v>
      </x:c>
      <x:c r="N270"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70" s="11" t="str">
        <x:v>Hán Hàn</x:v>
      </x:c>
      <x:c r="P270" s="11" t="str"/>
      <x:c r="Q270" s="37" t="str">
        <x:v>ET236 (dòng 1111)
ET043 (dòng 918)</x:v>
      </x:c>
      <x:c r="R270" s="37" t="str">
        <x:v>Chưa có nguồn từ nguyên cụ thể trong lượt này</x:v>
      </x:c>
      <x:c r="S270" s="11" t="str"/>
      <x:c r="T270" s="11" t="str">
        <x:v>Có điều kiện — chưa chốt</x:v>
      </x:c>
      <x:c r="U270" s="11" t="str">
        <x:v>N5 — Văn bản</x:v>
      </x:c>
    </x:row>
    <x:row r="271" ht="100.5" customHeight="1">
      <x:c r="A271" s="14" t="n">
        <x:v>266</x:v>
      </x:c>
      <x:c r="B271" s="11" t="str">
        <x:v>C186</x:v>
      </x:c>
      <x:c r="C271" s="11" t="str">
        <x:v>chạy đua vũ ttrang</x:v>
      </x:c>
      <x:c r="D271" s="11" t="str">
        <x:v>Hán Việt + thuần Việt</x:v>
      </x:c>
      <x:c r="E271" s="11" t="str">
        <x:v>B — Phân tích tạm</x:v>
      </x:c>
      <x:c r="F271" s="11" t="str">
        <x:v>군비 경쟁</x:v>
      </x:c>
      <x:c r="G271" s="11" t="str">
        <x:v>Hán Hàn</x:v>
      </x:c>
      <x:c r="H271" s="11" t="str">
        <x:v>B — Phân tích tạm</x:v>
      </x:c>
      <x:c r="I271" s="11" t="str">
        <x:f>IF(AND(LEFT(E271,1)="A",LEFT(H271,1)="A"),"A/A — Có chứng cứ hai phía",IF(OR(LEFT(E271,1)="C",LEFT(H271,1)="C"),"C — Còn điểm chưa chốt",IF(AND(OR(LEFT(E271,1)="A",LEFT(E271,1)="B"),OR(LEFT(H271,1)="A",LEFT(H271,1)="B")),"B — Cần bổ sung chứng cứ","Kiểm tra mức chứng cứ")))</x:f>
        <x:v>B — Cần bổ sung chứng cứ</x:v>
      </x:c>
      <x:c r="J271" s="11" t="str">
        <x:v>Chưa có chứng cứ HVDic trong lượt này</x:v>
      </x:c>
      <x:c r="K271" s="11" t="str">
        <x:v>chạy [TV]
đua [TV]
vũ trang [HV 武裝 *]</x:v>
      </x:c>
      <x:c r="L271" s="11" t="str">
        <x:v>군비 [HH 軍備 *]
경쟁 [HH 競爭 *]</x:v>
      </x:c>
      <x:c r="M271" s="11" t="str">
        <x:v>Phân tích cấu tạo của người rà soát; nguồn đã kiểm tra chỉ xác nhận các thành tố được gắn mã nguồn, không phải mọi thành tố.
Dữ liệu gốc có lỗi vũ ttrang. Phân tích dạng sửa đề xuất chạy đua vũ trang; giữ nguyên trường thuật ngữ gốc.</x:v>
      </x:c>
      <x:c r="N271" s="11" t="str">
        <x:v>Phân tích cấu tạo của người rà soát; chưa có nguồn từ nguyên cụ thể được tra cho mục hoặc các thành tố trong lượt này.
Chữ Hán ở thành tố mang trạng thái analysis là đề xuất đối chiếu, chưa được xác nhận bằng mục từ trong lượt rà soát.</x:v>
      </x:c>
      <x:c r="O271" s="11" t="str">
        <x:v>Hán Hàn</x:v>
      </x:c>
      <x:c r="P271" s="11" t="str"/>
      <x:c r="Q271" s="37" t="str">
        <x:v>ET237 (dòng 1112)</x:v>
      </x:c>
      <x:c r="R271" s="37" t="str">
        <x:v>Chưa có nguồn từ nguyên cụ thể trong lượt này</x:v>
      </x:c>
      <x:c r="S271" s="11" t="str">
        <x:v>Việt: chạy đua vũ trang</x:v>
      </x:c>
      <x:c r="T271" s="11" t="str">
        <x:v>Có điều kiện — chưa chốt</x:v>
      </x:c>
      <x:c r="U271" s="11" t="str">
        <x:v>N4 — Quan hệ, hoạt động</x:v>
      </x:c>
    </x:row>
  </x:sheetData>
  <x:conditionalFormatting sqref="E6:E271">
    <x:cfRule type="beginsWith" dxfId="0" priority="1" operator="beginsWith" text="A"/>
    <x:cfRule type="beginsWith" dxfId="1" priority="2" operator="beginsWith" text="B"/>
    <x:cfRule type="beginsWith" dxfId="2" priority="3" operator="beginsWith" text="C"/>
  </x:conditionalFormatting>
  <x:conditionalFormatting sqref="H6:H271">
    <x:cfRule type="beginsWith" dxfId="3" priority="4" operator="beginsWith" text="A"/>
    <x:cfRule type="beginsWith" dxfId="4" priority="5" operator="beginsWith" text="B"/>
    <x:cfRule type="beginsWith" dxfId="5" priority="6" operator="beginsWith" text="C"/>
  </x:conditionalFormatting>
  <x:conditionalFormatting sqref="I6:I271">
    <x:cfRule type="beginsWith" dxfId="6" priority="7" operator="beginsWith" text="A"/>
    <x:cfRule type="beginsWith" dxfId="7" priority="8" operator="beginsWith" text="B"/>
    <x:cfRule type="beginsWith" dxfId="8" priority="9" operator="beginsWith" text="C"/>
  </x:conditionalFormatting>
  <x:dataValidations count="2">
    <x:dataValidation type="list" sqref="E6:E271">
      <x:formula1>"A — Có chứng cứ thành tố,B — Phân tích tạm,C — Chưa chốt từ nguyên"</x:formula1>
    </x:dataValidation>
    <x:dataValidation type="list" sqref="H6:H271">
      <x:formula1>"A — Có chứng cứ thành tố,B — Phân tích tạm,C — Chưa chốt từ nguyên"</x:formula1>
    </x:dataValidation>
  </x:dataValidations>
  <x:pageMargins left="0.7" right="0.7" top="0.75" bottom="0.75" header="0.3" footer="0.3"/>
  <x:tableParts count="1">
    <x:tablePart xmlns:r="http://schemas.openxmlformats.org/officeDocument/2006/relationships" r:id="R9c0dfd99e0db4bf4"/>
  </x:tableParts>
</x:worksheet>
</file>